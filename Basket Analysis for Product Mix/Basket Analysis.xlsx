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bclc-my.sharepoint.com/personal/aliu_bclc_com/Documents/Desktop/"/>
    </mc:Choice>
  </mc:AlternateContent>
  <xr:revisionPtr revIDLastSave="75" documentId="11_05CE32EA9DCED3169B0618D4A4465A01B101FC38" xr6:coauthVersionLast="47" xr6:coauthVersionMax="47" xr10:uidLastSave="{4FF23873-EABC-4D42-97E1-A5E4F474965C}"/>
  <bookViews>
    <workbookView xWindow="-110" yWindow="-110" windowWidth="19420" windowHeight="11500" firstSheet="2" activeTab="4" xr2:uid="{00000000-000D-0000-FFFF-FFFF00000000}"/>
  </bookViews>
  <sheets>
    <sheet name="Crosstab Analysis" sheetId="2" r:id="rId1"/>
    <sheet name="Crosstab Sample Calc" sheetId="7" state="hidden" r:id="rId2"/>
    <sheet name="Conjoint Analysis" sheetId="1" r:id="rId3"/>
    <sheet name="Conjoint Sample Calc" sheetId="8" state="hidden" r:id="rId4"/>
    <sheet name="Cluster Analysis-5 cluster" sheetId="10" r:id="rId5"/>
    <sheet name="Cluster Analysis-4 cluster" sheetId="11" r:id="rId6"/>
    <sheet name="Cluster Sample Calc" sheetId="9" state="hidden" r:id="rId7"/>
  </sheets>
  <definedNames>
    <definedName name="_xlnm._FilterDatabase" localSheetId="5" hidden="1">'Cluster Analysis-4 cluster'!$B$7:$AB$139</definedName>
    <definedName name="_xlnm._FilterDatabase" localSheetId="4" hidden="1">'Cluster Analysis-5 cluster'!$B$7:$AB$139</definedName>
    <definedName name="_xlnm._FilterDatabase" localSheetId="2" hidden="1">'Conjoint Analysis'!$B$7:$AB$139</definedName>
    <definedName name="solver_adj" localSheetId="5" hidden="1">'Cluster Analysis-4 cluster'!$CB$3:$CE$5</definedName>
    <definedName name="solver_adj" localSheetId="4" hidden="1">'Cluster Analysis-5 cluster'!$CB$3:$CF$5</definedName>
    <definedName name="solver_adj" localSheetId="6" hidden="1">'Cluster Sample Calc'!$CA$2:$CE$4</definedName>
    <definedName name="solver_cvg" localSheetId="5" hidden="1">0.0001</definedName>
    <definedName name="solver_cvg" localSheetId="4" hidden="1">0.0001</definedName>
    <definedName name="solver_cvg" localSheetId="6" hidden="1">0.0001</definedName>
    <definedName name="solver_drv" localSheetId="5" hidden="1">1</definedName>
    <definedName name="solver_drv" localSheetId="4" hidden="1">1</definedName>
    <definedName name="solver_drv" localSheetId="6" hidden="1">1</definedName>
    <definedName name="solver_eng" localSheetId="5" hidden="1">3</definedName>
    <definedName name="solver_eng" localSheetId="4" hidden="1">3</definedName>
    <definedName name="solver_eng" localSheetId="6" hidden="1">3</definedName>
    <definedName name="solver_est" localSheetId="5" hidden="1">1</definedName>
    <definedName name="solver_est" localSheetId="4" hidden="1">1</definedName>
    <definedName name="solver_est" localSheetId="6" hidden="1">1</definedName>
    <definedName name="solver_itr" localSheetId="5" hidden="1">2147483647</definedName>
    <definedName name="solver_itr" localSheetId="4" hidden="1">2147483647</definedName>
    <definedName name="solver_itr" localSheetId="6" hidden="1">2147483647</definedName>
    <definedName name="solver_lhs1" localSheetId="5" hidden="1">'Cluster Analysis-4 cluster'!$CB$3:$CE$5</definedName>
    <definedName name="solver_lhs1" localSheetId="4" hidden="1">'Cluster Analysis-5 cluster'!$CB$3:$CF$5</definedName>
    <definedName name="solver_lhs1" localSheetId="6" hidden="1">'Cluster Sample Calc'!$CA$2:$CE$4</definedName>
    <definedName name="solver_lhs2" localSheetId="5" hidden="1">'Cluster Analysis-4 cluster'!$CB$3:$CE$5</definedName>
    <definedName name="solver_lhs2" localSheetId="4" hidden="1">'Cluster Analysis-5 cluster'!$CB$3:$CF$5</definedName>
    <definedName name="solver_lhs2" localSheetId="6" hidden="1">'Cluster Sample Calc'!$CA$2:$CE$4</definedName>
    <definedName name="solver_lin" localSheetId="5" hidden="1">0</definedName>
    <definedName name="solver_lin" localSheetId="4" hidden="1">0</definedName>
    <definedName name="solver_mip" localSheetId="5" hidden="1">2147483647</definedName>
    <definedName name="solver_mip" localSheetId="4" hidden="1">2147483647</definedName>
    <definedName name="solver_mip" localSheetId="6" hidden="1">2147483647</definedName>
    <definedName name="solver_mni" localSheetId="5" hidden="1">30</definedName>
    <definedName name="solver_mni" localSheetId="4" hidden="1">30</definedName>
    <definedName name="solver_mni" localSheetId="6" hidden="1">30</definedName>
    <definedName name="solver_mrt" localSheetId="5" hidden="1">0.075</definedName>
    <definedName name="solver_mrt" localSheetId="4" hidden="1">0.075</definedName>
    <definedName name="solver_mrt" localSheetId="6" hidden="1">0.075</definedName>
    <definedName name="solver_msl" localSheetId="5" hidden="1">2</definedName>
    <definedName name="solver_msl" localSheetId="4" hidden="1">2</definedName>
    <definedName name="solver_msl" localSheetId="6" hidden="1">2</definedName>
    <definedName name="solver_neg" localSheetId="5" hidden="1">1</definedName>
    <definedName name="solver_neg" localSheetId="4" hidden="1">1</definedName>
    <definedName name="solver_neg" localSheetId="6" hidden="1">2</definedName>
    <definedName name="solver_nod" localSheetId="5" hidden="1">2147483647</definedName>
    <definedName name="solver_nod" localSheetId="4" hidden="1">2147483647</definedName>
    <definedName name="solver_nod" localSheetId="6" hidden="1">2147483647</definedName>
    <definedName name="solver_num" localSheetId="5" hidden="1">2</definedName>
    <definedName name="solver_num" localSheetId="4" hidden="1">2</definedName>
    <definedName name="solver_num" localSheetId="6" hidden="1">2</definedName>
    <definedName name="solver_nwt" localSheetId="5" hidden="1">1</definedName>
    <definedName name="solver_nwt" localSheetId="4" hidden="1">1</definedName>
    <definedName name="solver_nwt" localSheetId="6" hidden="1">1</definedName>
    <definedName name="solver_opt" localSheetId="5" hidden="1">'Cluster Analysis-4 cluster'!$CG$8</definedName>
    <definedName name="solver_opt" localSheetId="4" hidden="1">'Cluster Analysis-5 cluster'!$CH$8</definedName>
    <definedName name="solver_opt" localSheetId="6" hidden="1">'Cluster Sample Calc'!$CG$7</definedName>
    <definedName name="solver_pre" localSheetId="5" hidden="1">0.000001</definedName>
    <definedName name="solver_pre" localSheetId="4" hidden="1">0.000001</definedName>
    <definedName name="solver_pre" localSheetId="6" hidden="1">0.000001</definedName>
    <definedName name="solver_rbv" localSheetId="5" hidden="1">1</definedName>
    <definedName name="solver_rbv" localSheetId="4" hidden="1">1</definedName>
    <definedName name="solver_rbv" localSheetId="6" hidden="1">1</definedName>
    <definedName name="solver_rel1" localSheetId="5" hidden="1">1</definedName>
    <definedName name="solver_rel1" localSheetId="4" hidden="1">1</definedName>
    <definedName name="solver_rel1" localSheetId="6" hidden="1">1</definedName>
    <definedName name="solver_rel2" localSheetId="5" hidden="1">3</definedName>
    <definedName name="solver_rel2" localSheetId="4" hidden="1">3</definedName>
    <definedName name="solver_rel2" localSheetId="6" hidden="1">3</definedName>
    <definedName name="solver_rhs1" localSheetId="5" hidden="1">3</definedName>
    <definedName name="solver_rhs1" localSheetId="4" hidden="1">3</definedName>
    <definedName name="solver_rhs1" localSheetId="6" hidden="1">3</definedName>
    <definedName name="solver_rhs2" localSheetId="5" hidden="1">-3</definedName>
    <definedName name="solver_rhs2" localSheetId="4" hidden="1">-3</definedName>
    <definedName name="solver_rhs2" localSheetId="6" hidden="1">-3</definedName>
    <definedName name="solver_rlx" localSheetId="5" hidden="1">2</definedName>
    <definedName name="solver_rlx" localSheetId="4" hidden="1">2</definedName>
    <definedName name="solver_rlx" localSheetId="6" hidden="1">2</definedName>
    <definedName name="solver_rsd" localSheetId="5" hidden="1">0</definedName>
    <definedName name="solver_rsd" localSheetId="4" hidden="1">0</definedName>
    <definedName name="solver_rsd" localSheetId="6" hidden="1">0</definedName>
    <definedName name="solver_scl" localSheetId="5" hidden="1">1</definedName>
    <definedName name="solver_scl" localSheetId="4" hidden="1">1</definedName>
    <definedName name="solver_scl" localSheetId="6" hidden="1">1</definedName>
    <definedName name="solver_sho" localSheetId="5" hidden="1">2</definedName>
    <definedName name="solver_sho" localSheetId="4" hidden="1">2</definedName>
    <definedName name="solver_sho" localSheetId="6" hidden="1">2</definedName>
    <definedName name="solver_ssz" localSheetId="5" hidden="1">100</definedName>
    <definedName name="solver_ssz" localSheetId="4" hidden="1">100</definedName>
    <definedName name="solver_ssz" localSheetId="6" hidden="1">100</definedName>
    <definedName name="solver_tim" localSheetId="5" hidden="1">2147483647</definedName>
    <definedName name="solver_tim" localSheetId="4" hidden="1">2147483647</definedName>
    <definedName name="solver_tim" localSheetId="6" hidden="1">2147483647</definedName>
    <definedName name="solver_tol" localSheetId="5" hidden="1">0.01</definedName>
    <definedName name="solver_tol" localSheetId="4" hidden="1">0.01</definedName>
    <definedName name="solver_tol" localSheetId="6" hidden="1">0.01</definedName>
    <definedName name="solver_typ" localSheetId="5" hidden="1">2</definedName>
    <definedName name="solver_typ" localSheetId="4" hidden="1">2</definedName>
    <definedName name="solver_typ" localSheetId="6" hidden="1">2</definedName>
    <definedName name="solver_val" localSheetId="5" hidden="1">0</definedName>
    <definedName name="solver_val" localSheetId="4" hidden="1">0</definedName>
    <definedName name="solver_val" localSheetId="6" hidden="1">0</definedName>
    <definedName name="solver_ver" localSheetId="5" hidden="1">3</definedName>
    <definedName name="solver_ver" localSheetId="4" hidden="1">3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8" i="10" l="1"/>
  <c r="CL14" i="10"/>
  <c r="CM10" i="10"/>
  <c r="CM9" i="10"/>
  <c r="CK8" i="10"/>
  <c r="CH8" i="10"/>
  <c r="CG8" i="10"/>
  <c r="CC8" i="10"/>
  <c r="CB8" i="10"/>
  <c r="BW2" i="10"/>
  <c r="BW8" i="10"/>
  <c r="BS9" i="10"/>
  <c r="BT8" i="10"/>
  <c r="BS8" i="10"/>
  <c r="CL28" i="10"/>
  <c r="BM9" i="10"/>
  <c r="BM8" i="1"/>
  <c r="BM14" i="1"/>
  <c r="BM9" i="1"/>
  <c r="BM16" i="1"/>
  <c r="BJ8" i="1"/>
  <c r="BG8" i="1" s="1"/>
  <c r="BJ9" i="1"/>
  <c r="BF8" i="1"/>
  <c r="T11" i="2"/>
  <c r="I11" i="2"/>
  <c r="O11" i="2"/>
  <c r="P16" i="2"/>
  <c r="O16" i="2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AL24" i="9" s="1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AH25" i="9" s="1"/>
  <c r="AL139" i="11"/>
  <c r="AV139" i="11" s="1"/>
  <c r="AK139" i="11"/>
  <c r="AJ139" i="11"/>
  <c r="AI139" i="11"/>
  <c r="AH139" i="11"/>
  <c r="AG139" i="11"/>
  <c r="AF139" i="11"/>
  <c r="AE139" i="11"/>
  <c r="AO139" i="11" s="1"/>
  <c r="AD139" i="11"/>
  <c r="AL138" i="11"/>
  <c r="AK138" i="11"/>
  <c r="AJ138" i="11"/>
  <c r="AI138" i="11"/>
  <c r="AH138" i="11"/>
  <c r="AG138" i="11"/>
  <c r="AF138" i="11"/>
  <c r="AE138" i="11"/>
  <c r="AD138" i="11"/>
  <c r="AL137" i="11"/>
  <c r="AK137" i="11"/>
  <c r="AJ137" i="11"/>
  <c r="AI137" i="11"/>
  <c r="AH137" i="11"/>
  <c r="AG137" i="11"/>
  <c r="AF137" i="11"/>
  <c r="AE137" i="11"/>
  <c r="AD137" i="11"/>
  <c r="AL136" i="11"/>
  <c r="AK136" i="11"/>
  <c r="AJ136" i="11"/>
  <c r="AI136" i="11"/>
  <c r="AH136" i="11"/>
  <c r="AG136" i="11"/>
  <c r="AF136" i="11"/>
  <c r="AE136" i="11"/>
  <c r="AD136" i="11"/>
  <c r="AL135" i="11"/>
  <c r="AK135" i="11"/>
  <c r="AJ135" i="11"/>
  <c r="AI135" i="11"/>
  <c r="AH135" i="11"/>
  <c r="AG135" i="11"/>
  <c r="AF135" i="11"/>
  <c r="AE135" i="11"/>
  <c r="AD135" i="11"/>
  <c r="AL134" i="11"/>
  <c r="AK134" i="11"/>
  <c r="AJ134" i="11"/>
  <c r="AI134" i="11"/>
  <c r="AH134" i="11"/>
  <c r="AG134" i="11"/>
  <c r="AF134" i="11"/>
  <c r="AE134" i="11"/>
  <c r="AD134" i="11"/>
  <c r="AL133" i="11"/>
  <c r="AK133" i="11"/>
  <c r="AJ133" i="11"/>
  <c r="AI133" i="11"/>
  <c r="AH133" i="11"/>
  <c r="AG133" i="11"/>
  <c r="AF133" i="11"/>
  <c r="AE133" i="11"/>
  <c r="AD133" i="11"/>
  <c r="AL132" i="11"/>
  <c r="AK132" i="11"/>
  <c r="AJ132" i="11"/>
  <c r="AI132" i="11"/>
  <c r="AH132" i="11"/>
  <c r="AG132" i="11"/>
  <c r="AF132" i="11"/>
  <c r="AE132" i="11"/>
  <c r="AD132" i="11"/>
  <c r="AL131" i="11"/>
  <c r="AK131" i="11"/>
  <c r="AJ131" i="11"/>
  <c r="AI131" i="11"/>
  <c r="AH131" i="11"/>
  <c r="AG131" i="11"/>
  <c r="AF131" i="11"/>
  <c r="AE131" i="11"/>
  <c r="AD131" i="11"/>
  <c r="AL130" i="11"/>
  <c r="AK130" i="11"/>
  <c r="AJ130" i="11"/>
  <c r="AI130" i="11"/>
  <c r="AH130" i="11"/>
  <c r="AG130" i="11"/>
  <c r="AF130" i="11"/>
  <c r="AE130" i="11"/>
  <c r="AD130" i="11"/>
  <c r="AL129" i="11"/>
  <c r="AK129" i="11"/>
  <c r="AJ129" i="11"/>
  <c r="AI129" i="11"/>
  <c r="AH129" i="11"/>
  <c r="AG129" i="11"/>
  <c r="AF129" i="11"/>
  <c r="AE129" i="11"/>
  <c r="AD129" i="11"/>
  <c r="AL128" i="11"/>
  <c r="AK128" i="11"/>
  <c r="AJ128" i="11"/>
  <c r="AI128" i="11"/>
  <c r="AH128" i="11"/>
  <c r="AG128" i="11"/>
  <c r="AF128" i="11"/>
  <c r="AE128" i="11"/>
  <c r="AD128" i="11"/>
  <c r="AL127" i="11"/>
  <c r="AV127" i="11" s="1"/>
  <c r="AK127" i="11"/>
  <c r="AJ127" i="11"/>
  <c r="AI127" i="11"/>
  <c r="AH127" i="11"/>
  <c r="AG127" i="11"/>
  <c r="AF127" i="11"/>
  <c r="AE127" i="11"/>
  <c r="AD127" i="11"/>
  <c r="AL126" i="11"/>
  <c r="AK126" i="11"/>
  <c r="AJ126" i="11"/>
  <c r="AI126" i="11"/>
  <c r="AH126" i="11"/>
  <c r="AG126" i="11"/>
  <c r="AF126" i="11"/>
  <c r="AE126" i="11"/>
  <c r="AD126" i="11"/>
  <c r="AL125" i="11"/>
  <c r="AK125" i="11"/>
  <c r="AJ125" i="11"/>
  <c r="AN125" i="11" s="1"/>
  <c r="AI125" i="11"/>
  <c r="AH125" i="11"/>
  <c r="AG125" i="11"/>
  <c r="AF125" i="11"/>
  <c r="AE125" i="11"/>
  <c r="AD125" i="11"/>
  <c r="AL124" i="11"/>
  <c r="AK124" i="11"/>
  <c r="AJ124" i="11"/>
  <c r="AI124" i="11"/>
  <c r="AH124" i="11"/>
  <c r="AG124" i="11"/>
  <c r="AF124" i="11"/>
  <c r="AE124" i="11"/>
  <c r="AD124" i="11"/>
  <c r="AL123" i="11"/>
  <c r="AK123" i="11"/>
  <c r="AJ123" i="11"/>
  <c r="AI123" i="11"/>
  <c r="AH123" i="11"/>
  <c r="AG123" i="11"/>
  <c r="AF123" i="11"/>
  <c r="AE123" i="11"/>
  <c r="AD123" i="11"/>
  <c r="AL122" i="11"/>
  <c r="AK122" i="11"/>
  <c r="AJ122" i="11"/>
  <c r="AI122" i="11"/>
  <c r="AH122" i="11"/>
  <c r="AG122" i="11"/>
  <c r="AF122" i="11"/>
  <c r="AE122" i="11"/>
  <c r="AD122" i="11"/>
  <c r="AL121" i="11"/>
  <c r="AK121" i="11"/>
  <c r="AQ121" i="11" s="1"/>
  <c r="AJ121" i="11"/>
  <c r="AI121" i="11"/>
  <c r="AH121" i="11"/>
  <c r="AG121" i="11"/>
  <c r="AF121" i="11"/>
  <c r="AE121" i="11"/>
  <c r="AD121" i="11"/>
  <c r="AL120" i="11"/>
  <c r="AK120" i="11"/>
  <c r="AJ120" i="11"/>
  <c r="AI120" i="11"/>
  <c r="AH120" i="11"/>
  <c r="AG120" i="11"/>
  <c r="AF120" i="11"/>
  <c r="AE120" i="11"/>
  <c r="AD120" i="11"/>
  <c r="AL119" i="11"/>
  <c r="AK119" i="11"/>
  <c r="AJ119" i="11"/>
  <c r="AI119" i="11"/>
  <c r="AH119" i="11"/>
  <c r="AG119" i="11"/>
  <c r="AF119" i="11"/>
  <c r="AE119" i="11"/>
  <c r="AD119" i="11"/>
  <c r="AL118" i="11"/>
  <c r="AK118" i="11"/>
  <c r="AJ118" i="11"/>
  <c r="AI118" i="11"/>
  <c r="AH118" i="11"/>
  <c r="AG118" i="11"/>
  <c r="AF118" i="11"/>
  <c r="AE118" i="11"/>
  <c r="AD118" i="11"/>
  <c r="AL117" i="11"/>
  <c r="AK117" i="11"/>
  <c r="AU117" i="11" s="1"/>
  <c r="AJ117" i="11"/>
  <c r="AI117" i="11"/>
  <c r="AH117" i="11"/>
  <c r="AG117" i="11"/>
  <c r="AF117" i="11"/>
  <c r="AE117" i="11"/>
  <c r="AD117" i="11"/>
  <c r="AL116" i="11"/>
  <c r="AK116" i="11"/>
  <c r="AJ116" i="11"/>
  <c r="AI116" i="11"/>
  <c r="AH116" i="11"/>
  <c r="AG116" i="11"/>
  <c r="AF116" i="11"/>
  <c r="AE116" i="11"/>
  <c r="AD116" i="11"/>
  <c r="AL115" i="11"/>
  <c r="AS115" i="11" s="1"/>
  <c r="AK115" i="11"/>
  <c r="AJ115" i="11"/>
  <c r="AI115" i="11"/>
  <c r="AH115" i="11"/>
  <c r="AG115" i="11"/>
  <c r="AF115" i="11"/>
  <c r="AE115" i="11"/>
  <c r="AD115" i="11"/>
  <c r="AL114" i="11"/>
  <c r="AK114" i="11"/>
  <c r="AJ114" i="11"/>
  <c r="AI114" i="11"/>
  <c r="AH114" i="11"/>
  <c r="AG114" i="11"/>
  <c r="AF114" i="11"/>
  <c r="AE114" i="11"/>
  <c r="AD114" i="11"/>
  <c r="AL113" i="11"/>
  <c r="AK113" i="11"/>
  <c r="AQ113" i="11" s="1"/>
  <c r="AJ113" i="11"/>
  <c r="AI113" i="11"/>
  <c r="AH113" i="11"/>
  <c r="AG113" i="11"/>
  <c r="AF113" i="11"/>
  <c r="AE113" i="11"/>
  <c r="AD113" i="11"/>
  <c r="AL112" i="11"/>
  <c r="AK112" i="11"/>
  <c r="AJ112" i="11"/>
  <c r="AI112" i="11"/>
  <c r="AH112" i="11"/>
  <c r="AG112" i="11"/>
  <c r="AF112" i="11"/>
  <c r="AE112" i="11"/>
  <c r="AD112" i="11"/>
  <c r="AP111" i="11"/>
  <c r="AL111" i="11"/>
  <c r="AK111" i="11"/>
  <c r="AJ111" i="11"/>
  <c r="AI111" i="11"/>
  <c r="AH111" i="11"/>
  <c r="AG111" i="11"/>
  <c r="AF111" i="11"/>
  <c r="AE111" i="11"/>
  <c r="AD111" i="11"/>
  <c r="AL110" i="11"/>
  <c r="AK110" i="11"/>
  <c r="AJ110" i="11"/>
  <c r="AI110" i="11"/>
  <c r="AH110" i="11"/>
  <c r="AG110" i="11"/>
  <c r="AF110" i="11"/>
  <c r="AE110" i="11"/>
  <c r="AD110" i="11"/>
  <c r="AL109" i="11"/>
  <c r="AK109" i="11"/>
  <c r="AJ109" i="11"/>
  <c r="AI109" i="11"/>
  <c r="AH109" i="11"/>
  <c r="AG109" i="11"/>
  <c r="AF109" i="11"/>
  <c r="AE109" i="11"/>
  <c r="AD109" i="11"/>
  <c r="AL108" i="11"/>
  <c r="AK108" i="11"/>
  <c r="AJ108" i="11"/>
  <c r="AI108" i="11"/>
  <c r="AH108" i="11"/>
  <c r="AG108" i="11"/>
  <c r="AF108" i="11"/>
  <c r="AE108" i="11"/>
  <c r="AD108" i="11"/>
  <c r="AL107" i="11"/>
  <c r="AK107" i="11"/>
  <c r="AJ107" i="11"/>
  <c r="AI107" i="11"/>
  <c r="AH107" i="11"/>
  <c r="AG107" i="11"/>
  <c r="AF107" i="11"/>
  <c r="AE107" i="11"/>
  <c r="AD107" i="11"/>
  <c r="AL106" i="11"/>
  <c r="AK106" i="11"/>
  <c r="AJ106" i="11"/>
  <c r="AI106" i="11"/>
  <c r="AH106" i="11"/>
  <c r="AG106" i="11"/>
  <c r="AF106" i="11"/>
  <c r="AE106" i="11"/>
  <c r="AD106" i="11"/>
  <c r="AL105" i="11"/>
  <c r="AK105" i="11"/>
  <c r="AJ105" i="11"/>
  <c r="AI105" i="11"/>
  <c r="AH105" i="11"/>
  <c r="AG105" i="11"/>
  <c r="AF105" i="11"/>
  <c r="AE105" i="11"/>
  <c r="AD105" i="11"/>
  <c r="AL104" i="11"/>
  <c r="AK104" i="11"/>
  <c r="AJ104" i="11"/>
  <c r="AI104" i="11"/>
  <c r="AH104" i="11"/>
  <c r="AG104" i="11"/>
  <c r="AF104" i="11"/>
  <c r="AE104" i="11"/>
  <c r="AD104" i="11"/>
  <c r="AL103" i="11"/>
  <c r="AK103" i="11"/>
  <c r="AJ103" i="11"/>
  <c r="AI103" i="11"/>
  <c r="AH103" i="11"/>
  <c r="AG103" i="11"/>
  <c r="AF103" i="11"/>
  <c r="AE103" i="11"/>
  <c r="AD103" i="11"/>
  <c r="AL102" i="11"/>
  <c r="AK102" i="11"/>
  <c r="AJ102" i="11"/>
  <c r="AI102" i="11"/>
  <c r="AH102" i="11"/>
  <c r="AG102" i="11"/>
  <c r="AF102" i="11"/>
  <c r="AE102" i="11"/>
  <c r="AD102" i="11"/>
  <c r="AL101" i="11"/>
  <c r="AK101" i="11"/>
  <c r="AJ101" i="11"/>
  <c r="AI101" i="11"/>
  <c r="AH101" i="11"/>
  <c r="AG101" i="11"/>
  <c r="AF101" i="11"/>
  <c r="AE101" i="11"/>
  <c r="AD101" i="11"/>
  <c r="AL100" i="11"/>
  <c r="AK100" i="11"/>
  <c r="AJ100" i="11"/>
  <c r="AI100" i="11"/>
  <c r="AH100" i="11"/>
  <c r="AG100" i="11"/>
  <c r="AF100" i="11"/>
  <c r="AE100" i="11"/>
  <c r="AD100" i="11"/>
  <c r="AL99" i="11"/>
  <c r="AK99" i="11"/>
  <c r="AJ99" i="11"/>
  <c r="AI99" i="11"/>
  <c r="AH99" i="11"/>
  <c r="AG99" i="11"/>
  <c r="AF99" i="11"/>
  <c r="AE99" i="11"/>
  <c r="AD99" i="11"/>
  <c r="AL98" i="11"/>
  <c r="AK98" i="11"/>
  <c r="AJ98" i="11"/>
  <c r="AI98" i="11"/>
  <c r="AH98" i="11"/>
  <c r="AG98" i="11"/>
  <c r="AF98" i="11"/>
  <c r="AE98" i="11"/>
  <c r="AD98" i="11"/>
  <c r="AL97" i="11"/>
  <c r="AK97" i="11"/>
  <c r="AJ97" i="11"/>
  <c r="AI97" i="11"/>
  <c r="AH97" i="11"/>
  <c r="AG97" i="11"/>
  <c r="AF97" i="11"/>
  <c r="AE97" i="11"/>
  <c r="AD97" i="11"/>
  <c r="AL96" i="11"/>
  <c r="AK96" i="11"/>
  <c r="AJ96" i="11"/>
  <c r="AI96" i="11"/>
  <c r="AH96" i="11"/>
  <c r="AG96" i="11"/>
  <c r="AF96" i="11"/>
  <c r="AE96" i="11"/>
  <c r="AD96" i="11"/>
  <c r="AL95" i="11"/>
  <c r="AK95" i="11"/>
  <c r="AJ95" i="11"/>
  <c r="AI95" i="11"/>
  <c r="AH95" i="11"/>
  <c r="AG95" i="11"/>
  <c r="AF95" i="11"/>
  <c r="AE95" i="11"/>
  <c r="AD95" i="11"/>
  <c r="AS94" i="11"/>
  <c r="AL94" i="11"/>
  <c r="AK94" i="11"/>
  <c r="AJ94" i="11"/>
  <c r="AI94" i="11"/>
  <c r="AH94" i="11"/>
  <c r="AG94" i="11"/>
  <c r="AF94" i="11"/>
  <c r="AE94" i="11"/>
  <c r="AD94" i="11"/>
  <c r="AN94" i="11" s="1"/>
  <c r="AL93" i="11"/>
  <c r="AK93" i="11"/>
  <c r="AJ93" i="11"/>
  <c r="AI93" i="11"/>
  <c r="AH93" i="11"/>
  <c r="AG93" i="11"/>
  <c r="AF93" i="11"/>
  <c r="AE93" i="11"/>
  <c r="AD93" i="11"/>
  <c r="AL92" i="11"/>
  <c r="AK92" i="11"/>
  <c r="AJ92" i="11"/>
  <c r="AI92" i="11"/>
  <c r="AH92" i="11"/>
  <c r="AG92" i="11"/>
  <c r="AF92" i="11"/>
  <c r="AE92" i="11"/>
  <c r="AD92" i="11"/>
  <c r="AL91" i="11"/>
  <c r="AK91" i="11"/>
  <c r="AJ91" i="11"/>
  <c r="AI91" i="11"/>
  <c r="AH91" i="11"/>
  <c r="AG91" i="11"/>
  <c r="AF91" i="11"/>
  <c r="AE91" i="11"/>
  <c r="AD91" i="11"/>
  <c r="AL90" i="11"/>
  <c r="AK90" i="11"/>
  <c r="AJ90" i="11"/>
  <c r="AI90" i="11"/>
  <c r="AH90" i="11"/>
  <c r="AG90" i="11"/>
  <c r="AF90" i="11"/>
  <c r="AE90" i="11"/>
  <c r="AD90" i="11"/>
  <c r="AL89" i="11"/>
  <c r="AK89" i="11"/>
  <c r="AJ89" i="11"/>
  <c r="AI89" i="11"/>
  <c r="AH89" i="11"/>
  <c r="AG89" i="11"/>
  <c r="AF89" i="11"/>
  <c r="AE89" i="11"/>
  <c r="AD89" i="11"/>
  <c r="AL88" i="11"/>
  <c r="AK88" i="11"/>
  <c r="AJ88" i="11"/>
  <c r="AI88" i="11"/>
  <c r="AH88" i="11"/>
  <c r="AG88" i="11"/>
  <c r="AF88" i="11"/>
  <c r="AE88" i="11"/>
  <c r="AD88" i="11"/>
  <c r="AL87" i="11"/>
  <c r="AK87" i="11"/>
  <c r="AJ87" i="11"/>
  <c r="AI87" i="11"/>
  <c r="AH87" i="11"/>
  <c r="AG87" i="11"/>
  <c r="AF87" i="11"/>
  <c r="AE87" i="11"/>
  <c r="AD87" i="11"/>
  <c r="AL86" i="11"/>
  <c r="AK86" i="11"/>
  <c r="AJ86" i="11"/>
  <c r="AI86" i="11"/>
  <c r="AH86" i="11"/>
  <c r="AG86" i="11"/>
  <c r="AF86" i="11"/>
  <c r="AE86" i="11"/>
  <c r="AD86" i="11"/>
  <c r="AL85" i="11"/>
  <c r="AK85" i="11"/>
  <c r="AJ85" i="11"/>
  <c r="AI85" i="11"/>
  <c r="AH85" i="11"/>
  <c r="AG85" i="11"/>
  <c r="AF85" i="11"/>
  <c r="AE85" i="11"/>
  <c r="AD85" i="11"/>
  <c r="AL84" i="11"/>
  <c r="AK84" i="11"/>
  <c r="AJ84" i="11"/>
  <c r="AI84" i="11"/>
  <c r="AH84" i="11"/>
  <c r="AG84" i="11"/>
  <c r="AF84" i="11"/>
  <c r="AE84" i="11"/>
  <c r="AD84" i="11"/>
  <c r="AL83" i="11"/>
  <c r="AK83" i="11"/>
  <c r="AJ83" i="11"/>
  <c r="AI83" i="11"/>
  <c r="AH83" i="11"/>
  <c r="AG83" i="11"/>
  <c r="AF83" i="11"/>
  <c r="AE83" i="11"/>
  <c r="AD83" i="11"/>
  <c r="AL82" i="11"/>
  <c r="AK82" i="11"/>
  <c r="AJ82" i="11"/>
  <c r="AI82" i="11"/>
  <c r="AH82" i="11"/>
  <c r="AG82" i="11"/>
  <c r="AF82" i="11"/>
  <c r="AE82" i="11"/>
  <c r="AD82" i="11"/>
  <c r="AL81" i="11"/>
  <c r="AK81" i="11"/>
  <c r="AJ81" i="11"/>
  <c r="AI81" i="11"/>
  <c r="AH81" i="11"/>
  <c r="AG81" i="11"/>
  <c r="AF81" i="11"/>
  <c r="AE81" i="11"/>
  <c r="AD81" i="11"/>
  <c r="AL80" i="11"/>
  <c r="AK80" i="11"/>
  <c r="AJ80" i="11"/>
  <c r="AI80" i="11"/>
  <c r="AH80" i="11"/>
  <c r="AG80" i="11"/>
  <c r="AF80" i="11"/>
  <c r="AE80" i="11"/>
  <c r="AD80" i="11"/>
  <c r="AL79" i="11"/>
  <c r="AK79" i="11"/>
  <c r="AJ79" i="11"/>
  <c r="AI79" i="11"/>
  <c r="AH79" i="11"/>
  <c r="AG79" i="11"/>
  <c r="AF79" i="11"/>
  <c r="AE79" i="11"/>
  <c r="AD79" i="11"/>
  <c r="AL78" i="11"/>
  <c r="AK78" i="11"/>
  <c r="AJ78" i="11"/>
  <c r="AI78" i="11"/>
  <c r="AH78" i="11"/>
  <c r="AG78" i="11"/>
  <c r="AF78" i="11"/>
  <c r="AE78" i="11"/>
  <c r="AD78" i="11"/>
  <c r="AL77" i="11"/>
  <c r="AK77" i="11"/>
  <c r="AJ77" i="11"/>
  <c r="AI77" i="11"/>
  <c r="AH77" i="11"/>
  <c r="AG77" i="11"/>
  <c r="AF77" i="11"/>
  <c r="AE77" i="11"/>
  <c r="AD77" i="11"/>
  <c r="AL76" i="11"/>
  <c r="AK76" i="11"/>
  <c r="AJ76" i="11"/>
  <c r="AI76" i="11"/>
  <c r="AH76" i="11"/>
  <c r="AG76" i="11"/>
  <c r="AF76" i="11"/>
  <c r="AE76" i="11"/>
  <c r="AD76" i="11"/>
  <c r="AL75" i="11"/>
  <c r="AK75" i="11"/>
  <c r="AJ75" i="11"/>
  <c r="AI75" i="11"/>
  <c r="AH75" i="11"/>
  <c r="AG75" i="11"/>
  <c r="AF75" i="11"/>
  <c r="AE75" i="11"/>
  <c r="AD75" i="11"/>
  <c r="AL74" i="11"/>
  <c r="AK74" i="11"/>
  <c r="AJ74" i="11"/>
  <c r="AP74" i="11" s="1"/>
  <c r="AI74" i="11"/>
  <c r="AH74" i="11"/>
  <c r="AG74" i="11"/>
  <c r="AF74" i="11"/>
  <c r="AE74" i="11"/>
  <c r="AD74" i="11"/>
  <c r="AL73" i="11"/>
  <c r="AK73" i="11"/>
  <c r="AJ73" i="11"/>
  <c r="AI73" i="11"/>
  <c r="AH73" i="11"/>
  <c r="AG73" i="11"/>
  <c r="AF73" i="11"/>
  <c r="AE73" i="11"/>
  <c r="AD73" i="11"/>
  <c r="AL72" i="11"/>
  <c r="AK72" i="11"/>
  <c r="AJ72" i="11"/>
  <c r="AI72" i="11"/>
  <c r="AH72" i="11"/>
  <c r="AG72" i="11"/>
  <c r="AF72" i="11"/>
  <c r="AE72" i="11"/>
  <c r="AD72" i="11"/>
  <c r="AL71" i="11"/>
  <c r="AK71" i="11"/>
  <c r="AJ71" i="11"/>
  <c r="AI71" i="11"/>
  <c r="AH71" i="11"/>
  <c r="AG71" i="11"/>
  <c r="AF71" i="11"/>
  <c r="AE71" i="11"/>
  <c r="AD71" i="11"/>
  <c r="AL70" i="11"/>
  <c r="AK70" i="11"/>
  <c r="AJ70" i="11"/>
  <c r="AI70" i="11"/>
  <c r="AH70" i="11"/>
  <c r="AG70" i="11"/>
  <c r="AF70" i="11"/>
  <c r="AE70" i="11"/>
  <c r="AD70" i="11"/>
  <c r="AL69" i="11"/>
  <c r="AK69" i="11"/>
  <c r="AJ69" i="11"/>
  <c r="AI69" i="11"/>
  <c r="AH69" i="11"/>
  <c r="AG69" i="11"/>
  <c r="AF69" i="11"/>
  <c r="AE69" i="11"/>
  <c r="AD69" i="11"/>
  <c r="AL68" i="11"/>
  <c r="AK68" i="11"/>
  <c r="AJ68" i="11"/>
  <c r="AI68" i="11"/>
  <c r="AH68" i="11"/>
  <c r="AG68" i="11"/>
  <c r="AF68" i="11"/>
  <c r="AE68" i="11"/>
  <c r="AD68" i="11"/>
  <c r="AL67" i="11"/>
  <c r="AK67" i="11"/>
  <c r="AJ67" i="11"/>
  <c r="AI67" i="11"/>
  <c r="AH67" i="11"/>
  <c r="AG67" i="11"/>
  <c r="AF67" i="11"/>
  <c r="AE67" i="11"/>
  <c r="AD67" i="11"/>
  <c r="AL66" i="11"/>
  <c r="AK66" i="11"/>
  <c r="AJ66" i="11"/>
  <c r="AI66" i="11"/>
  <c r="AH66" i="11"/>
  <c r="AG66" i="11"/>
  <c r="AF66" i="11"/>
  <c r="AE66" i="11"/>
  <c r="AD66" i="11"/>
  <c r="AL65" i="11"/>
  <c r="AK65" i="11"/>
  <c r="AJ65" i="11"/>
  <c r="AI65" i="11"/>
  <c r="AH65" i="11"/>
  <c r="AG65" i="11"/>
  <c r="AF65" i="11"/>
  <c r="AE65" i="11"/>
  <c r="AD65" i="11"/>
  <c r="AL64" i="11"/>
  <c r="AK64" i="11"/>
  <c r="AJ64" i="11"/>
  <c r="AI64" i="11"/>
  <c r="AH64" i="11"/>
  <c r="AG64" i="11"/>
  <c r="AF64" i="11"/>
  <c r="AE64" i="11"/>
  <c r="AD64" i="11"/>
  <c r="AL63" i="11"/>
  <c r="AK63" i="11"/>
  <c r="AJ63" i="11"/>
  <c r="AI63" i="11"/>
  <c r="AH63" i="11"/>
  <c r="AG63" i="11"/>
  <c r="AF63" i="11"/>
  <c r="AE63" i="11"/>
  <c r="AD63" i="11"/>
  <c r="AL62" i="11"/>
  <c r="AK62" i="11"/>
  <c r="AJ62" i="11"/>
  <c r="AI62" i="11"/>
  <c r="AH62" i="11"/>
  <c r="AG62" i="11"/>
  <c r="AF62" i="11"/>
  <c r="AE62" i="11"/>
  <c r="AD62" i="11"/>
  <c r="AL61" i="11"/>
  <c r="AK61" i="11"/>
  <c r="AJ61" i="11"/>
  <c r="AI61" i="11"/>
  <c r="AH61" i="11"/>
  <c r="AG61" i="11"/>
  <c r="AF61" i="11"/>
  <c r="AE61" i="11"/>
  <c r="AD61" i="11"/>
  <c r="AL60" i="11"/>
  <c r="AK60" i="11"/>
  <c r="AJ60" i="11"/>
  <c r="AI60" i="11"/>
  <c r="AH60" i="11"/>
  <c r="AG60" i="11"/>
  <c r="AF60" i="11"/>
  <c r="AE60" i="11"/>
  <c r="AD60" i="11"/>
  <c r="AL59" i="11"/>
  <c r="AK59" i="11"/>
  <c r="AJ59" i="11"/>
  <c r="AI59" i="11"/>
  <c r="AH59" i="11"/>
  <c r="AG59" i="11"/>
  <c r="AF59" i="11"/>
  <c r="AE59" i="11"/>
  <c r="AD59" i="11"/>
  <c r="AL58" i="11"/>
  <c r="AK58" i="11"/>
  <c r="AJ58" i="11"/>
  <c r="AI58" i="11"/>
  <c r="AH58" i="11"/>
  <c r="AG58" i="11"/>
  <c r="AF58" i="11"/>
  <c r="AE58" i="11"/>
  <c r="AD58" i="11"/>
  <c r="AL57" i="11"/>
  <c r="AK57" i="11"/>
  <c r="AJ57" i="11"/>
  <c r="AI57" i="11"/>
  <c r="AH57" i="11"/>
  <c r="AG57" i="11"/>
  <c r="AF57" i="11"/>
  <c r="AE57" i="11"/>
  <c r="AD57" i="11"/>
  <c r="AL56" i="11"/>
  <c r="AK56" i="11"/>
  <c r="AJ56" i="11"/>
  <c r="AI56" i="11"/>
  <c r="AH56" i="11"/>
  <c r="AG56" i="11"/>
  <c r="AF56" i="11"/>
  <c r="AE56" i="11"/>
  <c r="AD56" i="11"/>
  <c r="AL55" i="11"/>
  <c r="AK55" i="11"/>
  <c r="AJ55" i="11"/>
  <c r="AI55" i="11"/>
  <c r="AH55" i="11"/>
  <c r="AG55" i="11"/>
  <c r="AF55" i="11"/>
  <c r="AE55" i="11"/>
  <c r="AD55" i="11"/>
  <c r="AL54" i="11"/>
  <c r="AK54" i="11"/>
  <c r="AJ54" i="11"/>
  <c r="AI54" i="11"/>
  <c r="AH54" i="11"/>
  <c r="AG54" i="11"/>
  <c r="AF54" i="11"/>
  <c r="AE54" i="11"/>
  <c r="AD54" i="11"/>
  <c r="AL53" i="11"/>
  <c r="AK53" i="11"/>
  <c r="AJ53" i="11"/>
  <c r="AI53" i="11"/>
  <c r="AH53" i="11"/>
  <c r="AG53" i="11"/>
  <c r="AF53" i="11"/>
  <c r="AE53" i="11"/>
  <c r="AD53" i="11"/>
  <c r="AL52" i="11"/>
  <c r="AK52" i="11"/>
  <c r="AJ52" i="11"/>
  <c r="AI52" i="11"/>
  <c r="AH52" i="11"/>
  <c r="AG52" i="11"/>
  <c r="AF52" i="11"/>
  <c r="AE52" i="11"/>
  <c r="AD52" i="11"/>
  <c r="AL51" i="11"/>
  <c r="AK51" i="11"/>
  <c r="AJ51" i="11"/>
  <c r="AI51" i="11"/>
  <c r="AH51" i="11"/>
  <c r="AG51" i="11"/>
  <c r="AF51" i="11"/>
  <c r="AE51" i="11"/>
  <c r="AD51" i="11"/>
  <c r="AL50" i="11"/>
  <c r="AK50" i="11"/>
  <c r="AJ50" i="11"/>
  <c r="AI50" i="11"/>
  <c r="AH50" i="11"/>
  <c r="AG50" i="11"/>
  <c r="AF50" i="11"/>
  <c r="AE50" i="11"/>
  <c r="AD50" i="11"/>
  <c r="AL49" i="11"/>
  <c r="AK49" i="11"/>
  <c r="AJ49" i="11"/>
  <c r="AI49" i="11"/>
  <c r="AH49" i="11"/>
  <c r="AG49" i="11"/>
  <c r="AF49" i="11"/>
  <c r="AE49" i="11"/>
  <c r="AD49" i="11"/>
  <c r="AL48" i="11"/>
  <c r="AK48" i="11"/>
  <c r="AJ48" i="11"/>
  <c r="AI48" i="11"/>
  <c r="AH48" i="11"/>
  <c r="AG48" i="11"/>
  <c r="AF48" i="11"/>
  <c r="AE48" i="11"/>
  <c r="AD48" i="11"/>
  <c r="AL47" i="11"/>
  <c r="AK47" i="11"/>
  <c r="AJ47" i="11"/>
  <c r="AI47" i="11"/>
  <c r="AH47" i="11"/>
  <c r="AG47" i="11"/>
  <c r="AF47" i="11"/>
  <c r="AE47" i="11"/>
  <c r="AD47" i="11"/>
  <c r="AL46" i="11"/>
  <c r="AK46" i="11"/>
  <c r="AJ46" i="11"/>
  <c r="AI46" i="11"/>
  <c r="AH46" i="11"/>
  <c r="AG46" i="11"/>
  <c r="AF46" i="11"/>
  <c r="AE46" i="11"/>
  <c r="AD46" i="11"/>
  <c r="AL45" i="11"/>
  <c r="AK45" i="11"/>
  <c r="AJ45" i="11"/>
  <c r="AI45" i="11"/>
  <c r="AH45" i="11"/>
  <c r="AG45" i="11"/>
  <c r="AF45" i="11"/>
  <c r="AE45" i="11"/>
  <c r="AD45" i="11"/>
  <c r="AL44" i="11"/>
  <c r="AK44" i="11"/>
  <c r="AJ44" i="11"/>
  <c r="AT44" i="11" s="1"/>
  <c r="AI44" i="11"/>
  <c r="AH44" i="11"/>
  <c r="AG44" i="11"/>
  <c r="AF44" i="11"/>
  <c r="AE44" i="11"/>
  <c r="AD44" i="11"/>
  <c r="AL43" i="11"/>
  <c r="AK43" i="11"/>
  <c r="AJ43" i="11"/>
  <c r="AI43" i="11"/>
  <c r="AH43" i="11"/>
  <c r="AG43" i="11"/>
  <c r="AF43" i="11"/>
  <c r="AE43" i="11"/>
  <c r="AD43" i="11"/>
  <c r="AL42" i="11"/>
  <c r="AK42" i="11"/>
  <c r="AJ42" i="11"/>
  <c r="AI42" i="11"/>
  <c r="AH42" i="11"/>
  <c r="AG42" i="11"/>
  <c r="AF42" i="11"/>
  <c r="AE42" i="11"/>
  <c r="AD42" i="11"/>
  <c r="AL41" i="11"/>
  <c r="AK41" i="11"/>
  <c r="AJ41" i="11"/>
  <c r="AI41" i="11"/>
  <c r="AH41" i="11"/>
  <c r="AG41" i="11"/>
  <c r="AF41" i="11"/>
  <c r="AE41" i="11"/>
  <c r="AD41" i="11"/>
  <c r="AL40" i="11"/>
  <c r="AK40" i="11"/>
  <c r="AJ40" i="11"/>
  <c r="AI40" i="11"/>
  <c r="AH40" i="11"/>
  <c r="AG40" i="11"/>
  <c r="AF40" i="11"/>
  <c r="AE40" i="11"/>
  <c r="AD40" i="11"/>
  <c r="AL39" i="11"/>
  <c r="AK39" i="11"/>
  <c r="AJ39" i="11"/>
  <c r="AI39" i="11"/>
  <c r="AH39" i="11"/>
  <c r="AG39" i="11"/>
  <c r="AF39" i="11"/>
  <c r="AE39" i="11"/>
  <c r="AD39" i="11"/>
  <c r="AL38" i="11"/>
  <c r="AK38" i="11"/>
  <c r="AJ38" i="11"/>
  <c r="AI38" i="11"/>
  <c r="AH38" i="11"/>
  <c r="AG38" i="11"/>
  <c r="AF38" i="11"/>
  <c r="AE38" i="11"/>
  <c r="AD38" i="11"/>
  <c r="AL37" i="11"/>
  <c r="AK37" i="11"/>
  <c r="AJ37" i="11"/>
  <c r="AQ37" i="11" s="1"/>
  <c r="AI37" i="11"/>
  <c r="AH37" i="11"/>
  <c r="AG37" i="11"/>
  <c r="AF37" i="11"/>
  <c r="AE37" i="11"/>
  <c r="AD37" i="11"/>
  <c r="AL36" i="11"/>
  <c r="AK36" i="11"/>
  <c r="AJ36" i="11"/>
  <c r="AI36" i="11"/>
  <c r="AH36" i="11"/>
  <c r="AG36" i="11"/>
  <c r="AF36" i="11"/>
  <c r="AE36" i="11"/>
  <c r="AD36" i="11"/>
  <c r="AL35" i="11"/>
  <c r="AK35" i="11"/>
  <c r="AJ35" i="11"/>
  <c r="AI35" i="11"/>
  <c r="AH35" i="11"/>
  <c r="AG35" i="11"/>
  <c r="AF35" i="11"/>
  <c r="AE35" i="11"/>
  <c r="AD35" i="11"/>
  <c r="AL34" i="11"/>
  <c r="AK34" i="11"/>
  <c r="AJ34" i="11"/>
  <c r="AI34" i="11"/>
  <c r="AH34" i="11"/>
  <c r="AG34" i="11"/>
  <c r="AF34" i="11"/>
  <c r="AE34" i="11"/>
  <c r="AD34" i="11"/>
  <c r="AL33" i="11"/>
  <c r="AK33" i="11"/>
  <c r="AJ33" i="11"/>
  <c r="AI33" i="11"/>
  <c r="AH33" i="11"/>
  <c r="AG33" i="11"/>
  <c r="AF33" i="11"/>
  <c r="AE33" i="11"/>
  <c r="AD33" i="11"/>
  <c r="AL32" i="11"/>
  <c r="AK32" i="11"/>
  <c r="AJ32" i="11"/>
  <c r="AI32" i="11"/>
  <c r="AH32" i="11"/>
  <c r="AG32" i="11"/>
  <c r="AF32" i="11"/>
  <c r="AE32" i="11"/>
  <c r="AD32" i="11"/>
  <c r="AL31" i="11"/>
  <c r="AK31" i="11"/>
  <c r="AJ31" i="11"/>
  <c r="AI31" i="11"/>
  <c r="AH31" i="11"/>
  <c r="AG31" i="11"/>
  <c r="AF31" i="11"/>
  <c r="AE31" i="11"/>
  <c r="AD31" i="11"/>
  <c r="AL30" i="11"/>
  <c r="AK30" i="11"/>
  <c r="AJ30" i="11"/>
  <c r="AI30" i="11"/>
  <c r="AH30" i="11"/>
  <c r="AG30" i="11"/>
  <c r="AF30" i="11"/>
  <c r="AE30" i="11"/>
  <c r="AD30" i="11"/>
  <c r="AL29" i="11"/>
  <c r="AK29" i="11"/>
  <c r="AJ29" i="11"/>
  <c r="AI29" i="11"/>
  <c r="AH29" i="11"/>
  <c r="AG29" i="11"/>
  <c r="AF29" i="11"/>
  <c r="AE29" i="11"/>
  <c r="AD29" i="11"/>
  <c r="AL28" i="11"/>
  <c r="AK28" i="11"/>
  <c r="AJ28" i="11"/>
  <c r="AI28" i="11"/>
  <c r="AH28" i="11"/>
  <c r="AG28" i="11"/>
  <c r="AF28" i="11"/>
  <c r="AE28" i="11"/>
  <c r="AD28" i="11"/>
  <c r="AL27" i="11"/>
  <c r="AK27" i="11"/>
  <c r="AJ27" i="11"/>
  <c r="AI27" i="11"/>
  <c r="AH27" i="11"/>
  <c r="AG27" i="11"/>
  <c r="AF27" i="11"/>
  <c r="AE27" i="11"/>
  <c r="AD27" i="11"/>
  <c r="AL26" i="11"/>
  <c r="AK26" i="11"/>
  <c r="AJ26" i="11"/>
  <c r="AI26" i="11"/>
  <c r="AH26" i="11"/>
  <c r="AG26" i="11"/>
  <c r="AF26" i="11"/>
  <c r="AE26" i="11"/>
  <c r="AD26" i="11"/>
  <c r="AL25" i="11"/>
  <c r="AK25" i="11"/>
  <c r="AJ25" i="11"/>
  <c r="AI25" i="11"/>
  <c r="AH25" i="11"/>
  <c r="AG25" i="11"/>
  <c r="AF25" i="11"/>
  <c r="AE25" i="11"/>
  <c r="AD25" i="11"/>
  <c r="AL24" i="11"/>
  <c r="AK24" i="11"/>
  <c r="AJ24" i="11"/>
  <c r="AI24" i="11"/>
  <c r="AH24" i="11"/>
  <c r="AG24" i="11"/>
  <c r="AF24" i="11"/>
  <c r="AE24" i="11"/>
  <c r="AD24" i="11"/>
  <c r="AL23" i="11"/>
  <c r="AK23" i="11"/>
  <c r="AJ23" i="11"/>
  <c r="AI23" i="11"/>
  <c r="AH23" i="11"/>
  <c r="AG23" i="11"/>
  <c r="AF23" i="11"/>
  <c r="AE23" i="11"/>
  <c r="AD23" i="11"/>
  <c r="AL22" i="11"/>
  <c r="AK22" i="11"/>
  <c r="AJ22" i="11"/>
  <c r="AI22" i="11"/>
  <c r="AH22" i="11"/>
  <c r="AG22" i="11"/>
  <c r="AF22" i="11"/>
  <c r="AE22" i="11"/>
  <c r="AD22" i="11"/>
  <c r="AL21" i="11"/>
  <c r="AK21" i="11"/>
  <c r="AJ21" i="11"/>
  <c r="AI21" i="11"/>
  <c r="AH21" i="11"/>
  <c r="AG21" i="11"/>
  <c r="AF21" i="11"/>
  <c r="AE21" i="11"/>
  <c r="AD21" i="11"/>
  <c r="AL20" i="11"/>
  <c r="AK20" i="11"/>
  <c r="AJ20" i="11"/>
  <c r="AI20" i="11"/>
  <c r="AH20" i="11"/>
  <c r="AG20" i="11"/>
  <c r="AF20" i="11"/>
  <c r="AE20" i="11"/>
  <c r="AD20" i="11"/>
  <c r="AL19" i="11"/>
  <c r="AK19" i="11"/>
  <c r="AJ19" i="11"/>
  <c r="AI19" i="11"/>
  <c r="AH19" i="11"/>
  <c r="AG19" i="11"/>
  <c r="AF19" i="11"/>
  <c r="AE19" i="11"/>
  <c r="AD19" i="11"/>
  <c r="AL18" i="11"/>
  <c r="AK18" i="11"/>
  <c r="AJ18" i="11"/>
  <c r="AI18" i="11"/>
  <c r="AH18" i="11"/>
  <c r="AG18" i="11"/>
  <c r="AF18" i="11"/>
  <c r="AE18" i="11"/>
  <c r="AD18" i="11"/>
  <c r="AL17" i="11"/>
  <c r="AK17" i="11"/>
  <c r="AJ17" i="11"/>
  <c r="AI17" i="11"/>
  <c r="AH17" i="11"/>
  <c r="AG17" i="11"/>
  <c r="AF17" i="11"/>
  <c r="AE17" i="11"/>
  <c r="AD17" i="11"/>
  <c r="AL16" i="11"/>
  <c r="AK16" i="11"/>
  <c r="AJ16" i="11"/>
  <c r="AI16" i="11"/>
  <c r="AH16" i="11"/>
  <c r="AG16" i="11"/>
  <c r="AF16" i="11"/>
  <c r="AE16" i="11"/>
  <c r="AD16" i="11"/>
  <c r="AL15" i="11"/>
  <c r="AK15" i="11"/>
  <c r="AJ15" i="11"/>
  <c r="AI15" i="11"/>
  <c r="AH15" i="11"/>
  <c r="AG15" i="11"/>
  <c r="AF15" i="11"/>
  <c r="AE15" i="11"/>
  <c r="AD15" i="11"/>
  <c r="AL14" i="11"/>
  <c r="AK14" i="11"/>
  <c r="AJ14" i="11"/>
  <c r="AI14" i="11"/>
  <c r="AV14" i="11" s="1"/>
  <c r="AH14" i="11"/>
  <c r="AG14" i="11"/>
  <c r="AF14" i="11"/>
  <c r="AE14" i="11"/>
  <c r="AD14" i="11"/>
  <c r="AL13" i="11"/>
  <c r="AK13" i="11"/>
  <c r="AJ13" i="11"/>
  <c r="AI13" i="11"/>
  <c r="AH13" i="11"/>
  <c r="AG13" i="11"/>
  <c r="AF13" i="11"/>
  <c r="AE13" i="11"/>
  <c r="AD13" i="11"/>
  <c r="AL12" i="11"/>
  <c r="AK12" i="11"/>
  <c r="AJ12" i="11"/>
  <c r="AI12" i="11"/>
  <c r="AH12" i="11"/>
  <c r="AG12" i="11"/>
  <c r="AF12" i="11"/>
  <c r="AE12" i="11"/>
  <c r="AD12" i="11"/>
  <c r="AL11" i="11"/>
  <c r="AK11" i="11"/>
  <c r="AJ11" i="11"/>
  <c r="AI11" i="11"/>
  <c r="AH11" i="11"/>
  <c r="AG11" i="11"/>
  <c r="AF11" i="11"/>
  <c r="AE11" i="11"/>
  <c r="AD11" i="11"/>
  <c r="AL10" i="11"/>
  <c r="AK10" i="11"/>
  <c r="AJ10" i="11"/>
  <c r="AI10" i="11"/>
  <c r="AH10" i="11"/>
  <c r="AG10" i="11"/>
  <c r="AF10" i="11"/>
  <c r="AE10" i="11"/>
  <c r="AD10" i="11"/>
  <c r="AL9" i="11"/>
  <c r="AK9" i="11"/>
  <c r="AJ9" i="11"/>
  <c r="AI9" i="11"/>
  <c r="AH9" i="11"/>
  <c r="AG9" i="11"/>
  <c r="AF9" i="11"/>
  <c r="AE9" i="11"/>
  <c r="AD9" i="11"/>
  <c r="AL8" i="11"/>
  <c r="AK8" i="11"/>
  <c r="AJ8" i="11"/>
  <c r="AI8" i="11"/>
  <c r="AH8" i="11"/>
  <c r="AG8" i="11"/>
  <c r="AF8" i="11"/>
  <c r="AE8" i="11"/>
  <c r="AD8" i="11"/>
  <c r="AV139" i="10"/>
  <c r="AL139" i="10"/>
  <c r="AN139" i="10" s="1"/>
  <c r="AK139" i="10"/>
  <c r="AJ139" i="10"/>
  <c r="AI139" i="10"/>
  <c r="AH139" i="10"/>
  <c r="AG139" i="10"/>
  <c r="AF139" i="10"/>
  <c r="AE139" i="10"/>
  <c r="AD139" i="10"/>
  <c r="AL138" i="10"/>
  <c r="AK138" i="10"/>
  <c r="AJ138" i="10"/>
  <c r="AI138" i="10"/>
  <c r="AH138" i="10"/>
  <c r="AG138" i="10"/>
  <c r="AF138" i="10"/>
  <c r="AE138" i="10"/>
  <c r="AD138" i="10"/>
  <c r="AL137" i="10"/>
  <c r="AK137" i="10"/>
  <c r="AJ137" i="10"/>
  <c r="AI137" i="10"/>
  <c r="AH137" i="10"/>
  <c r="AG137" i="10"/>
  <c r="AF137" i="10"/>
  <c r="AE137" i="10"/>
  <c r="AD137" i="10"/>
  <c r="AL136" i="10"/>
  <c r="AK136" i="10"/>
  <c r="AJ136" i="10"/>
  <c r="AI136" i="10"/>
  <c r="AH136" i="10"/>
  <c r="AG136" i="10"/>
  <c r="AF136" i="10"/>
  <c r="AE136" i="10"/>
  <c r="AD136" i="10"/>
  <c r="AQ136" i="10" s="1"/>
  <c r="AL135" i="10"/>
  <c r="AK135" i="10"/>
  <c r="AJ135" i="10"/>
  <c r="AI135" i="10"/>
  <c r="AH135" i="10"/>
  <c r="AG135" i="10"/>
  <c r="AF135" i="10"/>
  <c r="AE135" i="10"/>
  <c r="AD135" i="10"/>
  <c r="AL134" i="10"/>
  <c r="AK134" i="10"/>
  <c r="AU134" i="10" s="1"/>
  <c r="AJ134" i="10"/>
  <c r="AI134" i="10"/>
  <c r="AH134" i="10"/>
  <c r="AG134" i="10"/>
  <c r="AF134" i="10"/>
  <c r="AE134" i="10"/>
  <c r="AD134" i="10"/>
  <c r="AL133" i="10"/>
  <c r="AK133" i="10"/>
  <c r="AJ133" i="10"/>
  <c r="AI133" i="10"/>
  <c r="AH133" i="10"/>
  <c r="AG133" i="10"/>
  <c r="AF133" i="10"/>
  <c r="AE133" i="10"/>
  <c r="AD133" i="10"/>
  <c r="AL132" i="10"/>
  <c r="AK132" i="10"/>
  <c r="AU132" i="10" s="1"/>
  <c r="AJ132" i="10"/>
  <c r="AI132" i="10"/>
  <c r="AH132" i="10"/>
  <c r="AG132" i="10"/>
  <c r="AF132" i="10"/>
  <c r="AE132" i="10"/>
  <c r="AD132" i="10"/>
  <c r="AL131" i="10"/>
  <c r="AK131" i="10"/>
  <c r="AJ131" i="10"/>
  <c r="AI131" i="10"/>
  <c r="AH131" i="10"/>
  <c r="AG131" i="10"/>
  <c r="AF131" i="10"/>
  <c r="AE131" i="10"/>
  <c r="AD131" i="10"/>
  <c r="AL130" i="10"/>
  <c r="AV130" i="10" s="1"/>
  <c r="AK130" i="10"/>
  <c r="AJ130" i="10"/>
  <c r="AI130" i="10"/>
  <c r="AH130" i="10"/>
  <c r="AG130" i="10"/>
  <c r="AF130" i="10"/>
  <c r="AE130" i="10"/>
  <c r="AD130" i="10"/>
  <c r="AL129" i="10"/>
  <c r="AK129" i="10"/>
  <c r="AJ129" i="10"/>
  <c r="AI129" i="10"/>
  <c r="AH129" i="10"/>
  <c r="AG129" i="10"/>
  <c r="AF129" i="10"/>
  <c r="AE129" i="10"/>
  <c r="AD129" i="10"/>
  <c r="AL128" i="10"/>
  <c r="AK128" i="10"/>
  <c r="AJ128" i="10"/>
  <c r="AI128" i="10"/>
  <c r="AH128" i="10"/>
  <c r="AG128" i="10"/>
  <c r="AF128" i="10"/>
  <c r="AE128" i="10"/>
  <c r="AD128" i="10"/>
  <c r="AL127" i="10"/>
  <c r="AK127" i="10"/>
  <c r="AJ127" i="10"/>
  <c r="AI127" i="10"/>
  <c r="AQ127" i="10" s="1"/>
  <c r="AH127" i="10"/>
  <c r="AG127" i="10"/>
  <c r="AF127" i="10"/>
  <c r="AE127" i="10"/>
  <c r="AD127" i="10"/>
  <c r="AL126" i="10"/>
  <c r="AK126" i="10"/>
  <c r="AJ126" i="10"/>
  <c r="AI126" i="10"/>
  <c r="AH126" i="10"/>
  <c r="AG126" i="10"/>
  <c r="AF126" i="10"/>
  <c r="AE126" i="10"/>
  <c r="AD126" i="10"/>
  <c r="AL125" i="10"/>
  <c r="AK125" i="10"/>
  <c r="AJ125" i="10"/>
  <c r="AI125" i="10"/>
  <c r="AH125" i="10"/>
  <c r="AG125" i="10"/>
  <c r="AF125" i="10"/>
  <c r="AE125" i="10"/>
  <c r="AD125" i="10"/>
  <c r="AL124" i="10"/>
  <c r="AK124" i="10"/>
  <c r="AJ124" i="10"/>
  <c r="AI124" i="10"/>
  <c r="AH124" i="10"/>
  <c r="AG124" i="10"/>
  <c r="AF124" i="10"/>
  <c r="AE124" i="10"/>
  <c r="AD124" i="10"/>
  <c r="AL123" i="10"/>
  <c r="AK123" i="10"/>
  <c r="AP123" i="10" s="1"/>
  <c r="AJ123" i="10"/>
  <c r="AI123" i="10"/>
  <c r="AH123" i="10"/>
  <c r="AG123" i="10"/>
  <c r="AF123" i="10"/>
  <c r="AE123" i="10"/>
  <c r="AD123" i="10"/>
  <c r="AL122" i="10"/>
  <c r="AK122" i="10"/>
  <c r="AJ122" i="10"/>
  <c r="AI122" i="10"/>
  <c r="AH122" i="10"/>
  <c r="AG122" i="10"/>
  <c r="AF122" i="10"/>
  <c r="AE122" i="10"/>
  <c r="AD122" i="10"/>
  <c r="AL121" i="10"/>
  <c r="AK121" i="10"/>
  <c r="AJ121" i="10"/>
  <c r="AI121" i="10"/>
  <c r="AH121" i="10"/>
  <c r="AG121" i="10"/>
  <c r="AF121" i="10"/>
  <c r="AE121" i="10"/>
  <c r="AD121" i="10"/>
  <c r="AL120" i="10"/>
  <c r="AK120" i="10"/>
  <c r="AJ120" i="10"/>
  <c r="AI120" i="10"/>
  <c r="AH120" i="10"/>
  <c r="AG120" i="10"/>
  <c r="AF120" i="10"/>
  <c r="AE120" i="10"/>
  <c r="AD120" i="10"/>
  <c r="AL119" i="10"/>
  <c r="AK119" i="10"/>
  <c r="AJ119" i="10"/>
  <c r="AI119" i="10"/>
  <c r="AH119" i="10"/>
  <c r="AG119" i="10"/>
  <c r="AF119" i="10"/>
  <c r="AE119" i="10"/>
  <c r="AD119" i="10"/>
  <c r="AL118" i="10"/>
  <c r="AK118" i="10"/>
  <c r="AJ118" i="10"/>
  <c r="AI118" i="10"/>
  <c r="AH118" i="10"/>
  <c r="AG118" i="10"/>
  <c r="AF118" i="10"/>
  <c r="AE118" i="10"/>
  <c r="AD118" i="10"/>
  <c r="AL117" i="10"/>
  <c r="AK117" i="10"/>
  <c r="AJ117" i="10"/>
  <c r="AI117" i="10"/>
  <c r="AH117" i="10"/>
  <c r="AG117" i="10"/>
  <c r="AF117" i="10"/>
  <c r="AE117" i="10"/>
  <c r="AD117" i="10"/>
  <c r="AL116" i="10"/>
  <c r="AK116" i="10"/>
  <c r="AJ116" i="10"/>
  <c r="AI116" i="10"/>
  <c r="AH116" i="10"/>
  <c r="AG116" i="10"/>
  <c r="AF116" i="10"/>
  <c r="AE116" i="10"/>
  <c r="AD116" i="10"/>
  <c r="AL115" i="10"/>
  <c r="AK115" i="10"/>
  <c r="AJ115" i="10"/>
  <c r="AI115" i="10"/>
  <c r="AH115" i="10"/>
  <c r="AG115" i="10"/>
  <c r="AF115" i="10"/>
  <c r="AE115" i="10"/>
  <c r="AD115" i="10"/>
  <c r="AL114" i="10"/>
  <c r="AK114" i="10"/>
  <c r="AJ114" i="10"/>
  <c r="AI114" i="10"/>
  <c r="AH114" i="10"/>
  <c r="AG114" i="10"/>
  <c r="AF114" i="10"/>
  <c r="AE114" i="10"/>
  <c r="AD114" i="10"/>
  <c r="AL113" i="10"/>
  <c r="AK113" i="10"/>
  <c r="AJ113" i="10"/>
  <c r="AI113" i="10"/>
  <c r="AH113" i="10"/>
  <c r="AG113" i="10"/>
  <c r="AF113" i="10"/>
  <c r="AE113" i="10"/>
  <c r="AD113" i="10"/>
  <c r="AL112" i="10"/>
  <c r="AK112" i="10"/>
  <c r="AJ112" i="10"/>
  <c r="AT112" i="10" s="1"/>
  <c r="AI112" i="10"/>
  <c r="AH112" i="10"/>
  <c r="AG112" i="10"/>
  <c r="AF112" i="10"/>
  <c r="AE112" i="10"/>
  <c r="AD112" i="10"/>
  <c r="AL111" i="10"/>
  <c r="AK111" i="10"/>
  <c r="AJ111" i="10"/>
  <c r="AI111" i="10"/>
  <c r="AH111" i="10"/>
  <c r="AG111" i="10"/>
  <c r="AF111" i="10"/>
  <c r="AE111" i="10"/>
  <c r="AD111" i="10"/>
  <c r="AL110" i="10"/>
  <c r="AK110" i="10"/>
  <c r="AJ110" i="10"/>
  <c r="AI110" i="10"/>
  <c r="AH110" i="10"/>
  <c r="AG110" i="10"/>
  <c r="AF110" i="10"/>
  <c r="AE110" i="10"/>
  <c r="AD110" i="10"/>
  <c r="AL109" i="10"/>
  <c r="AV109" i="10" s="1"/>
  <c r="AK109" i="10"/>
  <c r="AJ109" i="10"/>
  <c r="AI109" i="10"/>
  <c r="AH109" i="10"/>
  <c r="AG109" i="10"/>
  <c r="AF109" i="10"/>
  <c r="AE109" i="10"/>
  <c r="AD109" i="10"/>
  <c r="AL108" i="10"/>
  <c r="AV108" i="10" s="1"/>
  <c r="AK108" i="10"/>
  <c r="AJ108" i="10"/>
  <c r="AT108" i="10" s="1"/>
  <c r="AI108" i="10"/>
  <c r="AH108" i="10"/>
  <c r="AG108" i="10"/>
  <c r="AF108" i="10"/>
  <c r="AE108" i="10"/>
  <c r="AD108" i="10"/>
  <c r="AL107" i="10"/>
  <c r="AK107" i="10"/>
  <c r="AJ107" i="10"/>
  <c r="AI107" i="10"/>
  <c r="AS107" i="10" s="1"/>
  <c r="AH107" i="10"/>
  <c r="AG107" i="10"/>
  <c r="AF107" i="10"/>
  <c r="AE107" i="10"/>
  <c r="AD107" i="10"/>
  <c r="AN106" i="10"/>
  <c r="AL106" i="10"/>
  <c r="AK106" i="10"/>
  <c r="AJ106" i="10"/>
  <c r="AI106" i="10"/>
  <c r="AP106" i="10" s="1"/>
  <c r="AH106" i="10"/>
  <c r="AG106" i="10"/>
  <c r="AF106" i="10"/>
  <c r="AE106" i="10"/>
  <c r="AD106" i="10"/>
  <c r="AL105" i="10"/>
  <c r="AK105" i="10"/>
  <c r="AJ105" i="10"/>
  <c r="AI105" i="10"/>
  <c r="AH105" i="10"/>
  <c r="AG105" i="10"/>
  <c r="AF105" i="10"/>
  <c r="AE105" i="10"/>
  <c r="AD105" i="10"/>
  <c r="AL104" i="10"/>
  <c r="AK104" i="10"/>
  <c r="AJ104" i="10"/>
  <c r="AI104" i="10"/>
  <c r="AH104" i="10"/>
  <c r="AG104" i="10"/>
  <c r="AF104" i="10"/>
  <c r="AE104" i="10"/>
  <c r="AD104" i="10"/>
  <c r="AL103" i="10"/>
  <c r="AK103" i="10"/>
  <c r="AV103" i="10" s="1"/>
  <c r="AJ103" i="10"/>
  <c r="AI103" i="10"/>
  <c r="AH103" i="10"/>
  <c r="AG103" i="10"/>
  <c r="AF103" i="10"/>
  <c r="AE103" i="10"/>
  <c r="AD103" i="10"/>
  <c r="AL102" i="10"/>
  <c r="AK102" i="10"/>
  <c r="AU102" i="10" s="1"/>
  <c r="AJ102" i="10"/>
  <c r="AI102" i="10"/>
  <c r="AS102" i="10" s="1"/>
  <c r="AH102" i="10"/>
  <c r="AG102" i="10"/>
  <c r="AF102" i="10"/>
  <c r="AE102" i="10"/>
  <c r="AD102" i="10"/>
  <c r="AL101" i="10"/>
  <c r="AK101" i="10"/>
  <c r="AJ101" i="10"/>
  <c r="AI101" i="10"/>
  <c r="AH101" i="10"/>
  <c r="AG101" i="10"/>
  <c r="AF101" i="10"/>
  <c r="AE101" i="10"/>
  <c r="AD101" i="10"/>
  <c r="AL100" i="10"/>
  <c r="AV100" i="10" s="1"/>
  <c r="AK100" i="10"/>
  <c r="AU100" i="10" s="1"/>
  <c r="AJ100" i="10"/>
  <c r="AI100" i="10"/>
  <c r="AO100" i="10" s="1"/>
  <c r="AH100" i="10"/>
  <c r="AG100" i="10"/>
  <c r="AF100" i="10"/>
  <c r="AE100" i="10"/>
  <c r="AD100" i="10"/>
  <c r="AL99" i="10"/>
  <c r="AK99" i="10"/>
  <c r="AJ99" i="10"/>
  <c r="AI99" i="10"/>
  <c r="AH99" i="10"/>
  <c r="AG99" i="10"/>
  <c r="AF99" i="10"/>
  <c r="AE99" i="10"/>
  <c r="AD99" i="10"/>
  <c r="AL98" i="10"/>
  <c r="AK98" i="10"/>
  <c r="AJ98" i="10"/>
  <c r="AI98" i="10"/>
  <c r="AH98" i="10"/>
  <c r="AG98" i="10"/>
  <c r="AF98" i="10"/>
  <c r="AE98" i="10"/>
  <c r="AD98" i="10"/>
  <c r="AL97" i="10"/>
  <c r="AK97" i="10"/>
  <c r="AJ97" i="10"/>
  <c r="AI97" i="10"/>
  <c r="AH97" i="10"/>
  <c r="AG97" i="10"/>
  <c r="AF97" i="10"/>
  <c r="AE97" i="10"/>
  <c r="AD97" i="10"/>
  <c r="AL96" i="10"/>
  <c r="AK96" i="10"/>
  <c r="AU96" i="10" s="1"/>
  <c r="AJ96" i="10"/>
  <c r="AI96" i="10"/>
  <c r="AH96" i="10"/>
  <c r="AG96" i="10"/>
  <c r="AF96" i="10"/>
  <c r="AE96" i="10"/>
  <c r="AD96" i="10"/>
  <c r="AL95" i="10"/>
  <c r="AK95" i="10"/>
  <c r="AJ95" i="10"/>
  <c r="AI95" i="10"/>
  <c r="AH95" i="10"/>
  <c r="AG95" i="10"/>
  <c r="AF95" i="10"/>
  <c r="AE95" i="10"/>
  <c r="AS95" i="10" s="1"/>
  <c r="AD95" i="10"/>
  <c r="AL94" i="10"/>
  <c r="AK94" i="10"/>
  <c r="AJ94" i="10"/>
  <c r="AI94" i="10"/>
  <c r="AH94" i="10"/>
  <c r="AG94" i="10"/>
  <c r="AF94" i="10"/>
  <c r="AE94" i="10"/>
  <c r="AD94" i="10"/>
  <c r="AL93" i="10"/>
  <c r="AK93" i="10"/>
  <c r="AJ93" i="10"/>
  <c r="AI93" i="10"/>
  <c r="AH93" i="10"/>
  <c r="AG93" i="10"/>
  <c r="AF93" i="10"/>
  <c r="AE93" i="10"/>
  <c r="AD93" i="10"/>
  <c r="AL92" i="10"/>
  <c r="AK92" i="10"/>
  <c r="AJ92" i="10"/>
  <c r="AT92" i="10" s="1"/>
  <c r="AI92" i="10"/>
  <c r="AU92" i="10" s="1"/>
  <c r="AH92" i="10"/>
  <c r="AG92" i="10"/>
  <c r="AF92" i="10"/>
  <c r="AE92" i="10"/>
  <c r="AD92" i="10"/>
  <c r="AL91" i="10"/>
  <c r="AK91" i="10"/>
  <c r="AJ91" i="10"/>
  <c r="AI91" i="10"/>
  <c r="AH91" i="10"/>
  <c r="AG91" i="10"/>
  <c r="AF91" i="10"/>
  <c r="AE91" i="10"/>
  <c r="AD91" i="10"/>
  <c r="AL90" i="10"/>
  <c r="AK90" i="10"/>
  <c r="AJ90" i="10"/>
  <c r="AI90" i="10"/>
  <c r="AH90" i="10"/>
  <c r="AG90" i="10"/>
  <c r="AF90" i="10"/>
  <c r="AE90" i="10"/>
  <c r="AD90" i="10"/>
  <c r="AL89" i="10"/>
  <c r="AK89" i="10"/>
  <c r="AJ89" i="10"/>
  <c r="AI89" i="10"/>
  <c r="AH89" i="10"/>
  <c r="AG89" i="10"/>
  <c r="AF89" i="10"/>
  <c r="AE89" i="10"/>
  <c r="AD89" i="10"/>
  <c r="AL88" i="10"/>
  <c r="AK88" i="10"/>
  <c r="AU88" i="10" s="1"/>
  <c r="AJ88" i="10"/>
  <c r="AT88" i="10" s="1"/>
  <c r="AI88" i="10"/>
  <c r="AH88" i="10"/>
  <c r="AG88" i="10"/>
  <c r="AF88" i="10"/>
  <c r="AE88" i="10"/>
  <c r="AD88" i="10"/>
  <c r="AL87" i="10"/>
  <c r="AK87" i="10"/>
  <c r="AJ87" i="10"/>
  <c r="AI87" i="10"/>
  <c r="AH87" i="10"/>
  <c r="AG87" i="10"/>
  <c r="AF87" i="10"/>
  <c r="AE87" i="10"/>
  <c r="AD87" i="10"/>
  <c r="AL86" i="10"/>
  <c r="AK86" i="10"/>
  <c r="AJ86" i="10"/>
  <c r="AI86" i="10"/>
  <c r="AH86" i="10"/>
  <c r="AG86" i="10"/>
  <c r="AF86" i="10"/>
  <c r="AE86" i="10"/>
  <c r="AD86" i="10"/>
  <c r="AL85" i="10"/>
  <c r="AK85" i="10"/>
  <c r="AJ85" i="10"/>
  <c r="AI85" i="10"/>
  <c r="AH85" i="10"/>
  <c r="AG85" i="10"/>
  <c r="AF85" i="10"/>
  <c r="AE85" i="10"/>
  <c r="AD85" i="10"/>
  <c r="AL84" i="10"/>
  <c r="AK84" i="10"/>
  <c r="AJ84" i="10"/>
  <c r="AT84" i="10" s="1"/>
  <c r="AI84" i="10"/>
  <c r="AO84" i="10" s="1"/>
  <c r="AH84" i="10"/>
  <c r="AG84" i="10"/>
  <c r="AF84" i="10"/>
  <c r="AE84" i="10"/>
  <c r="AD84" i="10"/>
  <c r="AL83" i="10"/>
  <c r="AK83" i="10"/>
  <c r="AJ83" i="10"/>
  <c r="AI83" i="10"/>
  <c r="AH83" i="10"/>
  <c r="AG83" i="10"/>
  <c r="AF83" i="10"/>
  <c r="AE83" i="10"/>
  <c r="AD83" i="10"/>
  <c r="AL82" i="10"/>
  <c r="AK82" i="10"/>
  <c r="AJ82" i="10"/>
  <c r="AI82" i="10"/>
  <c r="AH82" i="10"/>
  <c r="AG82" i="10"/>
  <c r="AF82" i="10"/>
  <c r="AE82" i="10"/>
  <c r="AD82" i="10"/>
  <c r="AL81" i="10"/>
  <c r="AK81" i="10"/>
  <c r="AJ81" i="10"/>
  <c r="AI81" i="10"/>
  <c r="AH81" i="10"/>
  <c r="AG81" i="10"/>
  <c r="AF81" i="10"/>
  <c r="AE81" i="10"/>
  <c r="AD81" i="10"/>
  <c r="AL80" i="10"/>
  <c r="AK80" i="10"/>
  <c r="AJ80" i="10"/>
  <c r="AI80" i="10"/>
  <c r="AO80" i="10" s="1"/>
  <c r="AH80" i="10"/>
  <c r="AG80" i="10"/>
  <c r="AF80" i="10"/>
  <c r="AE80" i="10"/>
  <c r="AD80" i="10"/>
  <c r="AL79" i="10"/>
  <c r="AK79" i="10"/>
  <c r="AJ79" i="10"/>
  <c r="AI79" i="10"/>
  <c r="AH79" i="10"/>
  <c r="AG79" i="10"/>
  <c r="AF79" i="10"/>
  <c r="AE79" i="10"/>
  <c r="AD79" i="10"/>
  <c r="AL78" i="10"/>
  <c r="AK78" i="10"/>
  <c r="AJ78" i="10"/>
  <c r="AI78" i="10"/>
  <c r="AH78" i="10"/>
  <c r="AG78" i="10"/>
  <c r="AF78" i="10"/>
  <c r="AE78" i="10"/>
  <c r="AD78" i="10"/>
  <c r="AL77" i="10"/>
  <c r="AK77" i="10"/>
  <c r="AJ77" i="10"/>
  <c r="AI77" i="10"/>
  <c r="AH77" i="10"/>
  <c r="AG77" i="10"/>
  <c r="AF77" i="10"/>
  <c r="AE77" i="10"/>
  <c r="AD77" i="10"/>
  <c r="AL76" i="10"/>
  <c r="AK76" i="10"/>
  <c r="AJ76" i="10"/>
  <c r="AI76" i="10"/>
  <c r="AO76" i="10" s="1"/>
  <c r="AH76" i="10"/>
  <c r="AG76" i="10"/>
  <c r="AF76" i="10"/>
  <c r="AE76" i="10"/>
  <c r="AD76" i="10"/>
  <c r="AL75" i="10"/>
  <c r="AK75" i="10"/>
  <c r="AJ75" i="10"/>
  <c r="AI75" i="10"/>
  <c r="AH75" i="10"/>
  <c r="AG75" i="10"/>
  <c r="AF75" i="10"/>
  <c r="AE75" i="10"/>
  <c r="AD75" i="10"/>
  <c r="AL74" i="10"/>
  <c r="AK74" i="10"/>
  <c r="AJ74" i="10"/>
  <c r="AI74" i="10"/>
  <c r="AN74" i="10" s="1"/>
  <c r="AH74" i="10"/>
  <c r="AG74" i="10"/>
  <c r="AF74" i="10"/>
  <c r="AE74" i="10"/>
  <c r="AD74" i="10"/>
  <c r="AL73" i="10"/>
  <c r="AK73" i="10"/>
  <c r="AJ73" i="10"/>
  <c r="AI73" i="10"/>
  <c r="AH73" i="10"/>
  <c r="AG73" i="10"/>
  <c r="AF73" i="10"/>
  <c r="AE73" i="10"/>
  <c r="AD73" i="10"/>
  <c r="AL72" i="10"/>
  <c r="AK72" i="10"/>
  <c r="AJ72" i="10"/>
  <c r="AI72" i="10"/>
  <c r="AH72" i="10"/>
  <c r="AG72" i="10"/>
  <c r="AF72" i="10"/>
  <c r="AE72" i="10"/>
  <c r="AD72" i="10"/>
  <c r="AL71" i="10"/>
  <c r="AK71" i="10"/>
  <c r="AJ71" i="10"/>
  <c r="AI71" i="10"/>
  <c r="AR71" i="10" s="1"/>
  <c r="AH71" i="10"/>
  <c r="AG71" i="10"/>
  <c r="AF71" i="10"/>
  <c r="AE71" i="10"/>
  <c r="AD71" i="10"/>
  <c r="AL70" i="10"/>
  <c r="AK70" i="10"/>
  <c r="AJ70" i="10"/>
  <c r="AI70" i="10"/>
  <c r="AH70" i="10"/>
  <c r="AG70" i="10"/>
  <c r="AF70" i="10"/>
  <c r="AE70" i="10"/>
  <c r="AD70" i="10"/>
  <c r="AL69" i="10"/>
  <c r="AK69" i="10"/>
  <c r="AJ69" i="10"/>
  <c r="AI69" i="10"/>
  <c r="AH69" i="10"/>
  <c r="AG69" i="10"/>
  <c r="AF69" i="10"/>
  <c r="AE69" i="10"/>
  <c r="AD69" i="10"/>
  <c r="AL68" i="10"/>
  <c r="AK68" i="10"/>
  <c r="AT68" i="10" s="1"/>
  <c r="AJ68" i="10"/>
  <c r="AI68" i="10"/>
  <c r="AH68" i="10"/>
  <c r="AG68" i="10"/>
  <c r="AF68" i="10"/>
  <c r="AE68" i="10"/>
  <c r="AD68" i="10"/>
  <c r="AL67" i="10"/>
  <c r="AK67" i="10"/>
  <c r="AJ67" i="10"/>
  <c r="AI67" i="10"/>
  <c r="AH67" i="10"/>
  <c r="AG67" i="10"/>
  <c r="AF67" i="10"/>
  <c r="AE67" i="10"/>
  <c r="AD67" i="10"/>
  <c r="AL66" i="10"/>
  <c r="AV66" i="10" s="1"/>
  <c r="AK66" i="10"/>
  <c r="AJ66" i="10"/>
  <c r="AI66" i="10"/>
  <c r="AP66" i="10" s="1"/>
  <c r="AH66" i="10"/>
  <c r="AG66" i="10"/>
  <c r="AF66" i="10"/>
  <c r="AE66" i="10"/>
  <c r="AD66" i="10"/>
  <c r="AL65" i="10"/>
  <c r="AK65" i="10"/>
  <c r="AJ65" i="10"/>
  <c r="AI65" i="10"/>
  <c r="AP65" i="10" s="1"/>
  <c r="AH65" i="10"/>
  <c r="AG65" i="10"/>
  <c r="AF65" i="10"/>
  <c r="AE65" i="10"/>
  <c r="AD65" i="10"/>
  <c r="AL64" i="10"/>
  <c r="AK64" i="10"/>
  <c r="AJ64" i="10"/>
  <c r="AI64" i="10"/>
  <c r="AO64" i="10" s="1"/>
  <c r="AH64" i="10"/>
  <c r="AG64" i="10"/>
  <c r="AF64" i="10"/>
  <c r="AE64" i="10"/>
  <c r="AD64" i="10"/>
  <c r="AL63" i="10"/>
  <c r="AK63" i="10"/>
  <c r="AJ63" i="10"/>
  <c r="AI63" i="10"/>
  <c r="AH63" i="10"/>
  <c r="AG63" i="10"/>
  <c r="AF63" i="10"/>
  <c r="AE63" i="10"/>
  <c r="AD63" i="10"/>
  <c r="AL62" i="10"/>
  <c r="AK62" i="10"/>
  <c r="AJ62" i="10"/>
  <c r="AT62" i="10" s="1"/>
  <c r="AI62" i="10"/>
  <c r="AH62" i="10"/>
  <c r="AG62" i="10"/>
  <c r="AF62" i="10"/>
  <c r="AE62" i="10"/>
  <c r="AD62" i="10"/>
  <c r="AL61" i="10"/>
  <c r="AK61" i="10"/>
  <c r="AJ61" i="10"/>
  <c r="AI61" i="10"/>
  <c r="AS61" i="10" s="1"/>
  <c r="AH61" i="10"/>
  <c r="AG61" i="10"/>
  <c r="AF61" i="10"/>
  <c r="AE61" i="10"/>
  <c r="AD61" i="10"/>
  <c r="AL60" i="10"/>
  <c r="AK60" i="10"/>
  <c r="AJ60" i="10"/>
  <c r="AI60" i="10"/>
  <c r="AH60" i="10"/>
  <c r="AG60" i="10"/>
  <c r="AF60" i="10"/>
  <c r="AE60" i="10"/>
  <c r="AD60" i="10"/>
  <c r="AL59" i="10"/>
  <c r="AK59" i="10"/>
  <c r="AJ59" i="10"/>
  <c r="AI59" i="10"/>
  <c r="AH59" i="10"/>
  <c r="AG59" i="10"/>
  <c r="AF59" i="10"/>
  <c r="AE59" i="10"/>
  <c r="AD59" i="10"/>
  <c r="AL58" i="10"/>
  <c r="AK58" i="10"/>
  <c r="AJ58" i="10"/>
  <c r="AI58" i="10"/>
  <c r="AH58" i="10"/>
  <c r="AG58" i="10"/>
  <c r="AF58" i="10"/>
  <c r="AE58" i="10"/>
  <c r="AD58" i="10"/>
  <c r="AL57" i="10"/>
  <c r="AK57" i="10"/>
  <c r="AJ57" i="10"/>
  <c r="AI57" i="10"/>
  <c r="AS57" i="10" s="1"/>
  <c r="AH57" i="10"/>
  <c r="AG57" i="10"/>
  <c r="AF57" i="10"/>
  <c r="AE57" i="10"/>
  <c r="AD57" i="10"/>
  <c r="AL56" i="10"/>
  <c r="AK56" i="10"/>
  <c r="AJ56" i="10"/>
  <c r="AI56" i="10"/>
  <c r="AH56" i="10"/>
  <c r="AG56" i="10"/>
  <c r="AF56" i="10"/>
  <c r="AE56" i="10"/>
  <c r="AD56" i="10"/>
  <c r="AL55" i="10"/>
  <c r="AK55" i="10"/>
  <c r="AJ55" i="10"/>
  <c r="AI55" i="10"/>
  <c r="AH55" i="10"/>
  <c r="AG55" i="10"/>
  <c r="AF55" i="10"/>
  <c r="AE55" i="10"/>
  <c r="AR55" i="10" s="1"/>
  <c r="AD55" i="10"/>
  <c r="AL54" i="10"/>
  <c r="AK54" i="10"/>
  <c r="AJ54" i="10"/>
  <c r="AI54" i="10"/>
  <c r="AH54" i="10"/>
  <c r="AG54" i="10"/>
  <c r="AF54" i="10"/>
  <c r="AE54" i="10"/>
  <c r="AD54" i="10"/>
  <c r="AL53" i="10"/>
  <c r="AK53" i="10"/>
  <c r="AJ53" i="10"/>
  <c r="AI53" i="10"/>
  <c r="AS53" i="10" s="1"/>
  <c r="AH53" i="10"/>
  <c r="AG53" i="10"/>
  <c r="AF53" i="10"/>
  <c r="AE53" i="10"/>
  <c r="AD53" i="10"/>
  <c r="AL52" i="10"/>
  <c r="AK52" i="10"/>
  <c r="AJ52" i="10"/>
  <c r="AI52" i="10"/>
  <c r="AN52" i="10" s="1"/>
  <c r="AH52" i="10"/>
  <c r="AG52" i="10"/>
  <c r="AF52" i="10"/>
  <c r="AE52" i="10"/>
  <c r="AD52" i="10"/>
  <c r="AL51" i="10"/>
  <c r="AK51" i="10"/>
  <c r="AJ51" i="10"/>
  <c r="AI51" i="10"/>
  <c r="AH51" i="10"/>
  <c r="AG51" i="10"/>
  <c r="AF51" i="10"/>
  <c r="AE51" i="10"/>
  <c r="AD51" i="10"/>
  <c r="AL50" i="10"/>
  <c r="AK50" i="10"/>
  <c r="AJ50" i="10"/>
  <c r="AI50" i="10"/>
  <c r="AH50" i="10"/>
  <c r="AG50" i="10"/>
  <c r="AF50" i="10"/>
  <c r="AE50" i="10"/>
  <c r="AD50" i="10"/>
  <c r="AL49" i="10"/>
  <c r="AK49" i="10"/>
  <c r="AJ49" i="10"/>
  <c r="AS49" i="10" s="1"/>
  <c r="AI49" i="10"/>
  <c r="AH49" i="10"/>
  <c r="AG49" i="10"/>
  <c r="AF49" i="10"/>
  <c r="AE49" i="10"/>
  <c r="AD49" i="10"/>
  <c r="AL48" i="10"/>
  <c r="AK48" i="10"/>
  <c r="AJ48" i="10"/>
  <c r="AI48" i="10"/>
  <c r="AS48" i="10" s="1"/>
  <c r="AH48" i="10"/>
  <c r="AG48" i="10"/>
  <c r="AF48" i="10"/>
  <c r="AE48" i="10"/>
  <c r="AD48" i="10"/>
  <c r="AL47" i="10"/>
  <c r="AK47" i="10"/>
  <c r="AJ47" i="10"/>
  <c r="AI47" i="10"/>
  <c r="AH47" i="10"/>
  <c r="AG47" i="10"/>
  <c r="AF47" i="10"/>
  <c r="AS47" i="10" s="1"/>
  <c r="AE47" i="10"/>
  <c r="AD47" i="10"/>
  <c r="AL46" i="10"/>
  <c r="AK46" i="10"/>
  <c r="AJ46" i="10"/>
  <c r="AI46" i="10"/>
  <c r="AH46" i="10"/>
  <c r="AG46" i="10"/>
  <c r="AF46" i="10"/>
  <c r="AE46" i="10"/>
  <c r="AD46" i="10"/>
  <c r="AL45" i="10"/>
  <c r="AK45" i="10"/>
  <c r="AJ45" i="10"/>
  <c r="AI45" i="10"/>
  <c r="AH45" i="10"/>
  <c r="AG45" i="10"/>
  <c r="AF45" i="10"/>
  <c r="AE45" i="10"/>
  <c r="AD45" i="10"/>
  <c r="AL44" i="10"/>
  <c r="AK44" i="10"/>
  <c r="AJ44" i="10"/>
  <c r="AI44" i="10"/>
  <c r="AO44" i="10" s="1"/>
  <c r="AH44" i="10"/>
  <c r="AU44" i="10" s="1"/>
  <c r="AG44" i="10"/>
  <c r="AQ44" i="10" s="1"/>
  <c r="AF44" i="10"/>
  <c r="AE44" i="10"/>
  <c r="AD44" i="10"/>
  <c r="AL43" i="10"/>
  <c r="AK43" i="10"/>
  <c r="AJ43" i="10"/>
  <c r="AI43" i="10"/>
  <c r="AH43" i="10"/>
  <c r="AG43" i="10"/>
  <c r="AF43" i="10"/>
  <c r="AS43" i="10" s="1"/>
  <c r="AE43" i="10"/>
  <c r="AR43" i="10" s="1"/>
  <c r="AD43" i="10"/>
  <c r="AQ43" i="10" s="1"/>
  <c r="AL42" i="10"/>
  <c r="AV42" i="10" s="1"/>
  <c r="AK42" i="10"/>
  <c r="AJ42" i="10"/>
  <c r="AI42" i="10"/>
  <c r="AH42" i="10"/>
  <c r="AG42" i="10"/>
  <c r="AF42" i="10"/>
  <c r="AE42" i="10"/>
  <c r="AD42" i="10"/>
  <c r="AL41" i="10"/>
  <c r="AK41" i="10"/>
  <c r="AJ41" i="10"/>
  <c r="AI41" i="10"/>
  <c r="AH41" i="10"/>
  <c r="AG41" i="10"/>
  <c r="AF41" i="10"/>
  <c r="AE41" i="10"/>
  <c r="AD41" i="10"/>
  <c r="AL40" i="10"/>
  <c r="AK40" i="10"/>
  <c r="AJ40" i="10"/>
  <c r="AI40" i="10"/>
  <c r="AS40" i="10" s="1"/>
  <c r="AH40" i="10"/>
  <c r="AG40" i="10"/>
  <c r="AF40" i="10"/>
  <c r="AE40" i="10"/>
  <c r="AD40" i="10"/>
  <c r="AL39" i="10"/>
  <c r="AK39" i="10"/>
  <c r="AJ39" i="10"/>
  <c r="AI39" i="10"/>
  <c r="AH39" i="10"/>
  <c r="AG39" i="10"/>
  <c r="AF39" i="10"/>
  <c r="AE39" i="10"/>
  <c r="AD39" i="10"/>
  <c r="AL38" i="10"/>
  <c r="AK38" i="10"/>
  <c r="AJ38" i="10"/>
  <c r="AI38" i="10"/>
  <c r="AH38" i="10"/>
  <c r="AG38" i="10"/>
  <c r="AF38" i="10"/>
  <c r="AE38" i="10"/>
  <c r="AD38" i="10"/>
  <c r="AL37" i="10"/>
  <c r="AK37" i="10"/>
  <c r="AJ37" i="10"/>
  <c r="AI37" i="10"/>
  <c r="AH37" i="10"/>
  <c r="AG37" i="10"/>
  <c r="AF37" i="10"/>
  <c r="AE37" i="10"/>
  <c r="AD37" i="10"/>
  <c r="AL36" i="10"/>
  <c r="AK36" i="10"/>
  <c r="AJ36" i="10"/>
  <c r="AI36" i="10"/>
  <c r="AH36" i="10"/>
  <c r="AG36" i="10"/>
  <c r="AF36" i="10"/>
  <c r="AE36" i="10"/>
  <c r="AD36" i="10"/>
  <c r="AL35" i="10"/>
  <c r="AK35" i="10"/>
  <c r="AJ35" i="10"/>
  <c r="AI35" i="10"/>
  <c r="AH35" i="10"/>
  <c r="AG35" i="10"/>
  <c r="AF35" i="10"/>
  <c r="AS35" i="10" s="1"/>
  <c r="AE35" i="10"/>
  <c r="AR35" i="10" s="1"/>
  <c r="AD35" i="10"/>
  <c r="AL34" i="10"/>
  <c r="AK34" i="10"/>
  <c r="AJ34" i="10"/>
  <c r="AI34" i="10"/>
  <c r="AH34" i="10"/>
  <c r="AG34" i="10"/>
  <c r="AF34" i="10"/>
  <c r="AE34" i="10"/>
  <c r="AD34" i="10"/>
  <c r="AL33" i="10"/>
  <c r="AK33" i="10"/>
  <c r="AJ33" i="10"/>
  <c r="AI33" i="10"/>
  <c r="AH33" i="10"/>
  <c r="AG33" i="10"/>
  <c r="AF33" i="10"/>
  <c r="AE33" i="10"/>
  <c r="AD33" i="10"/>
  <c r="AL32" i="10"/>
  <c r="AK32" i="10"/>
  <c r="AJ32" i="10"/>
  <c r="AI32" i="10"/>
  <c r="AH32" i="10"/>
  <c r="AG32" i="10"/>
  <c r="AF32" i="10"/>
  <c r="AE32" i="10"/>
  <c r="AD32" i="10"/>
  <c r="AL31" i="10"/>
  <c r="AK31" i="10"/>
  <c r="AJ31" i="10"/>
  <c r="AT31" i="10" s="1"/>
  <c r="AI31" i="10"/>
  <c r="AH31" i="10"/>
  <c r="AG31" i="10"/>
  <c r="AF31" i="10"/>
  <c r="AE31" i="10"/>
  <c r="AD31" i="10"/>
  <c r="AL30" i="10"/>
  <c r="AK30" i="10"/>
  <c r="AJ30" i="10"/>
  <c r="AI30" i="10"/>
  <c r="AH30" i="10"/>
  <c r="AG30" i="10"/>
  <c r="AF30" i="10"/>
  <c r="AE30" i="10"/>
  <c r="AD30" i="10"/>
  <c r="AL29" i="10"/>
  <c r="AK29" i="10"/>
  <c r="AJ29" i="10"/>
  <c r="AI29" i="10"/>
  <c r="AH29" i="10"/>
  <c r="AG29" i="10"/>
  <c r="AF29" i="10"/>
  <c r="AE29" i="10"/>
  <c r="AD29" i="10"/>
  <c r="AL28" i="10"/>
  <c r="AK28" i="10"/>
  <c r="AJ28" i="10"/>
  <c r="AI28" i="10"/>
  <c r="AO28" i="10" s="1"/>
  <c r="AH28" i="10"/>
  <c r="AG28" i="10"/>
  <c r="AF28" i="10"/>
  <c r="AE28" i="10"/>
  <c r="AD28" i="10"/>
  <c r="AL27" i="10"/>
  <c r="AK27" i="10"/>
  <c r="AJ27" i="10"/>
  <c r="AI27" i="10"/>
  <c r="AH27" i="10"/>
  <c r="AG27" i="10"/>
  <c r="AF27" i="10"/>
  <c r="AE27" i="10"/>
  <c r="AD27" i="10"/>
  <c r="AL26" i="10"/>
  <c r="AK26" i="10"/>
  <c r="AJ26" i="10"/>
  <c r="AI26" i="10"/>
  <c r="AH26" i="10"/>
  <c r="AG26" i="10"/>
  <c r="AF26" i="10"/>
  <c r="AE26" i="10"/>
  <c r="AD26" i="10"/>
  <c r="AL25" i="10"/>
  <c r="AK25" i="10"/>
  <c r="AJ25" i="10"/>
  <c r="AI25" i="10"/>
  <c r="AH25" i="10"/>
  <c r="AG25" i="10"/>
  <c r="AF25" i="10"/>
  <c r="AE25" i="10"/>
  <c r="AD25" i="10"/>
  <c r="AL24" i="10"/>
  <c r="AK24" i="10"/>
  <c r="AJ24" i="10"/>
  <c r="AI24" i="10"/>
  <c r="AH24" i="10"/>
  <c r="AG24" i="10"/>
  <c r="AF24" i="10"/>
  <c r="AE24" i="10"/>
  <c r="AD24" i="10"/>
  <c r="AL23" i="10"/>
  <c r="AK23" i="10"/>
  <c r="AJ23" i="10"/>
  <c r="AI23" i="10"/>
  <c r="AH23" i="10"/>
  <c r="AG23" i="10"/>
  <c r="AF23" i="10"/>
  <c r="AE23" i="10"/>
  <c r="AD23" i="10"/>
  <c r="AL22" i="10"/>
  <c r="AK22" i="10"/>
  <c r="AJ22" i="10"/>
  <c r="AI22" i="10"/>
  <c r="AO22" i="10" s="1"/>
  <c r="AH22" i="10"/>
  <c r="AG22" i="10"/>
  <c r="AF22" i="10"/>
  <c r="AE22" i="10"/>
  <c r="AD22" i="10"/>
  <c r="AQ21" i="10"/>
  <c r="AL21" i="10"/>
  <c r="AV21" i="10" s="1"/>
  <c r="AK21" i="10"/>
  <c r="AJ21" i="10"/>
  <c r="AI21" i="10"/>
  <c r="AH21" i="10"/>
  <c r="AG21" i="10"/>
  <c r="AF21" i="10"/>
  <c r="AE21" i="10"/>
  <c r="AD21" i="10"/>
  <c r="AL20" i="10"/>
  <c r="AK20" i="10"/>
  <c r="AJ20" i="10"/>
  <c r="AI20" i="10"/>
  <c r="AH20" i="10"/>
  <c r="AG20" i="10"/>
  <c r="AF20" i="10"/>
  <c r="AE20" i="10"/>
  <c r="AD20" i="10"/>
  <c r="AL19" i="10"/>
  <c r="AK19" i="10"/>
  <c r="AJ19" i="10"/>
  <c r="AI19" i="10"/>
  <c r="AS19" i="10" s="1"/>
  <c r="AH19" i="10"/>
  <c r="AG19" i="10"/>
  <c r="AF19" i="10"/>
  <c r="AE19" i="10"/>
  <c r="AD19" i="10"/>
  <c r="AL18" i="10"/>
  <c r="AK18" i="10"/>
  <c r="AJ18" i="10"/>
  <c r="AI18" i="10"/>
  <c r="AH18" i="10"/>
  <c r="AG18" i="10"/>
  <c r="AF18" i="10"/>
  <c r="AE18" i="10"/>
  <c r="AD18" i="10"/>
  <c r="AL17" i="10"/>
  <c r="AK17" i="10"/>
  <c r="AJ17" i="10"/>
  <c r="AI17" i="10"/>
  <c r="AH17" i="10"/>
  <c r="AG17" i="10"/>
  <c r="AF17" i="10"/>
  <c r="AE17" i="10"/>
  <c r="AD17" i="10"/>
  <c r="AL16" i="10"/>
  <c r="AK16" i="10"/>
  <c r="AJ16" i="10"/>
  <c r="AI16" i="10"/>
  <c r="AH16" i="10"/>
  <c r="AG16" i="10"/>
  <c r="AF16" i="10"/>
  <c r="AE16" i="10"/>
  <c r="AD16" i="10"/>
  <c r="AL15" i="10"/>
  <c r="AK15" i="10"/>
  <c r="AJ15" i="10"/>
  <c r="AI15" i="10"/>
  <c r="AP15" i="10" s="1"/>
  <c r="AH15" i="10"/>
  <c r="AG15" i="10"/>
  <c r="AF15" i="10"/>
  <c r="AE15" i="10"/>
  <c r="AD15" i="10"/>
  <c r="AL14" i="10"/>
  <c r="AK14" i="10"/>
  <c r="AJ14" i="10"/>
  <c r="AI14" i="10"/>
  <c r="AO14" i="10" s="1"/>
  <c r="AH14" i="10"/>
  <c r="AG14" i="10"/>
  <c r="AF14" i="10"/>
  <c r="AE14" i="10"/>
  <c r="AD14" i="10"/>
  <c r="AL13" i="10"/>
  <c r="AK13" i="10"/>
  <c r="AJ13" i="10"/>
  <c r="AI13" i="10"/>
  <c r="AH13" i="10"/>
  <c r="AG13" i="10"/>
  <c r="AF13" i="10"/>
  <c r="AE13" i="10"/>
  <c r="AD13" i="10"/>
  <c r="AL12" i="10"/>
  <c r="AK12" i="10"/>
  <c r="AJ12" i="10"/>
  <c r="AI12" i="10"/>
  <c r="AH12" i="10"/>
  <c r="AG12" i="10"/>
  <c r="AF12" i="10"/>
  <c r="AE12" i="10"/>
  <c r="AD12" i="10"/>
  <c r="AL11" i="10"/>
  <c r="AK11" i="10"/>
  <c r="AJ11" i="10"/>
  <c r="AI11" i="10"/>
  <c r="AH11" i="10"/>
  <c r="AG11" i="10"/>
  <c r="AF11" i="10"/>
  <c r="AE11" i="10"/>
  <c r="AD11" i="10"/>
  <c r="AL10" i="10"/>
  <c r="AK10" i="10"/>
  <c r="AJ10" i="10"/>
  <c r="AI10" i="10"/>
  <c r="AH10" i="10"/>
  <c r="AG10" i="10"/>
  <c r="AF10" i="10"/>
  <c r="AE10" i="10"/>
  <c r="AD10" i="10"/>
  <c r="AL9" i="10"/>
  <c r="AK9" i="10"/>
  <c r="AJ9" i="10"/>
  <c r="AI9" i="10"/>
  <c r="AH9" i="10"/>
  <c r="AG9" i="10"/>
  <c r="AF9" i="10"/>
  <c r="AE9" i="10"/>
  <c r="AD9" i="10"/>
  <c r="AL8" i="10"/>
  <c r="AK8" i="10"/>
  <c r="AJ8" i="10"/>
  <c r="AI8" i="10"/>
  <c r="AH8" i="10"/>
  <c r="AG8" i="10"/>
  <c r="AF8" i="10"/>
  <c r="AE8" i="10"/>
  <c r="AD8" i="10"/>
  <c r="W17" i="8"/>
  <c r="V12" i="8"/>
  <c r="R4" i="8"/>
  <c r="Q4" i="8"/>
  <c r="P4" i="8"/>
  <c r="O4" i="8"/>
  <c r="N4" i="8"/>
  <c r="M4" i="8"/>
  <c r="L4" i="8"/>
  <c r="K4" i="8"/>
  <c r="J4" i="8"/>
  <c r="I4" i="8"/>
  <c r="R3" i="8"/>
  <c r="Q3" i="8"/>
  <c r="P3" i="8"/>
  <c r="O3" i="8"/>
  <c r="N3" i="8"/>
  <c r="M3" i="8"/>
  <c r="L3" i="8"/>
  <c r="K3" i="8"/>
  <c r="J3" i="8"/>
  <c r="I3" i="8"/>
  <c r="AL139" i="1"/>
  <c r="AK139" i="1"/>
  <c r="AJ139" i="1"/>
  <c r="AI139" i="1"/>
  <c r="AH139" i="1"/>
  <c r="AG139" i="1"/>
  <c r="AF139" i="1"/>
  <c r="AE139" i="1"/>
  <c r="AD139" i="1"/>
  <c r="AL138" i="1"/>
  <c r="AK138" i="1"/>
  <c r="AJ138" i="1"/>
  <c r="AI138" i="1"/>
  <c r="AH138" i="1"/>
  <c r="AG138" i="1"/>
  <c r="AF138" i="1"/>
  <c r="AE138" i="1"/>
  <c r="AD138" i="1"/>
  <c r="AL137" i="1"/>
  <c r="AK137" i="1"/>
  <c r="AJ137" i="1"/>
  <c r="AI137" i="1"/>
  <c r="AS137" i="1" s="1"/>
  <c r="AH137" i="1"/>
  <c r="AG137" i="1"/>
  <c r="AF137" i="1"/>
  <c r="AE137" i="1"/>
  <c r="AD137" i="1"/>
  <c r="AL136" i="1"/>
  <c r="AK136" i="1"/>
  <c r="AJ136" i="1"/>
  <c r="AI136" i="1"/>
  <c r="AH136" i="1"/>
  <c r="AG136" i="1"/>
  <c r="AF136" i="1"/>
  <c r="AE136" i="1"/>
  <c r="AD136" i="1"/>
  <c r="AL135" i="1"/>
  <c r="AK135" i="1"/>
  <c r="AJ135" i="1"/>
  <c r="AI135" i="1"/>
  <c r="AH135" i="1"/>
  <c r="AG135" i="1"/>
  <c r="AF135" i="1"/>
  <c r="AE135" i="1"/>
  <c r="AD135" i="1"/>
  <c r="AL134" i="1"/>
  <c r="AK134" i="1"/>
  <c r="AJ134" i="1"/>
  <c r="AI134" i="1"/>
  <c r="AH134" i="1"/>
  <c r="AG134" i="1"/>
  <c r="AF134" i="1"/>
  <c r="AE134" i="1"/>
  <c r="AD134" i="1"/>
  <c r="AL133" i="1"/>
  <c r="AK133" i="1"/>
  <c r="AJ133" i="1"/>
  <c r="AI133" i="1"/>
  <c r="AH133" i="1"/>
  <c r="AG133" i="1"/>
  <c r="AF133" i="1"/>
  <c r="AE133" i="1"/>
  <c r="AD133" i="1"/>
  <c r="AL132" i="1"/>
  <c r="AK132" i="1"/>
  <c r="AJ132" i="1"/>
  <c r="AI132" i="1"/>
  <c r="AH132" i="1"/>
  <c r="AG132" i="1"/>
  <c r="AF132" i="1"/>
  <c r="AE132" i="1"/>
  <c r="AD132" i="1"/>
  <c r="AL131" i="1"/>
  <c r="AK131" i="1"/>
  <c r="AJ131" i="1"/>
  <c r="AI131" i="1"/>
  <c r="AH131" i="1"/>
  <c r="AG131" i="1"/>
  <c r="AF131" i="1"/>
  <c r="AE131" i="1"/>
  <c r="AD131" i="1"/>
  <c r="AL130" i="1"/>
  <c r="AK130" i="1"/>
  <c r="AJ130" i="1"/>
  <c r="AI130" i="1"/>
  <c r="AH130" i="1"/>
  <c r="AG130" i="1"/>
  <c r="AF130" i="1"/>
  <c r="AE130" i="1"/>
  <c r="AD130" i="1"/>
  <c r="AL129" i="1"/>
  <c r="AK129" i="1"/>
  <c r="AJ129" i="1"/>
  <c r="AI129" i="1"/>
  <c r="AH129" i="1"/>
  <c r="AG129" i="1"/>
  <c r="AF129" i="1"/>
  <c r="AE129" i="1"/>
  <c r="AD129" i="1"/>
  <c r="AL128" i="1"/>
  <c r="AK128" i="1"/>
  <c r="AJ128" i="1"/>
  <c r="AI128" i="1"/>
  <c r="AH128" i="1"/>
  <c r="AG128" i="1"/>
  <c r="AF128" i="1"/>
  <c r="AE128" i="1"/>
  <c r="AD128" i="1"/>
  <c r="AL127" i="1"/>
  <c r="AK127" i="1"/>
  <c r="AJ127" i="1"/>
  <c r="AI127" i="1"/>
  <c r="AH127" i="1"/>
  <c r="AG127" i="1"/>
  <c r="AF127" i="1"/>
  <c r="AE127" i="1"/>
  <c r="AD127" i="1"/>
  <c r="AL126" i="1"/>
  <c r="AK126" i="1"/>
  <c r="AJ126" i="1"/>
  <c r="AI126" i="1"/>
  <c r="AH126" i="1"/>
  <c r="AG126" i="1"/>
  <c r="AF126" i="1"/>
  <c r="AE126" i="1"/>
  <c r="AD126" i="1"/>
  <c r="AL125" i="1"/>
  <c r="AK125" i="1"/>
  <c r="AJ125" i="1"/>
  <c r="AI125" i="1"/>
  <c r="AH125" i="1"/>
  <c r="AG125" i="1"/>
  <c r="AF125" i="1"/>
  <c r="AE125" i="1"/>
  <c r="AD125" i="1"/>
  <c r="AL124" i="1"/>
  <c r="AK124" i="1"/>
  <c r="AJ124" i="1"/>
  <c r="AI124" i="1"/>
  <c r="AH124" i="1"/>
  <c r="AG124" i="1"/>
  <c r="AF124" i="1"/>
  <c r="AE124" i="1"/>
  <c r="AD124" i="1"/>
  <c r="AL123" i="1"/>
  <c r="AK123" i="1"/>
  <c r="AJ123" i="1"/>
  <c r="AI123" i="1"/>
  <c r="AH123" i="1"/>
  <c r="AG123" i="1"/>
  <c r="AF123" i="1"/>
  <c r="AE123" i="1"/>
  <c r="AD123" i="1"/>
  <c r="AL122" i="1"/>
  <c r="AK122" i="1"/>
  <c r="AJ122" i="1"/>
  <c r="AU122" i="1" s="1"/>
  <c r="AI122" i="1"/>
  <c r="AH122" i="1"/>
  <c r="AG122" i="1"/>
  <c r="AF122" i="1"/>
  <c r="AE122" i="1"/>
  <c r="AD122" i="1"/>
  <c r="AL121" i="1"/>
  <c r="AK121" i="1"/>
  <c r="AJ121" i="1"/>
  <c r="AI121" i="1"/>
  <c r="AH121" i="1"/>
  <c r="AG121" i="1"/>
  <c r="AF121" i="1"/>
  <c r="AE121" i="1"/>
  <c r="AD121" i="1"/>
  <c r="AL120" i="1"/>
  <c r="AK120" i="1"/>
  <c r="AJ120" i="1"/>
  <c r="AI120" i="1"/>
  <c r="AH120" i="1"/>
  <c r="AG120" i="1"/>
  <c r="AF120" i="1"/>
  <c r="AE120" i="1"/>
  <c r="AD120" i="1"/>
  <c r="AL119" i="1"/>
  <c r="AK119" i="1"/>
  <c r="AU119" i="1" s="1"/>
  <c r="AJ119" i="1"/>
  <c r="AI119" i="1"/>
  <c r="AH119" i="1"/>
  <c r="AG119" i="1"/>
  <c r="AF119" i="1"/>
  <c r="AE119" i="1"/>
  <c r="AD119" i="1"/>
  <c r="AL118" i="1"/>
  <c r="AK118" i="1"/>
  <c r="AJ118" i="1"/>
  <c r="AI118" i="1"/>
  <c r="AH118" i="1"/>
  <c r="AG118" i="1"/>
  <c r="AF118" i="1"/>
  <c r="AE118" i="1"/>
  <c r="AD118" i="1"/>
  <c r="AL117" i="1"/>
  <c r="AK117" i="1"/>
  <c r="AJ117" i="1"/>
  <c r="AI117" i="1"/>
  <c r="AS117" i="1" s="1"/>
  <c r="AH117" i="1"/>
  <c r="AG117" i="1"/>
  <c r="AF117" i="1"/>
  <c r="AE117" i="1"/>
  <c r="AD117" i="1"/>
  <c r="AL116" i="1"/>
  <c r="AK116" i="1"/>
  <c r="AJ116" i="1"/>
  <c r="AI116" i="1"/>
  <c r="AH116" i="1"/>
  <c r="AG116" i="1"/>
  <c r="AF116" i="1"/>
  <c r="AE116" i="1"/>
  <c r="AD116" i="1"/>
  <c r="AL115" i="1"/>
  <c r="AK115" i="1"/>
  <c r="AJ115" i="1"/>
  <c r="AI115" i="1"/>
  <c r="AH115" i="1"/>
  <c r="AG115" i="1"/>
  <c r="AF115" i="1"/>
  <c r="AE115" i="1"/>
  <c r="AD115" i="1"/>
  <c r="AL114" i="1"/>
  <c r="AK114" i="1"/>
  <c r="AJ114" i="1"/>
  <c r="AQ114" i="1" s="1"/>
  <c r="AI114" i="1"/>
  <c r="AH114" i="1"/>
  <c r="AG114" i="1"/>
  <c r="AF114" i="1"/>
  <c r="AE114" i="1"/>
  <c r="AD114" i="1"/>
  <c r="AL113" i="1"/>
  <c r="AK113" i="1"/>
  <c r="AJ113" i="1"/>
  <c r="AI113" i="1"/>
  <c r="AH113" i="1"/>
  <c r="AG113" i="1"/>
  <c r="AF113" i="1"/>
  <c r="AE113" i="1"/>
  <c r="AD113" i="1"/>
  <c r="AL112" i="1"/>
  <c r="AT112" i="1" s="1"/>
  <c r="AK112" i="1"/>
  <c r="AJ112" i="1"/>
  <c r="AI112" i="1"/>
  <c r="AH112" i="1"/>
  <c r="AG112" i="1"/>
  <c r="AF112" i="1"/>
  <c r="AE112" i="1"/>
  <c r="AD112" i="1"/>
  <c r="AL111" i="1"/>
  <c r="AK111" i="1"/>
  <c r="AJ111" i="1"/>
  <c r="AI111" i="1"/>
  <c r="AH111" i="1"/>
  <c r="AG111" i="1"/>
  <c r="AF111" i="1"/>
  <c r="AE111" i="1"/>
  <c r="AD111" i="1"/>
  <c r="AL110" i="1"/>
  <c r="AK110" i="1"/>
  <c r="AJ110" i="1"/>
  <c r="AI110" i="1"/>
  <c r="AH110" i="1"/>
  <c r="AG110" i="1"/>
  <c r="AF110" i="1"/>
  <c r="AE110" i="1"/>
  <c r="AD110" i="1"/>
  <c r="AL109" i="1"/>
  <c r="AK109" i="1"/>
  <c r="AJ109" i="1"/>
  <c r="AU109" i="1" s="1"/>
  <c r="AI109" i="1"/>
  <c r="AH109" i="1"/>
  <c r="AG109" i="1"/>
  <c r="AF109" i="1"/>
  <c r="AE109" i="1"/>
  <c r="AD109" i="1"/>
  <c r="AL108" i="1"/>
  <c r="AK108" i="1"/>
  <c r="AJ108" i="1"/>
  <c r="AI108" i="1"/>
  <c r="AH108" i="1"/>
  <c r="AG108" i="1"/>
  <c r="AF108" i="1"/>
  <c r="AE108" i="1"/>
  <c r="AD108" i="1"/>
  <c r="AL107" i="1"/>
  <c r="AK107" i="1"/>
  <c r="AJ107" i="1"/>
  <c r="AI107" i="1"/>
  <c r="AH107" i="1"/>
  <c r="AG107" i="1"/>
  <c r="AF107" i="1"/>
  <c r="AE107" i="1"/>
  <c r="AD107" i="1"/>
  <c r="AL106" i="1"/>
  <c r="AK106" i="1"/>
  <c r="AJ106" i="1"/>
  <c r="AI106" i="1"/>
  <c r="AH106" i="1"/>
  <c r="AG106" i="1"/>
  <c r="AF106" i="1"/>
  <c r="AE106" i="1"/>
  <c r="AD106" i="1"/>
  <c r="AL105" i="1"/>
  <c r="AK105" i="1"/>
  <c r="AJ105" i="1"/>
  <c r="AI105" i="1"/>
  <c r="AH105" i="1"/>
  <c r="AG105" i="1"/>
  <c r="AF105" i="1"/>
  <c r="AP105" i="1" s="1"/>
  <c r="AE105" i="1"/>
  <c r="AD105" i="1"/>
  <c r="AL104" i="1"/>
  <c r="AK104" i="1"/>
  <c r="AJ104" i="1"/>
  <c r="AI104" i="1"/>
  <c r="AH104" i="1"/>
  <c r="AG104" i="1"/>
  <c r="AF104" i="1"/>
  <c r="AE104" i="1"/>
  <c r="AD104" i="1"/>
  <c r="AL103" i="1"/>
  <c r="AK103" i="1"/>
  <c r="AJ103" i="1"/>
  <c r="AI103" i="1"/>
  <c r="AH103" i="1"/>
  <c r="AG103" i="1"/>
  <c r="AF103" i="1"/>
  <c r="AE103" i="1"/>
  <c r="AD103" i="1"/>
  <c r="AL102" i="1"/>
  <c r="AK102" i="1"/>
  <c r="AJ102" i="1"/>
  <c r="AI102" i="1"/>
  <c r="AH102" i="1"/>
  <c r="AG102" i="1"/>
  <c r="AF102" i="1"/>
  <c r="AE102" i="1"/>
  <c r="AD102" i="1"/>
  <c r="AL101" i="1"/>
  <c r="AK101" i="1"/>
  <c r="AJ101" i="1"/>
  <c r="AI101" i="1"/>
  <c r="AH101" i="1"/>
  <c r="AG101" i="1"/>
  <c r="AF101" i="1"/>
  <c r="AE101" i="1"/>
  <c r="AD101" i="1"/>
  <c r="AL100" i="1"/>
  <c r="AK100" i="1"/>
  <c r="AJ100" i="1"/>
  <c r="AI100" i="1"/>
  <c r="AH100" i="1"/>
  <c r="AG100" i="1"/>
  <c r="AF100" i="1"/>
  <c r="AE100" i="1"/>
  <c r="AD100" i="1"/>
  <c r="AL99" i="1"/>
  <c r="AK99" i="1"/>
  <c r="AJ99" i="1"/>
  <c r="AI99" i="1"/>
  <c r="AH99" i="1"/>
  <c r="AG99" i="1"/>
  <c r="AF99" i="1"/>
  <c r="AE99" i="1"/>
  <c r="AD99" i="1"/>
  <c r="AL98" i="1"/>
  <c r="AK98" i="1"/>
  <c r="AJ98" i="1"/>
  <c r="AI98" i="1"/>
  <c r="AH98" i="1"/>
  <c r="AG98" i="1"/>
  <c r="AF98" i="1"/>
  <c r="AE98" i="1"/>
  <c r="AD98" i="1"/>
  <c r="AL97" i="1"/>
  <c r="AK97" i="1"/>
  <c r="AJ97" i="1"/>
  <c r="AI97" i="1"/>
  <c r="AH97" i="1"/>
  <c r="AG97" i="1"/>
  <c r="AF97" i="1"/>
  <c r="AE97" i="1"/>
  <c r="AD97" i="1"/>
  <c r="AL96" i="1"/>
  <c r="AK96" i="1"/>
  <c r="AJ96" i="1"/>
  <c r="AI96" i="1"/>
  <c r="AH96" i="1"/>
  <c r="AG96" i="1"/>
  <c r="AF96" i="1"/>
  <c r="AE96" i="1"/>
  <c r="AD96" i="1"/>
  <c r="AL95" i="1"/>
  <c r="AK95" i="1"/>
  <c r="AJ95" i="1"/>
  <c r="AI95" i="1"/>
  <c r="AH95" i="1"/>
  <c r="AG95" i="1"/>
  <c r="AF95" i="1"/>
  <c r="AE95" i="1"/>
  <c r="AD95" i="1"/>
  <c r="AL94" i="1"/>
  <c r="AK94" i="1"/>
  <c r="AJ94" i="1"/>
  <c r="AI94" i="1"/>
  <c r="AH94" i="1"/>
  <c r="AG94" i="1"/>
  <c r="AF94" i="1"/>
  <c r="AE94" i="1"/>
  <c r="AD94" i="1"/>
  <c r="AL93" i="1"/>
  <c r="AK93" i="1"/>
  <c r="AJ93" i="1"/>
  <c r="AI93" i="1"/>
  <c r="AH93" i="1"/>
  <c r="AG93" i="1"/>
  <c r="AF93" i="1"/>
  <c r="AE93" i="1"/>
  <c r="AD93" i="1"/>
  <c r="AL92" i="1"/>
  <c r="AK92" i="1"/>
  <c r="AJ92" i="1"/>
  <c r="AI92" i="1"/>
  <c r="AH92" i="1"/>
  <c r="AG92" i="1"/>
  <c r="AF92" i="1"/>
  <c r="AE92" i="1"/>
  <c r="AD92" i="1"/>
  <c r="AL91" i="1"/>
  <c r="AK91" i="1"/>
  <c r="AJ91" i="1"/>
  <c r="AI91" i="1"/>
  <c r="AH91" i="1"/>
  <c r="AG91" i="1"/>
  <c r="AF91" i="1"/>
  <c r="AE91" i="1"/>
  <c r="AD91" i="1"/>
  <c r="AL90" i="1"/>
  <c r="AK90" i="1"/>
  <c r="AJ90" i="1"/>
  <c r="AI90" i="1"/>
  <c r="AH90" i="1"/>
  <c r="AG90" i="1"/>
  <c r="AF90" i="1"/>
  <c r="AE90" i="1"/>
  <c r="AD90" i="1"/>
  <c r="AL89" i="1"/>
  <c r="AK89" i="1"/>
  <c r="AJ89" i="1"/>
  <c r="AI89" i="1"/>
  <c r="AH89" i="1"/>
  <c r="AG89" i="1"/>
  <c r="AF89" i="1"/>
  <c r="AE89" i="1"/>
  <c r="AD89" i="1"/>
  <c r="AL88" i="1"/>
  <c r="AK88" i="1"/>
  <c r="AJ88" i="1"/>
  <c r="AI88" i="1"/>
  <c r="AR88" i="1" s="1"/>
  <c r="AH88" i="1"/>
  <c r="AG88" i="1"/>
  <c r="AF88" i="1"/>
  <c r="AE88" i="1"/>
  <c r="AD88" i="1"/>
  <c r="AL87" i="1"/>
  <c r="AK87" i="1"/>
  <c r="AJ87" i="1"/>
  <c r="AI87" i="1"/>
  <c r="AH87" i="1"/>
  <c r="AG87" i="1"/>
  <c r="AF87" i="1"/>
  <c r="AE87" i="1"/>
  <c r="AD87" i="1"/>
  <c r="AL86" i="1"/>
  <c r="AK86" i="1"/>
  <c r="AJ86" i="1"/>
  <c r="AI86" i="1"/>
  <c r="AH86" i="1"/>
  <c r="AG86" i="1"/>
  <c r="AF86" i="1"/>
  <c r="AE86" i="1"/>
  <c r="AD86" i="1"/>
  <c r="AL85" i="1"/>
  <c r="AK85" i="1"/>
  <c r="AJ85" i="1"/>
  <c r="AI85" i="1"/>
  <c r="AH85" i="1"/>
  <c r="AG85" i="1"/>
  <c r="AF85" i="1"/>
  <c r="AE85" i="1"/>
  <c r="AD85" i="1"/>
  <c r="AL84" i="1"/>
  <c r="AK84" i="1"/>
  <c r="AJ84" i="1"/>
  <c r="AI84" i="1"/>
  <c r="AH84" i="1"/>
  <c r="AG84" i="1"/>
  <c r="AF84" i="1"/>
  <c r="AE84" i="1"/>
  <c r="AD84" i="1"/>
  <c r="AL83" i="1"/>
  <c r="AK83" i="1"/>
  <c r="AJ83" i="1"/>
  <c r="AI83" i="1"/>
  <c r="AH83" i="1"/>
  <c r="AG83" i="1"/>
  <c r="AF83" i="1"/>
  <c r="AE83" i="1"/>
  <c r="AD83" i="1"/>
  <c r="AL82" i="1"/>
  <c r="AK82" i="1"/>
  <c r="AJ82" i="1"/>
  <c r="AI82" i="1"/>
  <c r="AH82" i="1"/>
  <c r="AG82" i="1"/>
  <c r="AF82" i="1"/>
  <c r="AE82" i="1"/>
  <c r="AD82" i="1"/>
  <c r="AL81" i="1"/>
  <c r="AK81" i="1"/>
  <c r="AJ81" i="1"/>
  <c r="AI81" i="1"/>
  <c r="AH81" i="1"/>
  <c r="AG81" i="1"/>
  <c r="AF81" i="1"/>
  <c r="AE81" i="1"/>
  <c r="AD81" i="1"/>
  <c r="AL80" i="1"/>
  <c r="AK80" i="1"/>
  <c r="AJ80" i="1"/>
  <c r="AI80" i="1"/>
  <c r="AV80" i="1" s="1"/>
  <c r="AH80" i="1"/>
  <c r="AG80" i="1"/>
  <c r="AF80" i="1"/>
  <c r="AE80" i="1"/>
  <c r="AD80" i="1"/>
  <c r="AT79" i="1"/>
  <c r="AL79" i="1"/>
  <c r="AK79" i="1"/>
  <c r="AJ79" i="1"/>
  <c r="AI79" i="1"/>
  <c r="AH79" i="1"/>
  <c r="AG79" i="1"/>
  <c r="AQ79" i="1" s="1"/>
  <c r="AF79" i="1"/>
  <c r="AE79" i="1"/>
  <c r="AD79" i="1"/>
  <c r="AL78" i="1"/>
  <c r="AK78" i="1"/>
  <c r="AJ78" i="1"/>
  <c r="AI78" i="1"/>
  <c r="AH78" i="1"/>
  <c r="AG78" i="1"/>
  <c r="AF78" i="1"/>
  <c r="AE78" i="1"/>
  <c r="AD78" i="1"/>
  <c r="AL77" i="1"/>
  <c r="AK77" i="1"/>
  <c r="AJ77" i="1"/>
  <c r="AI77" i="1"/>
  <c r="AH77" i="1"/>
  <c r="AG77" i="1"/>
  <c r="AF77" i="1"/>
  <c r="AE77" i="1"/>
  <c r="AD77" i="1"/>
  <c r="AL76" i="1"/>
  <c r="AK76" i="1"/>
  <c r="AJ76" i="1"/>
  <c r="AI76" i="1"/>
  <c r="AH76" i="1"/>
  <c r="AG76" i="1"/>
  <c r="AF76" i="1"/>
  <c r="AE76" i="1"/>
  <c r="AD76" i="1"/>
  <c r="AL75" i="1"/>
  <c r="AK75" i="1"/>
  <c r="AJ75" i="1"/>
  <c r="AI75" i="1"/>
  <c r="AP75" i="1" s="1"/>
  <c r="AH75" i="1"/>
  <c r="AG75" i="1"/>
  <c r="AF75" i="1"/>
  <c r="AE75" i="1"/>
  <c r="AD75" i="1"/>
  <c r="AL74" i="1"/>
  <c r="AK74" i="1"/>
  <c r="AJ74" i="1"/>
  <c r="AI74" i="1"/>
  <c r="AH74" i="1"/>
  <c r="AG74" i="1"/>
  <c r="AF74" i="1"/>
  <c r="AE74" i="1"/>
  <c r="AD74" i="1"/>
  <c r="AL73" i="1"/>
  <c r="AK73" i="1"/>
  <c r="AJ73" i="1"/>
  <c r="AI73" i="1"/>
  <c r="AH73" i="1"/>
  <c r="AG73" i="1"/>
  <c r="AF73" i="1"/>
  <c r="AE73" i="1"/>
  <c r="AD73" i="1"/>
  <c r="AL72" i="1"/>
  <c r="AK72" i="1"/>
  <c r="AJ72" i="1"/>
  <c r="AI72" i="1"/>
  <c r="AH72" i="1"/>
  <c r="AG72" i="1"/>
  <c r="AF72" i="1"/>
  <c r="AE72" i="1"/>
  <c r="AD72" i="1"/>
  <c r="AL71" i="1"/>
  <c r="AK71" i="1"/>
  <c r="AJ71" i="1"/>
  <c r="AI71" i="1"/>
  <c r="AH71" i="1"/>
  <c r="AG71" i="1"/>
  <c r="AF71" i="1"/>
  <c r="AE71" i="1"/>
  <c r="AD71" i="1"/>
  <c r="AL70" i="1"/>
  <c r="AK70" i="1"/>
  <c r="AJ70" i="1"/>
  <c r="AI70" i="1"/>
  <c r="AH70" i="1"/>
  <c r="AG70" i="1"/>
  <c r="AF70" i="1"/>
  <c r="AE70" i="1"/>
  <c r="AD70" i="1"/>
  <c r="AL69" i="1"/>
  <c r="AK69" i="1"/>
  <c r="AJ69" i="1"/>
  <c r="AI69" i="1"/>
  <c r="AH69" i="1"/>
  <c r="AG69" i="1"/>
  <c r="AF69" i="1"/>
  <c r="AE69" i="1"/>
  <c r="AD69" i="1"/>
  <c r="AL68" i="1"/>
  <c r="AK68" i="1"/>
  <c r="AJ68" i="1"/>
  <c r="AI68" i="1"/>
  <c r="AH68" i="1"/>
  <c r="AG68" i="1"/>
  <c r="AF68" i="1"/>
  <c r="AE68" i="1"/>
  <c r="AD68" i="1"/>
  <c r="AL67" i="1"/>
  <c r="AK67" i="1"/>
  <c r="AJ67" i="1"/>
  <c r="AT67" i="1" s="1"/>
  <c r="AI67" i="1"/>
  <c r="AS67" i="1" s="1"/>
  <c r="AH67" i="1"/>
  <c r="AG67" i="1"/>
  <c r="AF67" i="1"/>
  <c r="AE67" i="1"/>
  <c r="AD67" i="1"/>
  <c r="AL66" i="1"/>
  <c r="AK66" i="1"/>
  <c r="AJ66" i="1"/>
  <c r="AI66" i="1"/>
  <c r="AH66" i="1"/>
  <c r="AG66" i="1"/>
  <c r="AF66" i="1"/>
  <c r="AE66" i="1"/>
  <c r="AD66" i="1"/>
  <c r="AL65" i="1"/>
  <c r="AK65" i="1"/>
  <c r="AJ65" i="1"/>
  <c r="AI65" i="1"/>
  <c r="AP65" i="1" s="1"/>
  <c r="AH65" i="1"/>
  <c r="AG65" i="1"/>
  <c r="AF65" i="1"/>
  <c r="AE65" i="1"/>
  <c r="AD65" i="1"/>
  <c r="AL64" i="1"/>
  <c r="AK64" i="1"/>
  <c r="AJ64" i="1"/>
  <c r="AI64" i="1"/>
  <c r="AH64" i="1"/>
  <c r="AG64" i="1"/>
  <c r="AF64" i="1"/>
  <c r="AE64" i="1"/>
  <c r="AD64" i="1"/>
  <c r="AL63" i="1"/>
  <c r="AK63" i="1"/>
  <c r="AJ63" i="1"/>
  <c r="AI63" i="1"/>
  <c r="AH63" i="1"/>
  <c r="AG63" i="1"/>
  <c r="AF63" i="1"/>
  <c r="AE63" i="1"/>
  <c r="AS63" i="1" s="1"/>
  <c r="AD63" i="1"/>
  <c r="AL62" i="1"/>
  <c r="AK62" i="1"/>
  <c r="AJ62" i="1"/>
  <c r="AI62" i="1"/>
  <c r="AH62" i="1"/>
  <c r="AG62" i="1"/>
  <c r="AF62" i="1"/>
  <c r="AE62" i="1"/>
  <c r="AD62" i="1"/>
  <c r="AL61" i="1"/>
  <c r="AK61" i="1"/>
  <c r="AU61" i="1" s="1"/>
  <c r="AJ61" i="1"/>
  <c r="AI61" i="1"/>
  <c r="AH61" i="1"/>
  <c r="AG61" i="1"/>
  <c r="AF61" i="1"/>
  <c r="AE61" i="1"/>
  <c r="AD61" i="1"/>
  <c r="AL60" i="1"/>
  <c r="AK60" i="1"/>
  <c r="AJ60" i="1"/>
  <c r="AI60" i="1"/>
  <c r="AH60" i="1"/>
  <c r="AG60" i="1"/>
  <c r="AF60" i="1"/>
  <c r="AE60" i="1"/>
  <c r="AD60" i="1"/>
  <c r="AL59" i="1"/>
  <c r="AK59" i="1"/>
  <c r="AJ59" i="1"/>
  <c r="AI59" i="1"/>
  <c r="AN59" i="1" s="1"/>
  <c r="AH59" i="1"/>
  <c r="AG59" i="1"/>
  <c r="AF59" i="1"/>
  <c r="AE59" i="1"/>
  <c r="AD59" i="1"/>
  <c r="AL58" i="1"/>
  <c r="AK58" i="1"/>
  <c r="AJ58" i="1"/>
  <c r="AI58" i="1"/>
  <c r="AH58" i="1"/>
  <c r="AG58" i="1"/>
  <c r="AF58" i="1"/>
  <c r="AE58" i="1"/>
  <c r="AD58" i="1"/>
  <c r="AL57" i="1"/>
  <c r="AK57" i="1"/>
  <c r="AJ57" i="1"/>
  <c r="AI57" i="1"/>
  <c r="AH57" i="1"/>
  <c r="AG57" i="1"/>
  <c r="AF57" i="1"/>
  <c r="AE57" i="1"/>
  <c r="AD57" i="1"/>
  <c r="AL56" i="1"/>
  <c r="AK56" i="1"/>
  <c r="AJ56" i="1"/>
  <c r="AI56" i="1"/>
  <c r="AH56" i="1"/>
  <c r="AG56" i="1"/>
  <c r="AF56" i="1"/>
  <c r="AE56" i="1"/>
  <c r="AD56" i="1"/>
  <c r="AL55" i="1"/>
  <c r="AK55" i="1"/>
  <c r="AJ55" i="1"/>
  <c r="AI55" i="1"/>
  <c r="AH55" i="1"/>
  <c r="AG55" i="1"/>
  <c r="AF55" i="1"/>
  <c r="AE55" i="1"/>
  <c r="AD55" i="1"/>
  <c r="AL54" i="1"/>
  <c r="AK54" i="1"/>
  <c r="AJ54" i="1"/>
  <c r="AI54" i="1"/>
  <c r="AH54" i="1"/>
  <c r="AG54" i="1"/>
  <c r="AF54" i="1"/>
  <c r="AE54" i="1"/>
  <c r="AD54" i="1"/>
  <c r="AL53" i="1"/>
  <c r="AK53" i="1"/>
  <c r="AN53" i="1" s="1"/>
  <c r="AJ53" i="1"/>
  <c r="AI53" i="1"/>
  <c r="AH53" i="1"/>
  <c r="AG53" i="1"/>
  <c r="AF53" i="1"/>
  <c r="AE53" i="1"/>
  <c r="AD53" i="1"/>
  <c r="AL52" i="1"/>
  <c r="AK52" i="1"/>
  <c r="AJ52" i="1"/>
  <c r="AI52" i="1"/>
  <c r="AH52" i="1"/>
  <c r="AG52" i="1"/>
  <c r="AF52" i="1"/>
  <c r="AE52" i="1"/>
  <c r="AD52" i="1"/>
  <c r="AL51" i="1"/>
  <c r="AK51" i="1"/>
  <c r="AJ51" i="1"/>
  <c r="AI51" i="1"/>
  <c r="AH51" i="1"/>
  <c r="AR51" i="1" s="1"/>
  <c r="AG51" i="1"/>
  <c r="AF51" i="1"/>
  <c r="AE51" i="1"/>
  <c r="AD51" i="1"/>
  <c r="AL50" i="1"/>
  <c r="AK50" i="1"/>
  <c r="AJ50" i="1"/>
  <c r="AI50" i="1"/>
  <c r="AH50" i="1"/>
  <c r="AG50" i="1"/>
  <c r="AF50" i="1"/>
  <c r="AE50" i="1"/>
  <c r="AD50" i="1"/>
  <c r="AL49" i="1"/>
  <c r="AK49" i="1"/>
  <c r="AJ49" i="1"/>
  <c r="AI49" i="1"/>
  <c r="AH49" i="1"/>
  <c r="AG49" i="1"/>
  <c r="AF49" i="1"/>
  <c r="AE49" i="1"/>
  <c r="AD49" i="1"/>
  <c r="AL48" i="1"/>
  <c r="AK48" i="1"/>
  <c r="AJ48" i="1"/>
  <c r="AI48" i="1"/>
  <c r="AH48" i="1"/>
  <c r="AG48" i="1"/>
  <c r="AF48" i="1"/>
  <c r="AE48" i="1"/>
  <c r="AD48" i="1"/>
  <c r="AL47" i="1"/>
  <c r="AK47" i="1"/>
  <c r="AJ47" i="1"/>
  <c r="AI47" i="1"/>
  <c r="AH47" i="1"/>
  <c r="AG47" i="1"/>
  <c r="AF47" i="1"/>
  <c r="AE47" i="1"/>
  <c r="AD47" i="1"/>
  <c r="AL46" i="1"/>
  <c r="AK46" i="1"/>
  <c r="AJ46" i="1"/>
  <c r="AI46" i="1"/>
  <c r="AH46" i="1"/>
  <c r="AG46" i="1"/>
  <c r="AF46" i="1"/>
  <c r="AE46" i="1"/>
  <c r="AD46" i="1"/>
  <c r="AL45" i="1"/>
  <c r="AK45" i="1"/>
  <c r="AJ45" i="1"/>
  <c r="AI45" i="1"/>
  <c r="AH45" i="1"/>
  <c r="AG45" i="1"/>
  <c r="AF45" i="1"/>
  <c r="AE45" i="1"/>
  <c r="AD45" i="1"/>
  <c r="AL44" i="1"/>
  <c r="AK44" i="1"/>
  <c r="AJ44" i="1"/>
  <c r="AI44" i="1"/>
  <c r="AH44" i="1"/>
  <c r="AG44" i="1"/>
  <c r="AF44" i="1"/>
  <c r="AE44" i="1"/>
  <c r="AD44" i="1"/>
  <c r="AL43" i="1"/>
  <c r="AK43" i="1"/>
  <c r="AJ43" i="1"/>
  <c r="AI43" i="1"/>
  <c r="AS43" i="1" s="1"/>
  <c r="AH43" i="1"/>
  <c r="AG43" i="1"/>
  <c r="AF43" i="1"/>
  <c r="AE43" i="1"/>
  <c r="AD43" i="1"/>
  <c r="AL42" i="1"/>
  <c r="AK42" i="1"/>
  <c r="AJ42" i="1"/>
  <c r="AI42" i="1"/>
  <c r="AH42" i="1"/>
  <c r="AG42" i="1"/>
  <c r="AF42" i="1"/>
  <c r="AE42" i="1"/>
  <c r="AD42" i="1"/>
  <c r="AL41" i="1"/>
  <c r="AK41" i="1"/>
  <c r="AJ41" i="1"/>
  <c r="AI41" i="1"/>
  <c r="AH41" i="1"/>
  <c r="AG41" i="1"/>
  <c r="AF41" i="1"/>
  <c r="AE41" i="1"/>
  <c r="AD41" i="1"/>
  <c r="AL40" i="1"/>
  <c r="AK40" i="1"/>
  <c r="AJ40" i="1"/>
  <c r="AI40" i="1"/>
  <c r="AH40" i="1"/>
  <c r="AG40" i="1"/>
  <c r="AF40" i="1"/>
  <c r="AE40" i="1"/>
  <c r="AD40" i="1"/>
  <c r="AL39" i="1"/>
  <c r="AK39" i="1"/>
  <c r="AJ39" i="1"/>
  <c r="AI39" i="1"/>
  <c r="AO39" i="1" s="1"/>
  <c r="AH39" i="1"/>
  <c r="AG39" i="1"/>
  <c r="AF39" i="1"/>
  <c r="AE39" i="1"/>
  <c r="AD39" i="1"/>
  <c r="AL38" i="1"/>
  <c r="AK38" i="1"/>
  <c r="AJ38" i="1"/>
  <c r="AI38" i="1"/>
  <c r="AH38" i="1"/>
  <c r="AG38" i="1"/>
  <c r="AF38" i="1"/>
  <c r="AE38" i="1"/>
  <c r="AD38" i="1"/>
  <c r="AL37" i="1"/>
  <c r="AK37" i="1"/>
  <c r="AJ37" i="1"/>
  <c r="AI37" i="1"/>
  <c r="AH37" i="1"/>
  <c r="AG37" i="1"/>
  <c r="AF37" i="1"/>
  <c r="AE37" i="1"/>
  <c r="AD37" i="1"/>
  <c r="AL36" i="1"/>
  <c r="AK36" i="1"/>
  <c r="AJ36" i="1"/>
  <c r="AI36" i="1"/>
  <c r="AH36" i="1"/>
  <c r="AG36" i="1"/>
  <c r="AF36" i="1"/>
  <c r="AE36" i="1"/>
  <c r="AD36" i="1"/>
  <c r="AL35" i="1"/>
  <c r="AK35" i="1"/>
  <c r="AU35" i="1" s="1"/>
  <c r="AJ35" i="1"/>
  <c r="AI35" i="1"/>
  <c r="AN35" i="1" s="1"/>
  <c r="AH35" i="1"/>
  <c r="AG35" i="1"/>
  <c r="AF35" i="1"/>
  <c r="AE35" i="1"/>
  <c r="AD35" i="1"/>
  <c r="AL34" i="1"/>
  <c r="AV34" i="1" s="1"/>
  <c r="AK34" i="1"/>
  <c r="AJ34" i="1"/>
  <c r="AI34" i="1"/>
  <c r="AH34" i="1"/>
  <c r="AG34" i="1"/>
  <c r="AF34" i="1"/>
  <c r="AE34" i="1"/>
  <c r="AD34" i="1"/>
  <c r="AL33" i="1"/>
  <c r="AK33" i="1"/>
  <c r="AJ33" i="1"/>
  <c r="AI33" i="1"/>
  <c r="AH33" i="1"/>
  <c r="AG33" i="1"/>
  <c r="AF33" i="1"/>
  <c r="AE33" i="1"/>
  <c r="AD33" i="1"/>
  <c r="AL32" i="1"/>
  <c r="AK32" i="1"/>
  <c r="AJ32" i="1"/>
  <c r="AI32" i="1"/>
  <c r="AH32" i="1"/>
  <c r="AG32" i="1"/>
  <c r="AF32" i="1"/>
  <c r="AE32" i="1"/>
  <c r="AD32" i="1"/>
  <c r="AL31" i="1"/>
  <c r="AK31" i="1"/>
  <c r="AJ31" i="1"/>
  <c r="AI31" i="1"/>
  <c r="AH31" i="1"/>
  <c r="AG31" i="1"/>
  <c r="AF31" i="1"/>
  <c r="AE31" i="1"/>
  <c r="AD31" i="1"/>
  <c r="AL30" i="1"/>
  <c r="AK30" i="1"/>
  <c r="AJ30" i="1"/>
  <c r="AI30" i="1"/>
  <c r="AH30" i="1"/>
  <c r="AG30" i="1"/>
  <c r="AF30" i="1"/>
  <c r="AE30" i="1"/>
  <c r="AD30" i="1"/>
  <c r="AL29" i="1"/>
  <c r="AK29" i="1"/>
  <c r="AJ29" i="1"/>
  <c r="AI29" i="1"/>
  <c r="AH29" i="1"/>
  <c r="AG29" i="1"/>
  <c r="AF29" i="1"/>
  <c r="AE29" i="1"/>
  <c r="AD29" i="1"/>
  <c r="AL28" i="1"/>
  <c r="AK28" i="1"/>
  <c r="AJ28" i="1"/>
  <c r="AI28" i="1"/>
  <c r="AH28" i="1"/>
  <c r="AG28" i="1"/>
  <c r="AF28" i="1"/>
  <c r="AE28" i="1"/>
  <c r="AD28" i="1"/>
  <c r="AL27" i="1"/>
  <c r="AK27" i="1"/>
  <c r="AJ27" i="1"/>
  <c r="AI27" i="1"/>
  <c r="AH27" i="1"/>
  <c r="AG27" i="1"/>
  <c r="AF27" i="1"/>
  <c r="AE27" i="1"/>
  <c r="AD27" i="1"/>
  <c r="AL26" i="1"/>
  <c r="AK26" i="1"/>
  <c r="AJ26" i="1"/>
  <c r="AI26" i="1"/>
  <c r="AH26" i="1"/>
  <c r="AG26" i="1"/>
  <c r="AF26" i="1"/>
  <c r="AE26" i="1"/>
  <c r="AD26" i="1"/>
  <c r="AL25" i="1"/>
  <c r="AK25" i="1"/>
  <c r="AJ25" i="1"/>
  <c r="AI25" i="1"/>
  <c r="AH25" i="1"/>
  <c r="AG25" i="1"/>
  <c r="AF25" i="1"/>
  <c r="AE25" i="1"/>
  <c r="AD25" i="1"/>
  <c r="AL24" i="1"/>
  <c r="AK24" i="1"/>
  <c r="AJ24" i="1"/>
  <c r="AI24" i="1"/>
  <c r="AH24" i="1"/>
  <c r="AG24" i="1"/>
  <c r="AF24" i="1"/>
  <c r="AE24" i="1"/>
  <c r="AD24" i="1"/>
  <c r="AL23" i="1"/>
  <c r="AK23" i="1"/>
  <c r="AJ23" i="1"/>
  <c r="AI23" i="1"/>
  <c r="AH23" i="1"/>
  <c r="AG23" i="1"/>
  <c r="AF23" i="1"/>
  <c r="AE23" i="1"/>
  <c r="AD23" i="1"/>
  <c r="AL22" i="1"/>
  <c r="AK22" i="1"/>
  <c r="AJ22" i="1"/>
  <c r="AI22" i="1"/>
  <c r="AH22" i="1"/>
  <c r="AG22" i="1"/>
  <c r="AF22" i="1"/>
  <c r="AE22" i="1"/>
  <c r="AD22" i="1"/>
  <c r="AL21" i="1"/>
  <c r="AK21" i="1"/>
  <c r="AJ21" i="1"/>
  <c r="AI21" i="1"/>
  <c r="AH21" i="1"/>
  <c r="AG21" i="1"/>
  <c r="AF21" i="1"/>
  <c r="AE21" i="1"/>
  <c r="AD21" i="1"/>
  <c r="AL20" i="1"/>
  <c r="AK20" i="1"/>
  <c r="AJ20" i="1"/>
  <c r="AI20" i="1"/>
  <c r="AH20" i="1"/>
  <c r="AG20" i="1"/>
  <c r="AF20" i="1"/>
  <c r="AE20" i="1"/>
  <c r="AD20" i="1"/>
  <c r="AL19" i="1"/>
  <c r="AK19" i="1"/>
  <c r="AJ19" i="1"/>
  <c r="AI19" i="1"/>
  <c r="AH19" i="1"/>
  <c r="AG19" i="1"/>
  <c r="AF19" i="1"/>
  <c r="AE19" i="1"/>
  <c r="AD19" i="1"/>
  <c r="AN18" i="1"/>
  <c r="AL18" i="1"/>
  <c r="AK18" i="1"/>
  <c r="AJ18" i="1"/>
  <c r="AI18" i="1"/>
  <c r="AH18" i="1"/>
  <c r="AG18" i="1"/>
  <c r="AF18" i="1"/>
  <c r="AE18" i="1"/>
  <c r="AD18" i="1"/>
  <c r="AL17" i="1"/>
  <c r="AK17" i="1"/>
  <c r="AJ17" i="1"/>
  <c r="AI17" i="1"/>
  <c r="AH17" i="1"/>
  <c r="AG17" i="1"/>
  <c r="AF17" i="1"/>
  <c r="AE17" i="1"/>
  <c r="AD17" i="1"/>
  <c r="AL16" i="1"/>
  <c r="AK16" i="1"/>
  <c r="AJ16" i="1"/>
  <c r="AI16" i="1"/>
  <c r="AH16" i="1"/>
  <c r="AG16" i="1"/>
  <c r="AF16" i="1"/>
  <c r="AE16" i="1"/>
  <c r="AD16" i="1"/>
  <c r="AL15" i="1"/>
  <c r="AK15" i="1"/>
  <c r="AJ15" i="1"/>
  <c r="AI15" i="1"/>
  <c r="AH15" i="1"/>
  <c r="AG15" i="1"/>
  <c r="AF15" i="1"/>
  <c r="AE15" i="1"/>
  <c r="AD15" i="1"/>
  <c r="AL14" i="1"/>
  <c r="AK14" i="1"/>
  <c r="AJ14" i="1"/>
  <c r="AI14" i="1"/>
  <c r="AH14" i="1"/>
  <c r="AG14" i="1"/>
  <c r="AF14" i="1"/>
  <c r="AE14" i="1"/>
  <c r="AD14" i="1"/>
  <c r="AL13" i="1"/>
  <c r="AK13" i="1"/>
  <c r="AJ13" i="1"/>
  <c r="AI13" i="1"/>
  <c r="AH13" i="1"/>
  <c r="AG13" i="1"/>
  <c r="AF13" i="1"/>
  <c r="AE13" i="1"/>
  <c r="AD13" i="1"/>
  <c r="AL12" i="1"/>
  <c r="AK12" i="1"/>
  <c r="AJ12" i="1"/>
  <c r="AI12" i="1"/>
  <c r="AH12" i="1"/>
  <c r="AG12" i="1"/>
  <c r="AF12" i="1"/>
  <c r="AE12" i="1"/>
  <c r="AD12" i="1"/>
  <c r="AL11" i="1"/>
  <c r="AK11" i="1"/>
  <c r="AJ11" i="1"/>
  <c r="AI11" i="1"/>
  <c r="AH11" i="1"/>
  <c r="AG11" i="1"/>
  <c r="AF11" i="1"/>
  <c r="AE11" i="1"/>
  <c r="AD11" i="1"/>
  <c r="AL10" i="1"/>
  <c r="AK10" i="1"/>
  <c r="AJ10" i="1"/>
  <c r="AI10" i="1"/>
  <c r="AH10" i="1"/>
  <c r="AG10" i="1"/>
  <c r="AF10" i="1"/>
  <c r="AE10" i="1"/>
  <c r="AD10" i="1"/>
  <c r="AL9" i="1"/>
  <c r="AK9" i="1"/>
  <c r="AJ9" i="1"/>
  <c r="AI9" i="1"/>
  <c r="AH9" i="1"/>
  <c r="AG9" i="1"/>
  <c r="AF9" i="1"/>
  <c r="AE9" i="1"/>
  <c r="AD9" i="1"/>
  <c r="AL8" i="1"/>
  <c r="AK8" i="1"/>
  <c r="AJ8" i="1"/>
  <c r="AI8" i="1"/>
  <c r="AH8" i="1"/>
  <c r="AG8" i="1"/>
  <c r="AF8" i="1"/>
  <c r="AE8" i="1"/>
  <c r="AD8" i="1"/>
  <c r="M16" i="7"/>
  <c r="F16" i="7"/>
  <c r="L4" i="7"/>
  <c r="E4" i="7"/>
  <c r="D4" i="7"/>
  <c r="C4" i="7"/>
  <c r="K3" i="7"/>
  <c r="F3" i="7"/>
  <c r="K2" i="7"/>
  <c r="F2" i="7"/>
  <c r="F4" i="7" s="1"/>
  <c r="E22" i="2"/>
  <c r="D22" i="2"/>
  <c r="C22" i="2"/>
  <c r="F21" i="2"/>
  <c r="F20" i="2"/>
  <c r="T19" i="2"/>
  <c r="E17" i="2"/>
  <c r="K15" i="2" s="1"/>
  <c r="Z16" i="2"/>
  <c r="F16" i="2"/>
  <c r="F17" i="2" s="1"/>
  <c r="E16" i="2"/>
  <c r="D16" i="2"/>
  <c r="D17" i="2" s="1"/>
  <c r="C16" i="2"/>
  <c r="C17" i="2" s="1"/>
  <c r="R15" i="2"/>
  <c r="F15" i="2"/>
  <c r="F14" i="2"/>
  <c r="R14" i="2" s="1"/>
  <c r="F13" i="2"/>
  <c r="R13" i="2" s="1"/>
  <c r="R12" i="2"/>
  <c r="F12" i="2"/>
  <c r="K12" i="2" s="1"/>
  <c r="K11" i="2"/>
  <c r="F11" i="2"/>
  <c r="T10" i="2"/>
  <c r="E7" i="2"/>
  <c r="E8" i="2" s="1"/>
  <c r="D7" i="2"/>
  <c r="D8" i="2" s="1"/>
  <c r="J5" i="2" s="1"/>
  <c r="C7" i="2"/>
  <c r="F7" i="2" s="1"/>
  <c r="F8" i="2" s="1"/>
  <c r="F6" i="2"/>
  <c r="F5" i="2"/>
  <c r="F4" i="2"/>
  <c r="K4" i="2" s="1"/>
  <c r="T3" i="2"/>
  <c r="AS47" i="11" l="1"/>
  <c r="AV48" i="11"/>
  <c r="AT56" i="11"/>
  <c r="AO82" i="11"/>
  <c r="AT96" i="11"/>
  <c r="AO121" i="11"/>
  <c r="AR69" i="11"/>
  <c r="AQ76" i="11"/>
  <c r="AV80" i="11"/>
  <c r="AR19" i="11"/>
  <c r="AT14" i="11"/>
  <c r="AQ29" i="11"/>
  <c r="AU107" i="11"/>
  <c r="AU73" i="11"/>
  <c r="AP98" i="11"/>
  <c r="AV45" i="11"/>
  <c r="AV65" i="11"/>
  <c r="AU36" i="11"/>
  <c r="AU30" i="11"/>
  <c r="AS104" i="11"/>
  <c r="AV129" i="11"/>
  <c r="AV133" i="11"/>
  <c r="AQ38" i="11"/>
  <c r="AU42" i="11"/>
  <c r="AP83" i="11"/>
  <c r="AS91" i="11"/>
  <c r="AR100" i="11"/>
  <c r="AQ139" i="11"/>
  <c r="AU11" i="11"/>
  <c r="AV116" i="11"/>
  <c r="AO130" i="11"/>
  <c r="AV9" i="11"/>
  <c r="AP11" i="11"/>
  <c r="AU17" i="11"/>
  <c r="AQ21" i="11"/>
  <c r="AQ54" i="11"/>
  <c r="AU74" i="11"/>
  <c r="AN99" i="11"/>
  <c r="AV37" i="11"/>
  <c r="AS65" i="11"/>
  <c r="AR94" i="11"/>
  <c r="BS94" i="11" s="1"/>
  <c r="AR47" i="11"/>
  <c r="AS96" i="11"/>
  <c r="AT121" i="11"/>
  <c r="AV123" i="11"/>
  <c r="AR131" i="11"/>
  <c r="AU44" i="11"/>
  <c r="AU93" i="11"/>
  <c r="AU114" i="11"/>
  <c r="AR118" i="11"/>
  <c r="AS11" i="11"/>
  <c r="AV81" i="11"/>
  <c r="AV85" i="11"/>
  <c r="AO89" i="11"/>
  <c r="AP91" i="11"/>
  <c r="AQ111" i="11"/>
  <c r="AV126" i="11"/>
  <c r="AV35" i="11"/>
  <c r="AP97" i="11"/>
  <c r="AR134" i="11"/>
  <c r="AU27" i="11"/>
  <c r="AN46" i="11"/>
  <c r="AS49" i="11"/>
  <c r="AV50" i="11"/>
  <c r="AU56" i="11"/>
  <c r="AS70" i="11"/>
  <c r="AP76" i="11"/>
  <c r="AR82" i="11"/>
  <c r="AQ100" i="11"/>
  <c r="AR10" i="11"/>
  <c r="AU35" i="11"/>
  <c r="AT54" i="11"/>
  <c r="AR76" i="11"/>
  <c r="AN114" i="11"/>
  <c r="AO134" i="11"/>
  <c r="AN138" i="11"/>
  <c r="AU54" i="11"/>
  <c r="AV88" i="11"/>
  <c r="AN113" i="11"/>
  <c r="AP114" i="11"/>
  <c r="AT38" i="11"/>
  <c r="AU39" i="11"/>
  <c r="AQ43" i="11"/>
  <c r="AT46" i="11"/>
  <c r="AT47" i="11"/>
  <c r="BT47" i="11" s="1"/>
  <c r="AV70" i="11"/>
  <c r="AV74" i="11"/>
  <c r="AT81" i="11"/>
  <c r="AQ82" i="11"/>
  <c r="AT91" i="11"/>
  <c r="AO98" i="11"/>
  <c r="AP103" i="11"/>
  <c r="AR104" i="11"/>
  <c r="AR111" i="11"/>
  <c r="AN127" i="11"/>
  <c r="AV136" i="11"/>
  <c r="AS139" i="11"/>
  <c r="AR56" i="11"/>
  <c r="AO76" i="11"/>
  <c r="AO100" i="11"/>
  <c r="AR130" i="11"/>
  <c r="AU33" i="11"/>
  <c r="AU40" i="11"/>
  <c r="AQ41" i="11"/>
  <c r="AS56" i="11"/>
  <c r="AY56" i="11" s="1"/>
  <c r="AT74" i="11"/>
  <c r="AV83" i="11"/>
  <c r="AU98" i="11"/>
  <c r="AO103" i="11"/>
  <c r="AQ123" i="11"/>
  <c r="AN38" i="11"/>
  <c r="AN47" i="11"/>
  <c r="AS64" i="11"/>
  <c r="AR77" i="11"/>
  <c r="AQ118" i="11"/>
  <c r="AR123" i="11"/>
  <c r="AS125" i="11"/>
  <c r="AR38" i="11"/>
  <c r="AP40" i="11"/>
  <c r="AQ50" i="11"/>
  <c r="AN74" i="11"/>
  <c r="AP95" i="11"/>
  <c r="AQ97" i="11"/>
  <c r="AV102" i="11"/>
  <c r="AT107" i="11"/>
  <c r="AV111" i="11"/>
  <c r="AP121" i="11"/>
  <c r="AT126" i="11"/>
  <c r="AT128" i="11"/>
  <c r="AP127" i="11"/>
  <c r="AT20" i="11"/>
  <c r="AT28" i="11"/>
  <c r="AN49" i="11"/>
  <c r="AS50" i="11"/>
  <c r="AP58" i="11"/>
  <c r="AS59" i="11"/>
  <c r="AV60" i="11"/>
  <c r="AU64" i="11"/>
  <c r="AR91" i="11"/>
  <c r="AT95" i="11"/>
  <c r="AU96" i="11"/>
  <c r="AU125" i="11"/>
  <c r="AQ19" i="11"/>
  <c r="AU29" i="11"/>
  <c r="AS40" i="11"/>
  <c r="AV41" i="11"/>
  <c r="AN81" i="11"/>
  <c r="AO91" i="11"/>
  <c r="AU95" i="11"/>
  <c r="AT129" i="11"/>
  <c r="AO12" i="11"/>
  <c r="AQ16" i="11"/>
  <c r="AR27" i="11"/>
  <c r="AT45" i="11"/>
  <c r="AR48" i="11"/>
  <c r="AO50" i="11"/>
  <c r="AR60" i="11"/>
  <c r="AO64" i="11"/>
  <c r="AV73" i="11"/>
  <c r="AS132" i="11"/>
  <c r="AR136" i="11"/>
  <c r="AN11" i="11"/>
  <c r="AT21" i="11"/>
  <c r="AQ35" i="11"/>
  <c r="AS43" i="11"/>
  <c r="AP50" i="11"/>
  <c r="AV62" i="11"/>
  <c r="AV68" i="11"/>
  <c r="AQ71" i="11"/>
  <c r="AP73" i="11"/>
  <c r="AO97" i="11"/>
  <c r="AU102" i="11"/>
  <c r="BK102" i="11" s="1"/>
  <c r="AN103" i="11"/>
  <c r="AQ104" i="11"/>
  <c r="AV109" i="11"/>
  <c r="AS136" i="11"/>
  <c r="AP139" i="11"/>
  <c r="AS112" i="11"/>
  <c r="AT136" i="11"/>
  <c r="AT23" i="11"/>
  <c r="AQ20" i="11"/>
  <c r="AP21" i="11"/>
  <c r="AO25" i="11"/>
  <c r="AP37" i="11"/>
  <c r="AR40" i="11"/>
  <c r="AP45" i="11"/>
  <c r="AQ49" i="11"/>
  <c r="AU61" i="11"/>
  <c r="AP85" i="11"/>
  <c r="AV95" i="11"/>
  <c r="AV96" i="11"/>
  <c r="AQ98" i="11"/>
  <c r="AO114" i="11"/>
  <c r="AS121" i="11"/>
  <c r="AO122" i="11"/>
  <c r="AR139" i="11"/>
  <c r="AP24" i="11"/>
  <c r="AV38" i="11"/>
  <c r="AP43" i="11"/>
  <c r="AR54" i="11"/>
  <c r="AT65" i="11"/>
  <c r="AY65" i="11" s="1"/>
  <c r="AT70" i="11"/>
  <c r="AU71" i="11"/>
  <c r="AR95" i="11"/>
  <c r="AV112" i="11"/>
  <c r="AQ114" i="11"/>
  <c r="AR120" i="11"/>
  <c r="AQ122" i="11"/>
  <c r="AS129" i="11"/>
  <c r="BJ129" i="11" s="1"/>
  <c r="AP131" i="11"/>
  <c r="AT139" i="11"/>
  <c r="AQ9" i="11"/>
  <c r="AP19" i="11"/>
  <c r="AR25" i="11"/>
  <c r="AV31" i="11"/>
  <c r="AR37" i="11"/>
  <c r="AR42" i="11"/>
  <c r="AS46" i="11"/>
  <c r="AP59" i="11"/>
  <c r="AO79" i="11"/>
  <c r="AS84" i="11"/>
  <c r="AV107" i="11"/>
  <c r="AT113" i="11"/>
  <c r="AR114" i="11"/>
  <c r="AO126" i="11"/>
  <c r="AS134" i="11"/>
  <c r="AR138" i="11"/>
  <c r="AU139" i="11"/>
  <c r="AQ73" i="11"/>
  <c r="AU86" i="11"/>
  <c r="AS88" i="11"/>
  <c r="AO113" i="11"/>
  <c r="AO115" i="11"/>
  <c r="AS122" i="11"/>
  <c r="AP126" i="11"/>
  <c r="AQ127" i="11"/>
  <c r="AR45" i="11"/>
  <c r="AV23" i="11"/>
  <c r="AT27" i="11"/>
  <c r="AR43" i="11"/>
  <c r="AU50" i="11"/>
  <c r="AZ50" i="11" s="1"/>
  <c r="AV52" i="11"/>
  <c r="AQ64" i="11"/>
  <c r="AN65" i="11"/>
  <c r="AR73" i="11"/>
  <c r="AQ78" i="11"/>
  <c r="AP102" i="11"/>
  <c r="AT110" i="11"/>
  <c r="AP115" i="11"/>
  <c r="AR116" i="11"/>
  <c r="AO132" i="11"/>
  <c r="AR133" i="11"/>
  <c r="AQ136" i="11"/>
  <c r="AS29" i="11"/>
  <c r="AR39" i="11"/>
  <c r="AQ42" i="11"/>
  <c r="AO43" i="11"/>
  <c r="AT52" i="11"/>
  <c r="AT64" i="11"/>
  <c r="AY64" i="11" s="1"/>
  <c r="AP65" i="11"/>
  <c r="AO74" i="11"/>
  <c r="AV90" i="11"/>
  <c r="AQ102" i="11"/>
  <c r="AS105" i="11"/>
  <c r="AR112" i="11"/>
  <c r="AO119" i="11"/>
  <c r="AU124" i="11"/>
  <c r="AO131" i="11"/>
  <c r="AO136" i="11"/>
  <c r="AP13" i="11"/>
  <c r="AV42" i="11"/>
  <c r="BU42" i="11" s="1"/>
  <c r="AQ52" i="11"/>
  <c r="AU65" i="11"/>
  <c r="AU72" i="11"/>
  <c r="AP78" i="11"/>
  <c r="AP81" i="11"/>
  <c r="AS120" i="11"/>
  <c r="AQ132" i="11"/>
  <c r="AP136" i="11"/>
  <c r="AT12" i="11"/>
  <c r="AV26" i="11"/>
  <c r="AN41" i="11"/>
  <c r="AQ92" i="11"/>
  <c r="AQ119" i="11"/>
  <c r="AQ124" i="11"/>
  <c r="AN130" i="11"/>
  <c r="AR132" i="11"/>
  <c r="AT137" i="11"/>
  <c r="AN139" i="11"/>
  <c r="AT76" i="10"/>
  <c r="AT80" i="10"/>
  <c r="AO88" i="10"/>
  <c r="AT102" i="10"/>
  <c r="AV113" i="10"/>
  <c r="AR116" i="10"/>
  <c r="AV117" i="10"/>
  <c r="AR120" i="10"/>
  <c r="AU130" i="10"/>
  <c r="AV134" i="10"/>
  <c r="BU134" i="10" s="1"/>
  <c r="AT110" i="10"/>
  <c r="AS111" i="10"/>
  <c r="BT111" i="10" s="1"/>
  <c r="AV112" i="10"/>
  <c r="AR132" i="10"/>
  <c r="AV37" i="10"/>
  <c r="AT19" i="10"/>
  <c r="AT28" i="10"/>
  <c r="AO17" i="10"/>
  <c r="AQ53" i="10"/>
  <c r="AO96" i="10"/>
  <c r="AQ123" i="10"/>
  <c r="AV10" i="10"/>
  <c r="AP17" i="10"/>
  <c r="AS18" i="10"/>
  <c r="AP31" i="10"/>
  <c r="AQ56" i="10"/>
  <c r="AO60" i="10"/>
  <c r="AQ71" i="10"/>
  <c r="AU83" i="10"/>
  <c r="AV92" i="10"/>
  <c r="AT96" i="10"/>
  <c r="AT100" i="10"/>
  <c r="AN14" i="10"/>
  <c r="AO92" i="10"/>
  <c r="AR16" i="10"/>
  <c r="AO29" i="10"/>
  <c r="AO49" i="10"/>
  <c r="AR50" i="10"/>
  <c r="AU60" i="10"/>
  <c r="AO65" i="10"/>
  <c r="AP69" i="10"/>
  <c r="AV96" i="10"/>
  <c r="AZ96" i="10" s="1"/>
  <c r="AU105" i="10"/>
  <c r="AO106" i="10"/>
  <c r="AN29" i="10"/>
  <c r="AZ100" i="10"/>
  <c r="AP11" i="10"/>
  <c r="AQ15" i="10"/>
  <c r="AP16" i="10"/>
  <c r="AN17" i="10"/>
  <c r="AR21" i="10"/>
  <c r="AQ26" i="10"/>
  <c r="AQ30" i="10"/>
  <c r="AS63" i="10"/>
  <c r="AU74" i="10"/>
  <c r="BK74" i="10" s="1"/>
  <c r="AO123" i="10"/>
  <c r="AU127" i="10"/>
  <c r="AV136" i="10"/>
  <c r="AP26" i="10"/>
  <c r="AQ28" i="10"/>
  <c r="AT130" i="10"/>
  <c r="AS126" i="10"/>
  <c r="AN22" i="10"/>
  <c r="AU30" i="10"/>
  <c r="AU48" i="10"/>
  <c r="AU50" i="10"/>
  <c r="AQ61" i="10"/>
  <c r="AS103" i="10"/>
  <c r="AV121" i="10"/>
  <c r="AS16" i="10"/>
  <c r="AS29" i="10"/>
  <c r="BT29" i="10" s="1"/>
  <c r="AV44" i="10"/>
  <c r="BU44" i="10" s="1"/>
  <c r="AP48" i="10"/>
  <c r="AQ49" i="10"/>
  <c r="AQ120" i="10"/>
  <c r="AZ92" i="10"/>
  <c r="AQ10" i="10"/>
  <c r="AV17" i="10"/>
  <c r="AS27" i="10"/>
  <c r="AQ33" i="10"/>
  <c r="AP42" i="10"/>
  <c r="AN44" i="10"/>
  <c r="AP52" i="10"/>
  <c r="AU55" i="10"/>
  <c r="AU61" i="10"/>
  <c r="AR63" i="10"/>
  <c r="AU73" i="10"/>
  <c r="AP74" i="10"/>
  <c r="AU79" i="10"/>
  <c r="AR103" i="10"/>
  <c r="AP105" i="10"/>
  <c r="AS108" i="10"/>
  <c r="AT119" i="10"/>
  <c r="AO120" i="10"/>
  <c r="AR14" i="10"/>
  <c r="AV29" i="10"/>
  <c r="AS31" i="10"/>
  <c r="AY31" i="10" s="1"/>
  <c r="AT32" i="10"/>
  <c r="AO57" i="10"/>
  <c r="AS66" i="10"/>
  <c r="AU68" i="10"/>
  <c r="AV70" i="10"/>
  <c r="AS71" i="10"/>
  <c r="AS81" i="10"/>
  <c r="AQ82" i="10"/>
  <c r="AT83" i="10"/>
  <c r="AS91" i="10"/>
  <c r="AR92" i="10"/>
  <c r="AR105" i="10"/>
  <c r="AR106" i="10"/>
  <c r="AR113" i="10"/>
  <c r="AU119" i="10"/>
  <c r="AS14" i="10"/>
  <c r="AT15" i="10"/>
  <c r="AP19" i="10"/>
  <c r="AR27" i="10"/>
  <c r="AU28" i="10"/>
  <c r="AR31" i="10"/>
  <c r="AP32" i="10"/>
  <c r="AT36" i="10"/>
  <c r="AN48" i="10"/>
  <c r="AS51" i="10"/>
  <c r="AV52" i="10"/>
  <c r="AP63" i="10"/>
  <c r="AP128" i="10"/>
  <c r="AQ9" i="10"/>
  <c r="AQ13" i="10"/>
  <c r="AQ19" i="10"/>
  <c r="AT22" i="10"/>
  <c r="AQ32" i="10"/>
  <c r="AP36" i="10"/>
  <c r="AT40" i="10"/>
  <c r="AP46" i="10"/>
  <c r="AO48" i="10"/>
  <c r="AP51" i="10"/>
  <c r="AS52" i="10"/>
  <c r="AU58" i="10"/>
  <c r="AQ63" i="10"/>
  <c r="AS64" i="10"/>
  <c r="AV74" i="10"/>
  <c r="BU74" i="10" s="1"/>
  <c r="AS85" i="10"/>
  <c r="AQ86" i="10"/>
  <c r="AT87" i="10"/>
  <c r="AS112" i="10"/>
  <c r="AQ116" i="10"/>
  <c r="AR117" i="10"/>
  <c r="AT123" i="10"/>
  <c r="AS130" i="10"/>
  <c r="AU17" i="10"/>
  <c r="AS20" i="10"/>
  <c r="AU32" i="10"/>
  <c r="BK32" i="10" s="1"/>
  <c r="AQ35" i="10"/>
  <c r="AQ36" i="10"/>
  <c r="AP40" i="10"/>
  <c r="AU42" i="10"/>
  <c r="AT44" i="10"/>
  <c r="AR49" i="10"/>
  <c r="AV72" i="10"/>
  <c r="AS74" i="10"/>
  <c r="AR76" i="10"/>
  <c r="AU87" i="10"/>
  <c r="AO103" i="10"/>
  <c r="AT104" i="10"/>
  <c r="AU123" i="10"/>
  <c r="AT134" i="10"/>
  <c r="AU135" i="10"/>
  <c r="AZ135" i="10" s="1"/>
  <c r="AU21" i="10"/>
  <c r="BU21" i="10" s="1"/>
  <c r="AV32" i="10"/>
  <c r="AV36" i="10"/>
  <c r="AQ40" i="10"/>
  <c r="AS41" i="10"/>
  <c r="AU62" i="10"/>
  <c r="AR96" i="10"/>
  <c r="AS138" i="10"/>
  <c r="AS36" i="10"/>
  <c r="AV40" i="10"/>
  <c r="AU46" i="10"/>
  <c r="AT63" i="10"/>
  <c r="AR80" i="10"/>
  <c r="AR121" i="10"/>
  <c r="AT127" i="10"/>
  <c r="AV9" i="10"/>
  <c r="AV13" i="10"/>
  <c r="AN20" i="10"/>
  <c r="AV41" i="10"/>
  <c r="AS44" i="10"/>
  <c r="AU51" i="10"/>
  <c r="AO52" i="10"/>
  <c r="AV58" i="10"/>
  <c r="BU58" i="10" s="1"/>
  <c r="AS60" i="10"/>
  <c r="AP64" i="10"/>
  <c r="AN66" i="10"/>
  <c r="AR84" i="10"/>
  <c r="AU133" i="10"/>
  <c r="AP136" i="10"/>
  <c r="AV14" i="10"/>
  <c r="AO15" i="10"/>
  <c r="AQ16" i="10"/>
  <c r="AO20" i="10"/>
  <c r="AR22" i="10"/>
  <c r="BS22" i="10" s="1"/>
  <c r="AP28" i="10"/>
  <c r="AO32" i="10"/>
  <c r="AV48" i="10"/>
  <c r="BU48" i="10" s="1"/>
  <c r="AQ57" i="10"/>
  <c r="AN65" i="10"/>
  <c r="AV68" i="10"/>
  <c r="AT75" i="10"/>
  <c r="AR100" i="10"/>
  <c r="AT115" i="10"/>
  <c r="AO116" i="10"/>
  <c r="AO127" i="10"/>
  <c r="AT10" i="10"/>
  <c r="AN21" i="10"/>
  <c r="BS21" i="10" s="1"/>
  <c r="AV25" i="10"/>
  <c r="AV30" i="10"/>
  <c r="AZ30" i="10" s="1"/>
  <c r="AN31" i="10"/>
  <c r="AO36" i="10"/>
  <c r="AO53" i="10"/>
  <c r="AR57" i="10"/>
  <c r="AV62" i="10"/>
  <c r="AZ62" i="10" s="1"/>
  <c r="AV69" i="10"/>
  <c r="AU75" i="10"/>
  <c r="AR88" i="10"/>
  <c r="AO107" i="10"/>
  <c r="AR109" i="10"/>
  <c r="AU110" i="10"/>
  <c r="AU115" i="10"/>
  <c r="AU126" i="10"/>
  <c r="AP127" i="10"/>
  <c r="AR136" i="10"/>
  <c r="AP10" i="10"/>
  <c r="AV20" i="10"/>
  <c r="AT24" i="10"/>
  <c r="AO27" i="10"/>
  <c r="AT29" i="10"/>
  <c r="AO40" i="10"/>
  <c r="AU54" i="10"/>
  <c r="AZ54" i="10" s="1"/>
  <c r="AS77" i="10"/>
  <c r="AQ78" i="10"/>
  <c r="AU106" i="10"/>
  <c r="AQ27" i="1"/>
  <c r="AT41" i="1"/>
  <c r="AN85" i="1"/>
  <c r="AN10" i="1"/>
  <c r="AU18" i="1"/>
  <c r="AZ18" i="1" s="1"/>
  <c r="AS52" i="1"/>
  <c r="AP59" i="1"/>
  <c r="AU14" i="1"/>
  <c r="AZ14" i="1" s="1"/>
  <c r="AT10" i="1"/>
  <c r="AO14" i="1"/>
  <c r="AQ23" i="1"/>
  <c r="AV92" i="1"/>
  <c r="AU48" i="1"/>
  <c r="AQ10" i="1"/>
  <c r="AR14" i="1"/>
  <c r="AR18" i="1"/>
  <c r="AN23" i="1"/>
  <c r="AU34" i="1"/>
  <c r="AZ34" i="1" s="1"/>
  <c r="AV49" i="1"/>
  <c r="AT97" i="1"/>
  <c r="AS24" i="1"/>
  <c r="AT125" i="1"/>
  <c r="AV129" i="1"/>
  <c r="AO119" i="1"/>
  <c r="AV40" i="1"/>
  <c r="AV44" i="1"/>
  <c r="AT96" i="1"/>
  <c r="AV104" i="1"/>
  <c r="AQ128" i="1"/>
  <c r="AS132" i="1"/>
  <c r="AT11" i="1"/>
  <c r="AS79" i="1"/>
  <c r="AY79" i="1" s="1"/>
  <c r="AO37" i="1"/>
  <c r="AP91" i="1"/>
  <c r="AP111" i="1"/>
  <c r="AN20" i="1"/>
  <c r="AT22" i="1"/>
  <c r="AO30" i="1"/>
  <c r="AR78" i="1"/>
  <c r="AP114" i="1"/>
  <c r="AV115" i="1"/>
  <c r="AR135" i="1"/>
  <c r="AV10" i="1"/>
  <c r="AV14" i="1"/>
  <c r="AS16" i="1"/>
  <c r="AV18" i="1"/>
  <c r="AO20" i="1"/>
  <c r="AQ28" i="1"/>
  <c r="AO97" i="1"/>
  <c r="AQ8" i="1"/>
  <c r="AQ12" i="1"/>
  <c r="AO32" i="1"/>
  <c r="AT66" i="1"/>
  <c r="AP86" i="1"/>
  <c r="AO106" i="1"/>
  <c r="AS110" i="1"/>
  <c r="AS33" i="1"/>
  <c r="BJ33" i="1" s="1"/>
  <c r="AS49" i="1"/>
  <c r="AO53" i="1"/>
  <c r="AV96" i="1"/>
  <c r="AP98" i="1"/>
  <c r="AU73" i="1"/>
  <c r="AR98" i="1"/>
  <c r="AT102" i="1"/>
  <c r="AV26" i="1"/>
  <c r="AT31" i="1"/>
  <c r="AR37" i="1"/>
  <c r="AT39" i="1"/>
  <c r="AO56" i="1"/>
  <c r="AS69" i="1"/>
  <c r="AS73" i="1"/>
  <c r="AP76" i="1"/>
  <c r="AT90" i="1"/>
  <c r="AS94" i="1"/>
  <c r="AV117" i="1"/>
  <c r="AT21" i="1"/>
  <c r="AT23" i="1"/>
  <c r="AP25" i="1"/>
  <c r="AU26" i="1"/>
  <c r="BK26" i="1" s="1"/>
  <c r="AS28" i="1"/>
  <c r="AV35" i="1"/>
  <c r="AZ35" i="1" s="1"/>
  <c r="AS47" i="1"/>
  <c r="AV52" i="1"/>
  <c r="AV61" i="1"/>
  <c r="BK61" i="1" s="1"/>
  <c r="AU64" i="1"/>
  <c r="AV82" i="1"/>
  <c r="AV86" i="1"/>
  <c r="AP88" i="1"/>
  <c r="AU94" i="1"/>
  <c r="AT124" i="1"/>
  <c r="AN8" i="1"/>
  <c r="AO23" i="1"/>
  <c r="AP36" i="1"/>
  <c r="AN39" i="1"/>
  <c r="AR42" i="1"/>
  <c r="AO45" i="1"/>
  <c r="AR46" i="1"/>
  <c r="AS72" i="1"/>
  <c r="AT85" i="1"/>
  <c r="AS93" i="1"/>
  <c r="AU97" i="1"/>
  <c r="AV98" i="1"/>
  <c r="AR100" i="1"/>
  <c r="AR111" i="1"/>
  <c r="AV120" i="1"/>
  <c r="AO137" i="1"/>
  <c r="AS20" i="1"/>
  <c r="AN30" i="1"/>
  <c r="AO46" i="1"/>
  <c r="AN56" i="1"/>
  <c r="AS101" i="1"/>
  <c r="AV102" i="1"/>
  <c r="AO114" i="1"/>
  <c r="AP137" i="1"/>
  <c r="AR44" i="1"/>
  <c r="AQ107" i="1"/>
  <c r="AU19" i="1"/>
  <c r="AO25" i="1"/>
  <c r="AV48" i="1"/>
  <c r="AT50" i="1"/>
  <c r="AU65" i="1"/>
  <c r="AT80" i="1"/>
  <c r="AN90" i="1"/>
  <c r="AT91" i="1"/>
  <c r="AT92" i="1"/>
  <c r="AO96" i="1"/>
  <c r="AQ134" i="1"/>
  <c r="AQ13" i="1"/>
  <c r="AT18" i="1"/>
  <c r="AS19" i="1"/>
  <c r="AY19" i="1" s="1"/>
  <c r="AR49" i="1"/>
  <c r="AO52" i="1"/>
  <c r="AV56" i="1"/>
  <c r="AQ58" i="1"/>
  <c r="AT94" i="1"/>
  <c r="AV137" i="1"/>
  <c r="AP138" i="1"/>
  <c r="AP39" i="1"/>
  <c r="AQ44" i="1"/>
  <c r="AP46" i="1"/>
  <c r="AV69" i="1"/>
  <c r="AQ129" i="1"/>
  <c r="AO18" i="1"/>
  <c r="AV28" i="1"/>
  <c r="AP30" i="1"/>
  <c r="AQ31" i="1"/>
  <c r="AT32" i="1"/>
  <c r="AN34" i="1"/>
  <c r="AQ35" i="1"/>
  <c r="AQ39" i="1"/>
  <c r="AR40" i="1"/>
  <c r="AR57" i="1"/>
  <c r="AQ85" i="1"/>
  <c r="AU89" i="1"/>
  <c r="AO112" i="1"/>
  <c r="AU126" i="1"/>
  <c r="AN22" i="1"/>
  <c r="AQ9" i="1"/>
  <c r="AV23" i="1"/>
  <c r="AV25" i="1"/>
  <c r="AT27" i="1"/>
  <c r="AT30" i="1"/>
  <c r="AU31" i="1"/>
  <c r="AR34" i="1"/>
  <c r="AU49" i="1"/>
  <c r="AV58" i="1"/>
  <c r="AU78" i="1"/>
  <c r="AO79" i="1"/>
  <c r="AU91" i="1"/>
  <c r="BK91" i="1" s="1"/>
  <c r="AP103" i="1"/>
  <c r="AP110" i="1"/>
  <c r="AV111" i="1"/>
  <c r="AV126" i="1"/>
  <c r="AP128" i="1"/>
  <c r="AP132" i="1"/>
  <c r="AS138" i="1"/>
  <c r="AO17" i="1"/>
  <c r="AT55" i="1"/>
  <c r="AR60" i="1"/>
  <c r="BJ67" i="1"/>
  <c r="AT68" i="1"/>
  <c r="AV81" i="1"/>
  <c r="AO85" i="1"/>
  <c r="AV106" i="1"/>
  <c r="AV112" i="1"/>
  <c r="AQ113" i="1"/>
  <c r="AU121" i="1"/>
  <c r="AU131" i="1"/>
  <c r="AU29" i="1"/>
  <c r="AP13" i="1"/>
  <c r="AV15" i="1"/>
  <c r="AZ15" i="1" s="1"/>
  <c r="AS17" i="1"/>
  <c r="AT19" i="1"/>
  <c r="AP20" i="1"/>
  <c r="AP22" i="1"/>
  <c r="AP27" i="1"/>
  <c r="AV29" i="1"/>
  <c r="BK29" i="1" s="1"/>
  <c r="AT33" i="1"/>
  <c r="AY33" i="1" s="1"/>
  <c r="AT35" i="1"/>
  <c r="AT42" i="1"/>
  <c r="AQ45" i="1"/>
  <c r="AU50" i="1"/>
  <c r="AP52" i="1"/>
  <c r="AS60" i="1"/>
  <c r="AU68" i="1"/>
  <c r="AN73" i="1"/>
  <c r="AQ76" i="1"/>
  <c r="AR86" i="1"/>
  <c r="AS96" i="1"/>
  <c r="AY96" i="1" s="1"/>
  <c r="AR102" i="1"/>
  <c r="AU103" i="1"/>
  <c r="AU116" i="1"/>
  <c r="AV118" i="1"/>
  <c r="AR134" i="1"/>
  <c r="AV136" i="1"/>
  <c r="AR22" i="1"/>
  <c r="AO27" i="1"/>
  <c r="AO65" i="1"/>
  <c r="AP9" i="1"/>
  <c r="AN12" i="1"/>
  <c r="AT16" i="1"/>
  <c r="AY16" i="1" s="1"/>
  <c r="AQ17" i="1"/>
  <c r="AR21" i="1"/>
  <c r="AQ22" i="1"/>
  <c r="AV24" i="1"/>
  <c r="AQ26" i="1"/>
  <c r="AT28" i="1"/>
  <c r="AY28" i="1" s="1"/>
  <c r="AU30" i="1"/>
  <c r="AN31" i="1"/>
  <c r="AR32" i="1"/>
  <c r="AU33" i="1"/>
  <c r="AO35" i="1"/>
  <c r="AT36" i="1"/>
  <c r="AU40" i="1"/>
  <c r="AU42" i="1"/>
  <c r="AS44" i="1"/>
  <c r="AU46" i="1"/>
  <c r="AQ49" i="1"/>
  <c r="AR50" i="1"/>
  <c r="AU51" i="1"/>
  <c r="AR52" i="1"/>
  <c r="AU57" i="1"/>
  <c r="AV73" i="1"/>
  <c r="AV99" i="1"/>
  <c r="AV103" i="1"/>
  <c r="AS106" i="1"/>
  <c r="BJ106" i="1" s="1"/>
  <c r="AO111" i="1"/>
  <c r="AR128" i="1"/>
  <c r="AS129" i="1"/>
  <c r="AY129" i="1" s="1"/>
  <c r="AN132" i="1"/>
  <c r="AV135" i="1"/>
  <c r="AR9" i="1"/>
  <c r="AU11" i="1"/>
  <c r="AR13" i="1"/>
  <c r="AU15" i="1"/>
  <c r="AT62" i="1"/>
  <c r="AR8" i="1"/>
  <c r="AU10" i="1"/>
  <c r="BK10" i="1" s="1"/>
  <c r="AR12" i="1"/>
  <c r="AO16" i="1"/>
  <c r="AR17" i="1"/>
  <c r="AO21" i="1"/>
  <c r="AU23" i="1"/>
  <c r="AZ23" i="1" s="1"/>
  <c r="AN25" i="1"/>
  <c r="AU28" i="1"/>
  <c r="AS32" i="1"/>
  <c r="AY32" i="1" s="1"/>
  <c r="AV33" i="1"/>
  <c r="AZ33" i="1" s="1"/>
  <c r="AS35" i="1"/>
  <c r="AR36" i="1"/>
  <c r="AU37" i="1"/>
  <c r="AS39" i="1"/>
  <c r="AY39" i="1" s="1"/>
  <c r="AP41" i="1"/>
  <c r="AP44" i="1"/>
  <c r="AN47" i="1"/>
  <c r="AV53" i="1"/>
  <c r="AZ53" i="1" s="1"/>
  <c r="AT54" i="1"/>
  <c r="AU74" i="1"/>
  <c r="AQ75" i="1"/>
  <c r="AU92" i="1"/>
  <c r="AQ93" i="1"/>
  <c r="AO103" i="1"/>
  <c r="AU108" i="1"/>
  <c r="AN111" i="1"/>
  <c r="AS119" i="1"/>
  <c r="AN135" i="1"/>
  <c r="AS27" i="1"/>
  <c r="AS36" i="1"/>
  <c r="AR64" i="1"/>
  <c r="AR67" i="1"/>
  <c r="AS81" i="1"/>
  <c r="AS90" i="1"/>
  <c r="AQ137" i="1"/>
  <c r="AT9" i="1"/>
  <c r="AU9" i="1"/>
  <c r="AR11" i="1"/>
  <c r="AU13" i="1"/>
  <c r="AR15" i="1"/>
  <c r="AR16" i="1"/>
  <c r="AU17" i="1"/>
  <c r="AU22" i="1"/>
  <c r="AZ22" i="1" s="1"/>
  <c r="AP24" i="1"/>
  <c r="AQ25" i="1"/>
  <c r="AR26" i="1"/>
  <c r="AU27" i="1"/>
  <c r="AO29" i="1"/>
  <c r="AR30" i="1"/>
  <c r="AS31" i="1"/>
  <c r="AP34" i="1"/>
  <c r="AV41" i="1"/>
  <c r="AT43" i="1"/>
  <c r="BJ43" i="1" s="1"/>
  <c r="AV47" i="1"/>
  <c r="AU52" i="1"/>
  <c r="BK52" i="1" s="1"/>
  <c r="AU53" i="1"/>
  <c r="AR54" i="1"/>
  <c r="AP58" i="1"/>
  <c r="AN62" i="1"/>
  <c r="AV72" i="1"/>
  <c r="AO91" i="1"/>
  <c r="AT101" i="1"/>
  <c r="AN103" i="1"/>
  <c r="AT106" i="1"/>
  <c r="AT113" i="1"/>
  <c r="AR122" i="1"/>
  <c r="AN125" i="1"/>
  <c r="AV128" i="1"/>
  <c r="AT129" i="1"/>
  <c r="AQ11" i="1"/>
  <c r="AP11" i="1"/>
  <c r="AS15" i="1"/>
  <c r="AV17" i="1"/>
  <c r="AS21" i="1"/>
  <c r="BJ21" i="1" s="1"/>
  <c r="AV22" i="1"/>
  <c r="AU25" i="1"/>
  <c r="BK25" i="1" s="1"/>
  <c r="AS29" i="1"/>
  <c r="AR33" i="1"/>
  <c r="AQ34" i="1"/>
  <c r="AV36" i="1"/>
  <c r="AP38" i="1"/>
  <c r="AP42" i="1"/>
  <c r="AV43" i="1"/>
  <c r="AN46" i="1"/>
  <c r="AV55" i="1"/>
  <c r="AN67" i="1"/>
  <c r="AQ88" i="1"/>
  <c r="AV90" i="1"/>
  <c r="AS103" i="1"/>
  <c r="AP104" i="1"/>
  <c r="AU106" i="1"/>
  <c r="AZ106" i="1" s="1"/>
  <c r="AU113" i="1"/>
  <c r="AV119" i="1"/>
  <c r="AZ119" i="1" s="1"/>
  <c r="AV125" i="1"/>
  <c r="AO128" i="1"/>
  <c r="AT13" i="1"/>
  <c r="AQ38" i="1"/>
  <c r="AQ15" i="1"/>
  <c r="AN19" i="1"/>
  <c r="AR20" i="1"/>
  <c r="AS25" i="1"/>
  <c r="AT26" i="1"/>
  <c r="AQ29" i="1"/>
  <c r="AO33" i="1"/>
  <c r="AT47" i="1"/>
  <c r="AS51" i="1"/>
  <c r="AO57" i="1"/>
  <c r="AN65" i="1"/>
  <c r="AV70" i="1"/>
  <c r="AP72" i="1"/>
  <c r="AS87" i="1"/>
  <c r="AR92" i="1"/>
  <c r="AP93" i="1"/>
  <c r="AR94" i="1"/>
  <c r="AN96" i="1"/>
  <c r="AN98" i="1"/>
  <c r="AQ109" i="1"/>
  <c r="AN120" i="1"/>
  <c r="AQ121" i="1"/>
  <c r="AV123" i="1"/>
  <c r="AQ130" i="1"/>
  <c r="AT136" i="1"/>
  <c r="AU138" i="1"/>
  <c r="AU12" i="1"/>
  <c r="AZ12" i="1" s="1"/>
  <c r="AU16" i="1"/>
  <c r="AU21" i="1"/>
  <c r="AT24" i="1"/>
  <c r="BJ24" i="1" s="1"/>
  <c r="AR29" i="1"/>
  <c r="AT46" i="1"/>
  <c r="AQ47" i="1"/>
  <c r="AP51" i="1"/>
  <c r="AT53" i="1"/>
  <c r="AU54" i="1"/>
  <c r="AP57" i="1"/>
  <c r="AS64" i="1"/>
  <c r="AT74" i="1"/>
  <c r="AN86" i="1"/>
  <c r="AN91" i="1"/>
  <c r="AO98" i="1"/>
  <c r="AQ99" i="1"/>
  <c r="AP102" i="1"/>
  <c r="AT103" i="1"/>
  <c r="AN106" i="1"/>
  <c r="AQ108" i="1"/>
  <c r="AR109" i="1"/>
  <c r="AN112" i="1"/>
  <c r="AR114" i="1"/>
  <c r="AO126" i="1"/>
  <c r="AQ135" i="1"/>
  <c r="AU8" i="1"/>
  <c r="AV8" i="1"/>
  <c r="AV12" i="1"/>
  <c r="AS14" i="1"/>
  <c r="AV16" i="1"/>
  <c r="AP18" i="1"/>
  <c r="AQ19" i="1"/>
  <c r="AT20" i="1"/>
  <c r="AY20" i="1" s="1"/>
  <c r="AV21" i="1"/>
  <c r="AS23" i="1"/>
  <c r="AY23" i="1" s="1"/>
  <c r="AR24" i="1"/>
  <c r="AV30" i="1"/>
  <c r="AP32" i="1"/>
  <c r="AT34" i="1"/>
  <c r="AP37" i="1"/>
  <c r="AU41" i="1"/>
  <c r="AV42" i="1"/>
  <c r="AR45" i="1"/>
  <c r="AQ46" i="1"/>
  <c r="AS50" i="1"/>
  <c r="AV54" i="1"/>
  <c r="BK54" i="1" s="1"/>
  <c r="AQ57" i="1"/>
  <c r="AU63" i="1"/>
  <c r="AQ67" i="1"/>
  <c r="AO86" i="1"/>
  <c r="AT88" i="1"/>
  <c r="AV91" i="1"/>
  <c r="AZ91" i="1" s="1"/>
  <c r="AP92" i="1"/>
  <c r="AQ97" i="1"/>
  <c r="AO102" i="1"/>
  <c r="AP108" i="1"/>
  <c r="AQ119" i="1"/>
  <c r="AP120" i="1"/>
  <c r="AU134" i="1"/>
  <c r="Q4" i="2"/>
  <c r="Y4" i="2"/>
  <c r="J11" i="2"/>
  <c r="BK14" i="1"/>
  <c r="BK35" i="1"/>
  <c r="AZ49" i="1"/>
  <c r="D5" i="7"/>
  <c r="AZ26" i="1"/>
  <c r="Q15" i="2"/>
  <c r="Y15" i="2"/>
  <c r="Y12" i="2"/>
  <c r="Q12" i="2"/>
  <c r="E5" i="7"/>
  <c r="BJ23" i="1"/>
  <c r="AZ41" i="1"/>
  <c r="L15" i="2"/>
  <c r="L12" i="2"/>
  <c r="AZ48" i="1"/>
  <c r="BK48" i="1"/>
  <c r="AZ40" i="1"/>
  <c r="BK40" i="1"/>
  <c r="J6" i="2"/>
  <c r="BJ32" i="1"/>
  <c r="I15" i="2"/>
  <c r="I12" i="2"/>
  <c r="C5" i="7"/>
  <c r="L5" i="7"/>
  <c r="P5" i="2"/>
  <c r="X5" i="2"/>
  <c r="J15" i="2"/>
  <c r="J12" i="2"/>
  <c r="K6" i="2"/>
  <c r="K5" i="2"/>
  <c r="AS11" i="1"/>
  <c r="AP71" i="1"/>
  <c r="AO71" i="1"/>
  <c r="AN71" i="1"/>
  <c r="AV71" i="1"/>
  <c r="AP77" i="1"/>
  <c r="AO77" i="1"/>
  <c r="AP84" i="1"/>
  <c r="AO84" i="1"/>
  <c r="BK92" i="1"/>
  <c r="BK119" i="1"/>
  <c r="J4" i="2"/>
  <c r="J13" i="2"/>
  <c r="I14" i="2"/>
  <c r="AN28" i="1"/>
  <c r="AO38" i="1"/>
  <c r="AS38" i="1"/>
  <c r="AN40" i="1"/>
  <c r="AS42" i="1"/>
  <c r="AP45" i="1"/>
  <c r="AT45" i="1"/>
  <c r="AO47" i="1"/>
  <c r="AT49" i="1"/>
  <c r="AQ51" i="1"/>
  <c r="AP53" i="1"/>
  <c r="AO54" i="1"/>
  <c r="AO55" i="1"/>
  <c r="AQ56" i="1"/>
  <c r="AU58" i="1"/>
  <c r="AO59" i="1"/>
  <c r="AP60" i="1"/>
  <c r="AU60" i="1"/>
  <c r="AR61" i="1"/>
  <c r="AV62" i="1"/>
  <c r="AQ63" i="1"/>
  <c r="AV65" i="1"/>
  <c r="AR66" i="1"/>
  <c r="AV67" i="1"/>
  <c r="AR70" i="1"/>
  <c r="AQ71" i="1"/>
  <c r="AV74" i="1"/>
  <c r="BK74" i="1" s="1"/>
  <c r="AN78" i="1"/>
  <c r="AP79" i="1"/>
  <c r="AU80" i="1"/>
  <c r="AR82" i="1"/>
  <c r="AQ83" i="1"/>
  <c r="AS89" i="1"/>
  <c r="AR99" i="1"/>
  <c r="AT100" i="1"/>
  <c r="AO105" i="1"/>
  <c r="AN105" i="1"/>
  <c r="AV105" i="1"/>
  <c r="AU105" i="1"/>
  <c r="AT105" i="1"/>
  <c r="AS105" i="1"/>
  <c r="AV107" i="1"/>
  <c r="AO8" i="1"/>
  <c r="AO10" i="1"/>
  <c r="AO12" i="1"/>
  <c r="AP14" i="1"/>
  <c r="AP16" i="1"/>
  <c r="AQ18" i="1"/>
  <c r="AN21" i="1"/>
  <c r="AP23" i="1"/>
  <c r="AR25" i="1"/>
  <c r="AO28" i="1"/>
  <c r="AQ30" i="1"/>
  <c r="AN33" i="1"/>
  <c r="AP35" i="1"/>
  <c r="AV37" i="1"/>
  <c r="BK37" i="1" s="1"/>
  <c r="AT38" i="1"/>
  <c r="AR39" i="1"/>
  <c r="AO40" i="1"/>
  <c r="AU45" i="1"/>
  <c r="AS46" i="1"/>
  <c r="AP47" i="1"/>
  <c r="AN48" i="1"/>
  <c r="AT52" i="1"/>
  <c r="AQ53" i="1"/>
  <c r="AP54" i="1"/>
  <c r="AP55" i="1"/>
  <c r="AR56" i="1"/>
  <c r="AS59" i="1"/>
  <c r="AV60" i="1"/>
  <c r="AS61" i="1"/>
  <c r="AP62" i="1"/>
  <c r="AO64" i="1"/>
  <c r="AN64" i="1"/>
  <c r="AV64" i="1"/>
  <c r="AS66" i="1"/>
  <c r="AO68" i="1"/>
  <c r="AR71" i="1"/>
  <c r="AP74" i="1"/>
  <c r="AT75" i="1"/>
  <c r="AO75" i="1"/>
  <c r="AN75" i="1"/>
  <c r="AR83" i="1"/>
  <c r="AQ87" i="1"/>
  <c r="AP95" i="1"/>
  <c r="AO95" i="1"/>
  <c r="AN95" i="1"/>
  <c r="AV95" i="1"/>
  <c r="AT95" i="1"/>
  <c r="AV101" i="1"/>
  <c r="AN101" i="1"/>
  <c r="AY106" i="1"/>
  <c r="AR108" i="1"/>
  <c r="AN108" i="1"/>
  <c r="AT109" i="1"/>
  <c r="AS127" i="1"/>
  <c r="AR127" i="1"/>
  <c r="AQ127" i="1"/>
  <c r="AN14" i="1"/>
  <c r="AP8" i="1"/>
  <c r="AV9" i="1"/>
  <c r="AP10" i="1"/>
  <c r="AP12" i="1"/>
  <c r="AQ14" i="1"/>
  <c r="AQ16" i="1"/>
  <c r="AN26" i="1"/>
  <c r="AP28" i="1"/>
  <c r="AU38" i="1"/>
  <c r="AP40" i="1"/>
  <c r="AN41" i="1"/>
  <c r="AV45" i="1"/>
  <c r="AO48" i="1"/>
  <c r="AQ52" i="1"/>
  <c r="AR53" i="1"/>
  <c r="AQ54" i="1"/>
  <c r="AR55" i="1"/>
  <c r="AS57" i="1"/>
  <c r="AO58" i="1"/>
  <c r="AT59" i="1"/>
  <c r="AT61" i="1"/>
  <c r="AQ62" i="1"/>
  <c r="AP64" i="1"/>
  <c r="AV68" i="1"/>
  <c r="AZ68" i="1" s="1"/>
  <c r="AQ73" i="1"/>
  <c r="AQ74" i="1"/>
  <c r="AU75" i="1"/>
  <c r="AT76" i="1"/>
  <c r="AN79" i="1"/>
  <c r="AO80" i="1"/>
  <c r="AR85" i="1"/>
  <c r="AV85" i="1"/>
  <c r="AN93" i="1"/>
  <c r="AV93" i="1"/>
  <c r="AU93" i="1"/>
  <c r="AT93" i="1"/>
  <c r="AY93" i="1" s="1"/>
  <c r="AR93" i="1"/>
  <c r="AQ95" i="1"/>
  <c r="AR97" i="1"/>
  <c r="AN97" i="1"/>
  <c r="AV97" i="1"/>
  <c r="AZ97" i="1" s="1"/>
  <c r="AT99" i="1"/>
  <c r="AP99" i="1"/>
  <c r="AO99" i="1"/>
  <c r="AN99" i="1"/>
  <c r="AR104" i="1"/>
  <c r="AS108" i="1"/>
  <c r="AT115" i="1"/>
  <c r="AS9" i="1"/>
  <c r="AV19" i="1"/>
  <c r="BK19" i="1" s="1"/>
  <c r="AS22" i="1"/>
  <c r="AQ32" i="1"/>
  <c r="AS34" i="1"/>
  <c r="AU36" i="1"/>
  <c r="AP83" i="1"/>
  <c r="AO83" i="1"/>
  <c r="AN83" i="1"/>
  <c r="AV83" i="1"/>
  <c r="AT83" i="1"/>
  <c r="K13" i="2"/>
  <c r="J14" i="2"/>
  <c r="F22" i="2"/>
  <c r="D23" i="2" s="1"/>
  <c r="C8" i="2"/>
  <c r="I5" i="2" s="1"/>
  <c r="Q11" i="2"/>
  <c r="L13" i="2"/>
  <c r="K14" i="2"/>
  <c r="AV11" i="1"/>
  <c r="BK11" i="1" s="1"/>
  <c r="AV13" i="1"/>
  <c r="L14" i="2"/>
  <c r="AS18" i="1"/>
  <c r="AU20" i="1"/>
  <c r="AP21" i="1"/>
  <c r="AR23" i="1"/>
  <c r="AT25" i="1"/>
  <c r="BJ25" i="1" s="1"/>
  <c r="AO26" i="1"/>
  <c r="AV27" i="1"/>
  <c r="AZ27" i="1" s="1"/>
  <c r="AS30" i="1"/>
  <c r="AU32" i="1"/>
  <c r="AP33" i="1"/>
  <c r="AR35" i="1"/>
  <c r="AO41" i="1"/>
  <c r="AU43" i="1"/>
  <c r="AP48" i="1"/>
  <c r="AN49" i="1"/>
  <c r="AV50" i="1"/>
  <c r="AN54" i="1"/>
  <c r="AN55" i="1"/>
  <c r="AS55" i="1"/>
  <c r="AP56" i="1"/>
  <c r="AV59" i="1"/>
  <c r="AS62" i="1"/>
  <c r="AT63" i="1"/>
  <c r="BJ63" i="1" s="1"/>
  <c r="AO63" i="1"/>
  <c r="AQ64" i="1"/>
  <c r="AR65" i="1"/>
  <c r="AQ69" i="1"/>
  <c r="AU70" i="1"/>
  <c r="AO73" i="1"/>
  <c r="AV75" i="1"/>
  <c r="AS77" i="1"/>
  <c r="AQ78" i="1"/>
  <c r="AP78" i="1"/>
  <c r="AO78" i="1"/>
  <c r="AV79" i="1"/>
  <c r="AQ81" i="1"/>
  <c r="AU82" i="1"/>
  <c r="AT84" i="1"/>
  <c r="AS85" i="1"/>
  <c r="AV89" i="1"/>
  <c r="AN89" i="1"/>
  <c r="AO93" i="1"/>
  <c r="AR95" i="1"/>
  <c r="AS97" i="1"/>
  <c r="AU99" i="1"/>
  <c r="AY103" i="1"/>
  <c r="AR107" i="1"/>
  <c r="AO115" i="1"/>
  <c r="AR115" i="1"/>
  <c r="AQ115" i="1"/>
  <c r="AN115" i="1"/>
  <c r="AT133" i="1"/>
  <c r="AP133" i="1"/>
  <c r="AN133" i="1"/>
  <c r="M3" i="7"/>
  <c r="AQ66" i="1"/>
  <c r="AP66" i="1"/>
  <c r="AO66" i="1"/>
  <c r="AO19" i="1"/>
  <c r="AN24" i="1"/>
  <c r="AO31" i="1"/>
  <c r="AV32" i="1"/>
  <c r="AN36" i="1"/>
  <c r="AT37" i="1"/>
  <c r="AU39" i="1"/>
  <c r="AS40" i="1"/>
  <c r="AO42" i="1"/>
  <c r="AU44" i="1"/>
  <c r="AV46" i="1"/>
  <c r="AQ48" i="1"/>
  <c r="AP49" i="1"/>
  <c r="AN50" i="1"/>
  <c r="AT60" i="1"/>
  <c r="AU62" i="1"/>
  <c r="AV66" i="1"/>
  <c r="AY67" i="1"/>
  <c r="AQ68" i="1"/>
  <c r="AR69" i="1"/>
  <c r="AU71" i="1"/>
  <c r="AN74" i="1"/>
  <c r="AS74" i="1"/>
  <c r="AR81" i="1"/>
  <c r="AU83" i="1"/>
  <c r="AT87" i="1"/>
  <c r="AP87" i="1"/>
  <c r="AO87" i="1"/>
  <c r="AN87" i="1"/>
  <c r="AT39" i="10"/>
  <c r="AO39" i="10"/>
  <c r="AN39" i="10"/>
  <c r="AS13" i="1"/>
  <c r="AT15" i="1"/>
  <c r="AT17" i="1"/>
  <c r="AR27" i="1"/>
  <c r="AV31" i="1"/>
  <c r="AS37" i="1"/>
  <c r="AR38" i="1"/>
  <c r="AT44" i="1"/>
  <c r="AT51" i="1"/>
  <c r="AQ21" i="1"/>
  <c r="AP26" i="1"/>
  <c r="AR28" i="1"/>
  <c r="AS8" i="1"/>
  <c r="AS10" i="1"/>
  <c r="AS12" i="1"/>
  <c r="AT14" i="1"/>
  <c r="AY14" i="1" s="1"/>
  <c r="AN15" i="1"/>
  <c r="AN17" i="1"/>
  <c r="AP19" i="1"/>
  <c r="AO24" i="1"/>
  <c r="AN29" i="1"/>
  <c r="AP31" i="1"/>
  <c r="AO36" i="1"/>
  <c r="AT40" i="1"/>
  <c r="AQ41" i="1"/>
  <c r="AO43" i="1"/>
  <c r="AU47" i="1"/>
  <c r="AR48" i="1"/>
  <c r="AP50" i="1"/>
  <c r="AV51" i="1"/>
  <c r="AN58" i="1"/>
  <c r="AS58" i="1"/>
  <c r="AQ59" i="1"/>
  <c r="AN61" i="1"/>
  <c r="AO62" i="1"/>
  <c r="AV63" i="1"/>
  <c r="AR68" i="1"/>
  <c r="AQ70" i="1"/>
  <c r="AT72" i="1"/>
  <c r="AY72" i="1" s="1"/>
  <c r="AO74" i="1"/>
  <c r="AR76" i="1"/>
  <c r="AS78" i="1"/>
  <c r="AR80" i="1"/>
  <c r="AQ82" i="1"/>
  <c r="AU87" i="1"/>
  <c r="AU101" i="1"/>
  <c r="AQ104" i="1"/>
  <c r="AT107" i="1"/>
  <c r="AP107" i="1"/>
  <c r="AO107" i="1"/>
  <c r="AN107" i="1"/>
  <c r="AV108" i="1"/>
  <c r="AN16" i="1"/>
  <c r="AS45" i="1"/>
  <c r="AQ33" i="1"/>
  <c r="AT8" i="1"/>
  <c r="AN9" i="1"/>
  <c r="AN11" i="1"/>
  <c r="AT12" i="1"/>
  <c r="AN13" i="1"/>
  <c r="AO15" i="1"/>
  <c r="AQ40" i="1"/>
  <c r="AR41" i="1"/>
  <c r="AQ42" i="1"/>
  <c r="AP43" i="1"/>
  <c r="AN44" i="1"/>
  <c r="AR47" i="1"/>
  <c r="AS48" i="1"/>
  <c r="AQ50" i="1"/>
  <c r="AN51" i="1"/>
  <c r="AS53" i="1"/>
  <c r="AQ55" i="1"/>
  <c r="AS56" i="1"/>
  <c r="AT58" i="1"/>
  <c r="AR59" i="1"/>
  <c r="AP61" i="1"/>
  <c r="AN63" i="1"/>
  <c r="AT64" i="1"/>
  <c r="AU66" i="1"/>
  <c r="AU67" i="1"/>
  <c r="AP68" i="1"/>
  <c r="AN69" i="1"/>
  <c r="AU69" i="1"/>
  <c r="AT69" i="1"/>
  <c r="BJ69" i="1" s="1"/>
  <c r="AS71" i="1"/>
  <c r="AR73" i="1"/>
  <c r="AS76" i="1"/>
  <c r="AV77" i="1"/>
  <c r="AN81" i="1"/>
  <c r="AU81" i="1"/>
  <c r="AT81" i="1"/>
  <c r="AY81" i="1" s="1"/>
  <c r="AS83" i="1"/>
  <c r="AN84" i="1"/>
  <c r="AV87" i="1"/>
  <c r="BJ94" i="1"/>
  <c r="AU95" i="1"/>
  <c r="AR101" i="1"/>
  <c r="AQ102" i="1"/>
  <c r="AU102" i="1"/>
  <c r="AU107" i="1"/>
  <c r="AO110" i="1"/>
  <c r="AN110" i="1"/>
  <c r="AU110" i="1"/>
  <c r="AT110" i="1"/>
  <c r="AQ20" i="1"/>
  <c r="AU24" i="1"/>
  <c r="AT29" i="1"/>
  <c r="AY29" i="1" s="1"/>
  <c r="K4" i="7"/>
  <c r="K5" i="7" s="1"/>
  <c r="AV20" i="1"/>
  <c r="Y11" i="2"/>
  <c r="AO9" i="1"/>
  <c r="AO11" i="1"/>
  <c r="AO13" i="1"/>
  <c r="AP15" i="1"/>
  <c r="AP17" i="1"/>
  <c r="AR19" i="1"/>
  <c r="AO22" i="1"/>
  <c r="BI22" i="1" s="1"/>
  <c r="AQ24" i="1"/>
  <c r="AS26" i="1"/>
  <c r="AN27" i="1"/>
  <c r="AP29" i="1"/>
  <c r="AR31" i="1"/>
  <c r="AO34" i="1"/>
  <c r="AQ36" i="1"/>
  <c r="AN37" i="1"/>
  <c r="AV38" i="1"/>
  <c r="AN42" i="1"/>
  <c r="AQ43" i="1"/>
  <c r="AO44" i="1"/>
  <c r="AN45" i="1"/>
  <c r="AO49" i="1"/>
  <c r="AO51" i="1"/>
  <c r="AT56" i="1"/>
  <c r="AN60" i="1"/>
  <c r="AQ61" i="1"/>
  <c r="AP63" i="1"/>
  <c r="AO69" i="1"/>
  <c r="AT71" i="1"/>
  <c r="AN77" i="1"/>
  <c r="AP80" i="1"/>
  <c r="AO81" i="1"/>
  <c r="AS84" i="1"/>
  <c r="AO100" i="1"/>
  <c r="AN100" i="1"/>
  <c r="AV100" i="1"/>
  <c r="AU100" i="1"/>
  <c r="AS100" i="1"/>
  <c r="AS104" i="1"/>
  <c r="AO104" i="1"/>
  <c r="AN104" i="1"/>
  <c r="AS109" i="1"/>
  <c r="AQ124" i="1"/>
  <c r="AO124" i="1"/>
  <c r="AU124" i="1"/>
  <c r="I13" i="2"/>
  <c r="AR10" i="1"/>
  <c r="M2" i="7"/>
  <c r="M4" i="7" s="1"/>
  <c r="AN32" i="1"/>
  <c r="AN38" i="1"/>
  <c r="AN43" i="1"/>
  <c r="AR43" i="1"/>
  <c r="AO50" i="1"/>
  <c r="AN52" i="1"/>
  <c r="AS54" i="1"/>
  <c r="AU56" i="1"/>
  <c r="AT57" i="1"/>
  <c r="AO60" i="1"/>
  <c r="AR62" i="1"/>
  <c r="AN66" i="1"/>
  <c r="AO67" i="1"/>
  <c r="AP69" i="1"/>
  <c r="AT70" i="1"/>
  <c r="AS70" i="1"/>
  <c r="AP70" i="1"/>
  <c r="AO70" i="1"/>
  <c r="AN70" i="1"/>
  <c r="AN72" i="1"/>
  <c r="AT73" i="1"/>
  <c r="BJ73" i="1" s="1"/>
  <c r="AR74" i="1"/>
  <c r="AS75" i="1"/>
  <c r="AR77" i="1"/>
  <c r="AV78" i="1"/>
  <c r="AP81" i="1"/>
  <c r="AT82" i="1"/>
  <c r="AS82" i="1"/>
  <c r="AP82" i="1"/>
  <c r="AO82" i="1"/>
  <c r="AN82" i="1"/>
  <c r="AU85" i="1"/>
  <c r="AR89" i="1"/>
  <c r="AQ90" i="1"/>
  <c r="AP90" i="1"/>
  <c r="AO90" i="1"/>
  <c r="AU90" i="1"/>
  <c r="AS95" i="1"/>
  <c r="AP100" i="1"/>
  <c r="AS102" i="1"/>
  <c r="AT104" i="1"/>
  <c r="AT127" i="1"/>
  <c r="AQ37" i="1"/>
  <c r="AV39" i="1"/>
  <c r="AN57" i="1"/>
  <c r="AR58" i="1"/>
  <c r="AU59" i="1"/>
  <c r="AQ60" i="1"/>
  <c r="AO61" i="1"/>
  <c r="AS65" i="1"/>
  <c r="AP67" i="1"/>
  <c r="AS68" i="1"/>
  <c r="AO72" i="1"/>
  <c r="AO76" i="1"/>
  <c r="AN76" i="1"/>
  <c r="AV76" i="1"/>
  <c r="AU76" i="1"/>
  <c r="AT78" i="1"/>
  <c r="AU79" i="1"/>
  <c r="AV84" i="1"/>
  <c r="AO88" i="1"/>
  <c r="AN88" i="1"/>
  <c r="AV88" i="1"/>
  <c r="AU88" i="1"/>
  <c r="AS88" i="1"/>
  <c r="AR90" i="1"/>
  <c r="AS92" i="1"/>
  <c r="AO92" i="1"/>
  <c r="AN92" i="1"/>
  <c r="AV94" i="1"/>
  <c r="AZ94" i="1" s="1"/>
  <c r="AS99" i="1"/>
  <c r="AQ100" i="1"/>
  <c r="AU104" i="1"/>
  <c r="AQ105" i="1"/>
  <c r="AR110" i="1"/>
  <c r="AO139" i="1"/>
  <c r="AV139" i="1"/>
  <c r="AR139" i="1"/>
  <c r="AQ139" i="1"/>
  <c r="AS41" i="1"/>
  <c r="AT48" i="1"/>
  <c r="AU55" i="1"/>
  <c r="AV57" i="1"/>
  <c r="AZ57" i="1" s="1"/>
  <c r="AU77" i="1"/>
  <c r="AS80" i="1"/>
  <c r="AN80" i="1"/>
  <c r="BJ129" i="1"/>
  <c r="AO23" i="10"/>
  <c r="AU23" i="10"/>
  <c r="AT23" i="10"/>
  <c r="AQ86" i="1"/>
  <c r="AQ98" i="1"/>
  <c r="AP115" i="1"/>
  <c r="AR124" i="1"/>
  <c r="AU132" i="1"/>
  <c r="AU133" i="1"/>
  <c r="AP139" i="1"/>
  <c r="U23" i="8"/>
  <c r="W22" i="8"/>
  <c r="U17" i="8"/>
  <c r="W16" i="8"/>
  <c r="T12" i="8"/>
  <c r="W11" i="8"/>
  <c r="T23" i="8"/>
  <c r="AB23" i="8" s="1"/>
  <c r="V22" i="8"/>
  <c r="X21" i="8"/>
  <c r="T17" i="8"/>
  <c r="V16" i="8"/>
  <c r="X15" i="8"/>
  <c r="V11" i="8"/>
  <c r="X10" i="8"/>
  <c r="U22" i="8"/>
  <c r="W21" i="8"/>
  <c r="U16" i="8"/>
  <c r="W15" i="8"/>
  <c r="U11" i="8"/>
  <c r="AC11" i="8" s="1"/>
  <c r="W10" i="8"/>
  <c r="T22" i="8"/>
  <c r="V21" i="8"/>
  <c r="X20" i="8"/>
  <c r="T16" i="8"/>
  <c r="V15" i="8"/>
  <c r="X14" i="8"/>
  <c r="T11" i="8"/>
  <c r="V10" i="8"/>
  <c r="X9" i="8"/>
  <c r="U21" i="8"/>
  <c r="W20" i="8"/>
  <c r="U15" i="8"/>
  <c r="W14" i="8"/>
  <c r="U10" i="8"/>
  <c r="W9" i="8"/>
  <c r="X25" i="8"/>
  <c r="T21" i="8"/>
  <c r="V20" i="8"/>
  <c r="X19" i="8"/>
  <c r="T15" i="8"/>
  <c r="V14" i="8"/>
  <c r="X13" i="8"/>
  <c r="T10" i="8"/>
  <c r="AB10" i="8" s="1"/>
  <c r="V9" i="8"/>
  <c r="X8" i="8"/>
  <c r="AF8" i="8" s="1"/>
  <c r="W25" i="8"/>
  <c r="U20" i="8"/>
  <c r="W19" i="8"/>
  <c r="U14" i="8"/>
  <c r="W13" i="8"/>
  <c r="V25" i="8"/>
  <c r="AD25" i="8" s="1"/>
  <c r="X24" i="8"/>
  <c r="T20" i="8"/>
  <c r="V19" i="8"/>
  <c r="AD19" i="8" s="1"/>
  <c r="X18" i="8"/>
  <c r="AF18" i="8" s="1"/>
  <c r="T14" i="8"/>
  <c r="V13" i="8"/>
  <c r="AD13" i="8" s="1"/>
  <c r="T9" i="8"/>
  <c r="V8" i="8"/>
  <c r="X7" i="8"/>
  <c r="W6" i="8"/>
  <c r="U25" i="8"/>
  <c r="W24" i="8"/>
  <c r="U19" i="8"/>
  <c r="W18" i="8"/>
  <c r="U13" i="8"/>
  <c r="X12" i="8"/>
  <c r="U8" i="8"/>
  <c r="W7" i="8"/>
  <c r="V6" i="8"/>
  <c r="T25" i="8"/>
  <c r="V24" i="8"/>
  <c r="X23" i="8"/>
  <c r="T19" i="8"/>
  <c r="V18" i="8"/>
  <c r="X17" i="8"/>
  <c r="T13" i="8"/>
  <c r="W12" i="8"/>
  <c r="AE12" i="8" s="1"/>
  <c r="T8" i="8"/>
  <c r="V7" i="8"/>
  <c r="U6" i="8"/>
  <c r="Y24" i="8"/>
  <c r="Y18" i="8"/>
  <c r="Z12" i="8"/>
  <c r="V23" i="8"/>
  <c r="AV8" i="10"/>
  <c r="AP8" i="10"/>
  <c r="AU12" i="10"/>
  <c r="AO12" i="10"/>
  <c r="AN12" i="10"/>
  <c r="AO89" i="1"/>
  <c r="AQ91" i="1"/>
  <c r="AN94" i="1"/>
  <c r="AP96" i="1"/>
  <c r="AO101" i="1"/>
  <c r="AQ103" i="1"/>
  <c r="AP106" i="1"/>
  <c r="AT108" i="1"/>
  <c r="AQ110" i="1"/>
  <c r="AS111" i="1"/>
  <c r="AP112" i="1"/>
  <c r="AO113" i="1"/>
  <c r="AV116" i="1"/>
  <c r="AP117" i="1"/>
  <c r="AO117" i="1"/>
  <c r="AN118" i="1"/>
  <c r="AO122" i="1"/>
  <c r="AN122" i="1"/>
  <c r="AN123" i="1"/>
  <c r="AS124" i="1"/>
  <c r="AU127" i="1"/>
  <c r="AN130" i="1"/>
  <c r="AR131" i="1"/>
  <c r="AP131" i="1"/>
  <c r="AO132" i="1"/>
  <c r="AV133" i="1"/>
  <c r="AU135" i="1"/>
  <c r="AT135" i="1"/>
  <c r="AO135" i="1"/>
  <c r="AU137" i="1"/>
  <c r="T7" i="8"/>
  <c r="W23" i="8"/>
  <c r="AN8" i="10"/>
  <c r="AS9" i="10"/>
  <c r="AV12" i="10"/>
  <c r="BU12" i="10" s="1"/>
  <c r="AZ21" i="10"/>
  <c r="AQ23" i="10"/>
  <c r="AQ72" i="1"/>
  <c r="AR79" i="1"/>
  <c r="AQ84" i="1"/>
  <c r="AS86" i="1"/>
  <c r="AP89" i="1"/>
  <c r="AR91" i="1"/>
  <c r="AO94" i="1"/>
  <c r="AQ96" i="1"/>
  <c r="AS98" i="1"/>
  <c r="AP101" i="1"/>
  <c r="AR103" i="1"/>
  <c r="AQ106" i="1"/>
  <c r="AT111" i="1"/>
  <c r="AQ112" i="1"/>
  <c r="AP113" i="1"/>
  <c r="AN114" i="1"/>
  <c r="AS114" i="1"/>
  <c r="AO116" i="1"/>
  <c r="AQ117" i="1"/>
  <c r="AO118" i="1"/>
  <c r="AQ120" i="1"/>
  <c r="AP122" i="1"/>
  <c r="AP123" i="1"/>
  <c r="AQ125" i="1"/>
  <c r="AO130" i="1"/>
  <c r="AS131" i="1"/>
  <c r="AT134" i="1"/>
  <c r="AU136" i="1"/>
  <c r="U7" i="8"/>
  <c r="Z15" i="8"/>
  <c r="AH15" i="8" s="1"/>
  <c r="T18" i="8"/>
  <c r="AQ18" i="10"/>
  <c r="AP18" i="10"/>
  <c r="AR23" i="10"/>
  <c r="AT38" i="10"/>
  <c r="AO38" i="10"/>
  <c r="AQ65" i="1"/>
  <c r="AN68" i="1"/>
  <c r="AR72" i="1"/>
  <c r="AQ77" i="1"/>
  <c r="AR84" i="1"/>
  <c r="AT86" i="1"/>
  <c r="AQ89" i="1"/>
  <c r="AS91" i="1"/>
  <c r="AP94" i="1"/>
  <c r="AR96" i="1"/>
  <c r="AT98" i="1"/>
  <c r="AQ101" i="1"/>
  <c r="AR105" i="1"/>
  <c r="AR106" i="1"/>
  <c r="AQ111" i="1"/>
  <c r="AU111" i="1"/>
  <c r="AR112" i="1"/>
  <c r="AV114" i="1"/>
  <c r="AS115" i="1"/>
  <c r="AQ116" i="1"/>
  <c r="AR117" i="1"/>
  <c r="AQ118" i="1"/>
  <c r="AR119" i="1"/>
  <c r="AS120" i="1"/>
  <c r="AT121" i="1"/>
  <c r="AQ122" i="1"/>
  <c r="AR123" i="1"/>
  <c r="AP129" i="1"/>
  <c r="AO129" i="1"/>
  <c r="AN129" i="1"/>
  <c r="AT131" i="1"/>
  <c r="AT138" i="1"/>
  <c r="BJ138" i="1" s="1"/>
  <c r="AS139" i="1"/>
  <c r="Y7" i="8"/>
  <c r="U9" i="8"/>
  <c r="U18" i="8"/>
  <c r="AU9" i="10"/>
  <c r="AO9" i="10"/>
  <c r="AN9" i="10"/>
  <c r="AT11" i="10"/>
  <c r="AU13" i="10"/>
  <c r="BU13" i="10" s="1"/>
  <c r="AO13" i="10"/>
  <c r="AN13" i="10"/>
  <c r="BS14" i="10"/>
  <c r="AN15" i="10"/>
  <c r="AV15" i="10"/>
  <c r="AS15" i="10"/>
  <c r="AR15" i="10"/>
  <c r="AR18" i="10"/>
  <c r="AU38" i="10"/>
  <c r="AU86" i="1"/>
  <c r="AQ94" i="1"/>
  <c r="AU98" i="1"/>
  <c r="AV109" i="1"/>
  <c r="BK109" i="1" s="1"/>
  <c r="AN113" i="1"/>
  <c r="AR113" i="1"/>
  <c r="AS116" i="1"/>
  <c r="AS118" i="1"/>
  <c r="AU120" i="1"/>
  <c r="AV124" i="1"/>
  <c r="AS125" i="1"/>
  <c r="AR126" i="1"/>
  <c r="AV130" i="1"/>
  <c r="AU130" i="1"/>
  <c r="AS130" i="1"/>
  <c r="AR132" i="1"/>
  <c r="AV134" i="1"/>
  <c r="BK134" i="1" s="1"/>
  <c r="AP136" i="1"/>
  <c r="X11" i="8"/>
  <c r="Z21" i="8"/>
  <c r="T24" i="8"/>
  <c r="AB24" i="8" s="1"/>
  <c r="AN102" i="1"/>
  <c r="AN109" i="1"/>
  <c r="AU112" i="1"/>
  <c r="AU115" i="1"/>
  <c r="AT116" i="1"/>
  <c r="AN116" i="1"/>
  <c r="AU118" i="1"/>
  <c r="AT119" i="1"/>
  <c r="AY119" i="1" s="1"/>
  <c r="AO120" i="1"/>
  <c r="AV121" i="1"/>
  <c r="AU123" i="1"/>
  <c r="AT123" i="1"/>
  <c r="AO123" i="1"/>
  <c r="AU128" i="1"/>
  <c r="AR129" i="1"/>
  <c r="AS133" i="1"/>
  <c r="AS135" i="1"/>
  <c r="AT137" i="1"/>
  <c r="AU139" i="1"/>
  <c r="Y11" i="8"/>
  <c r="U24" i="8"/>
  <c r="AQ11" i="10"/>
  <c r="AT18" i="10"/>
  <c r="AR63" i="1"/>
  <c r="AT65" i="1"/>
  <c r="AU72" i="1"/>
  <c r="AP73" i="1"/>
  <c r="AR75" i="1"/>
  <c r="AT77" i="1"/>
  <c r="AQ80" i="1"/>
  <c r="AU84" i="1"/>
  <c r="AP85" i="1"/>
  <c r="AR87" i="1"/>
  <c r="AT89" i="1"/>
  <c r="AQ92" i="1"/>
  <c r="AU96" i="1"/>
  <c r="AP97" i="1"/>
  <c r="AP109" i="1"/>
  <c r="AV110" i="1"/>
  <c r="AV113" i="1"/>
  <c r="BK113" i="1" s="1"/>
  <c r="AU117" i="1"/>
  <c r="AP118" i="1"/>
  <c r="AN121" i="1"/>
  <c r="AT122" i="1"/>
  <c r="AU125" i="1"/>
  <c r="AP126" i="1"/>
  <c r="AN127" i="1"/>
  <c r="AV127" i="1"/>
  <c r="AP130" i="1"/>
  <c r="AN131" i="1"/>
  <c r="AT132" i="1"/>
  <c r="AY132" i="1" s="1"/>
  <c r="AR133" i="1"/>
  <c r="AS134" i="1"/>
  <c r="AN137" i="1"/>
  <c r="AO138" i="1"/>
  <c r="X16" i="8"/>
  <c r="AF16" i="8" s="1"/>
  <c r="AU8" i="10"/>
  <c r="AU10" i="10"/>
  <c r="AO10" i="10"/>
  <c r="AN10" i="10"/>
  <c r="AT12" i="10"/>
  <c r="AU18" i="10"/>
  <c r="AU37" i="10"/>
  <c r="AS107" i="1"/>
  <c r="AS112" i="1"/>
  <c r="AP116" i="1"/>
  <c r="AP121" i="1"/>
  <c r="AQ123" i="1"/>
  <c r="AO127" i="1"/>
  <c r="AQ136" i="1"/>
  <c r="AO136" i="1"/>
  <c r="AV138" i="1"/>
  <c r="BK138" i="1" s="1"/>
  <c r="Y16" i="8"/>
  <c r="AQ8" i="10"/>
  <c r="AP12" i="10"/>
  <c r="AO16" i="10"/>
  <c r="AN16" i="10"/>
  <c r="AV16" i="10"/>
  <c r="AT16" i="10"/>
  <c r="BJ16" i="10" s="1"/>
  <c r="AY40" i="10"/>
  <c r="BT40" i="10"/>
  <c r="BJ40" i="10"/>
  <c r="AO108" i="1"/>
  <c r="AT114" i="1"/>
  <c r="AN117" i="1"/>
  <c r="AR118" i="1"/>
  <c r="AN119" i="1"/>
  <c r="AR120" i="1"/>
  <c r="AV122" i="1"/>
  <c r="AZ122" i="1" s="1"/>
  <c r="AP124" i="1"/>
  <c r="AO125" i="1"/>
  <c r="AP127" i="1"/>
  <c r="AU129" i="1"/>
  <c r="AR130" i="1"/>
  <c r="AV131" i="1"/>
  <c r="BK131" i="1" s="1"/>
  <c r="AV132" i="1"/>
  <c r="AQ133" i="1"/>
  <c r="AR136" i="1"/>
  <c r="T6" i="8"/>
  <c r="X22" i="8"/>
  <c r="AF22" i="8" s="1"/>
  <c r="AR8" i="10"/>
  <c r="AQ12" i="10"/>
  <c r="AV18" i="10"/>
  <c r="BT27" i="10"/>
  <c r="AO109" i="1"/>
  <c r="AS113" i="1"/>
  <c r="AU114" i="1"/>
  <c r="AR116" i="1"/>
  <c r="AP119" i="1"/>
  <c r="AS123" i="1"/>
  <c r="AP125" i="1"/>
  <c r="AS126" i="1"/>
  <c r="AQ131" i="1"/>
  <c r="AO134" i="1"/>
  <c r="AN134" i="1"/>
  <c r="AS136" i="1"/>
  <c r="AR138" i="1"/>
  <c r="X6" i="8"/>
  <c r="W8" i="8"/>
  <c r="Y22" i="8"/>
  <c r="AT9" i="10"/>
  <c r="AU11" i="10"/>
  <c r="AO11" i="10"/>
  <c r="AN11" i="10"/>
  <c r="AT13" i="10"/>
  <c r="BJ19" i="10"/>
  <c r="AY19" i="10"/>
  <c r="BT19" i="10"/>
  <c r="AT25" i="10"/>
  <c r="AT117" i="1"/>
  <c r="AY117" i="1" s="1"/>
  <c r="AT118" i="1"/>
  <c r="AT120" i="1"/>
  <c r="AS121" i="1"/>
  <c r="AS122" i="1"/>
  <c r="AR125" i="1"/>
  <c r="AT126" i="1"/>
  <c r="AT128" i="1"/>
  <c r="AS128" i="1"/>
  <c r="AN128" i="1"/>
  <c r="AT130" i="1"/>
  <c r="AO131" i="1"/>
  <c r="AQ132" i="1"/>
  <c r="AP134" i="1"/>
  <c r="AP135" i="1"/>
  <c r="AN139" i="1"/>
  <c r="AT139" i="1"/>
  <c r="Y21" i="8"/>
  <c r="AG21" i="8" s="1"/>
  <c r="Z10" i="8"/>
  <c r="U12" i="8"/>
  <c r="V17" i="8"/>
  <c r="AT8" i="10"/>
  <c r="AP9" i="10"/>
  <c r="AV11" i="10"/>
  <c r="AP13" i="10"/>
  <c r="AU15" i="10"/>
  <c r="AN23" i="10"/>
  <c r="AS23" i="10"/>
  <c r="Z11" i="8"/>
  <c r="Z16" i="8"/>
  <c r="Z22" i="8"/>
  <c r="AO8" i="10"/>
  <c r="AP14" i="10"/>
  <c r="AU19" i="10"/>
  <c r="AP20" i="10"/>
  <c r="AS21" i="10"/>
  <c r="AP22" i="10"/>
  <c r="AP23" i="10"/>
  <c r="AN26" i="10"/>
  <c r="AR26" i="10"/>
  <c r="AT26" i="10"/>
  <c r="AQ27" i="10"/>
  <c r="AZ32" i="10"/>
  <c r="AV38" i="10"/>
  <c r="AY43" i="10"/>
  <c r="AR137" i="1"/>
  <c r="Y17" i="8"/>
  <c r="Y23" i="8"/>
  <c r="AQ14" i="10"/>
  <c r="AV19" i="10"/>
  <c r="AQ20" i="10"/>
  <c r="AT21" i="10"/>
  <c r="AQ22" i="10"/>
  <c r="AV39" i="10"/>
  <c r="AZ44" i="10"/>
  <c r="BK44" i="10"/>
  <c r="AT54" i="10"/>
  <c r="AO54" i="10"/>
  <c r="AO121" i="1"/>
  <c r="AN126" i="1"/>
  <c r="AO133" i="1"/>
  <c r="AN138" i="1"/>
  <c r="Y12" i="8"/>
  <c r="Z17" i="8"/>
  <c r="AH17" i="8" s="1"/>
  <c r="Z23" i="8"/>
  <c r="AR19" i="10"/>
  <c r="AR20" i="10"/>
  <c r="AO21" i="10"/>
  <c r="AU24" i="10"/>
  <c r="AN25" i="10"/>
  <c r="AU29" i="10"/>
  <c r="AP30" i="10"/>
  <c r="AO30" i="10"/>
  <c r="AN30" i="10"/>
  <c r="AT30" i="10"/>
  <c r="AP34" i="10"/>
  <c r="AT41" i="10"/>
  <c r="AY41" i="10" s="1"/>
  <c r="AR41" i="10"/>
  <c r="AQ41" i="10"/>
  <c r="AY44" i="10"/>
  <c r="BT44" i="10"/>
  <c r="BJ44" i="10"/>
  <c r="AT47" i="10"/>
  <c r="AY47" i="10" s="1"/>
  <c r="AO47" i="10"/>
  <c r="AN47" i="10"/>
  <c r="AP59" i="10"/>
  <c r="AP21" i="10"/>
  <c r="AO25" i="10"/>
  <c r="AT27" i="10"/>
  <c r="BJ27" i="10" s="1"/>
  <c r="AR29" i="10"/>
  <c r="BS29" i="10" s="1"/>
  <c r="AS33" i="10"/>
  <c r="AN34" i="10"/>
  <c r="AU41" i="10"/>
  <c r="AT42" i="10"/>
  <c r="AO42" i="10"/>
  <c r="AN42" i="10"/>
  <c r="AS45" i="10"/>
  <c r="AT46" i="10"/>
  <c r="AO46" i="10"/>
  <c r="AN46" i="10"/>
  <c r="AV54" i="10"/>
  <c r="AV56" i="10"/>
  <c r="AT56" i="10"/>
  <c r="AO56" i="10"/>
  <c r="AN56" i="10"/>
  <c r="AU56" i="10"/>
  <c r="AS56" i="10"/>
  <c r="AN124" i="1"/>
  <c r="AN136" i="1"/>
  <c r="Y6" i="8"/>
  <c r="Z7" i="8"/>
  <c r="AH7" i="8" s="1"/>
  <c r="Z18" i="8"/>
  <c r="Z24" i="8"/>
  <c r="AS8" i="10"/>
  <c r="AR9" i="10"/>
  <c r="AR10" i="10"/>
  <c r="AR11" i="10"/>
  <c r="AR12" i="10"/>
  <c r="AR13" i="10"/>
  <c r="AT14" i="10"/>
  <c r="AY14" i="10" s="1"/>
  <c r="AU16" i="10"/>
  <c r="AQ17" i="10"/>
  <c r="BI17" i="10"/>
  <c r="AN24" i="10"/>
  <c r="AP25" i="10"/>
  <c r="AN28" i="10"/>
  <c r="AV28" i="10"/>
  <c r="BU28" i="10" s="1"/>
  <c r="AR28" i="10"/>
  <c r="AS28" i="10"/>
  <c r="AT33" i="10"/>
  <c r="AR33" i="10"/>
  <c r="AZ42" i="10"/>
  <c r="BK42" i="10"/>
  <c r="AT43" i="10"/>
  <c r="BJ43" i="10" s="1"/>
  <c r="AO43" i="10"/>
  <c r="AN43" i="10"/>
  <c r="BS43" i="10" s="1"/>
  <c r="AT45" i="10"/>
  <c r="AR45" i="10"/>
  <c r="AQ45" i="10"/>
  <c r="AR121" i="1"/>
  <c r="AQ126" i="1"/>
  <c r="AQ138" i="1"/>
  <c r="Z6" i="8"/>
  <c r="AH6" i="8" s="1"/>
  <c r="Y8" i="8"/>
  <c r="Y13" i="8"/>
  <c r="Y19" i="8"/>
  <c r="Y25" i="8"/>
  <c r="AS10" i="10"/>
  <c r="AS11" i="10"/>
  <c r="AS12" i="10"/>
  <c r="AS13" i="10"/>
  <c r="AU14" i="10"/>
  <c r="AR17" i="10"/>
  <c r="BS17" i="10" s="1"/>
  <c r="AO24" i="10"/>
  <c r="AQ25" i="10"/>
  <c r="AV27" i="10"/>
  <c r="BJ31" i="10"/>
  <c r="AU33" i="10"/>
  <c r="AT34" i="10"/>
  <c r="AO34" i="10"/>
  <c r="AQ39" i="10"/>
  <c r="BU42" i="10"/>
  <c r="AU45" i="10"/>
  <c r="AV46" i="10"/>
  <c r="AP56" i="10"/>
  <c r="Z8" i="8"/>
  <c r="Z13" i="8"/>
  <c r="Z19" i="8"/>
  <c r="Z25" i="8"/>
  <c r="AS17" i="10"/>
  <c r="AV23" i="10"/>
  <c r="BU23" i="10" s="1"/>
  <c r="AP24" i="10"/>
  <c r="AR25" i="10"/>
  <c r="AU27" i="10"/>
  <c r="AV33" i="10"/>
  <c r="AU34" i="10"/>
  <c r="AT35" i="10"/>
  <c r="BJ35" i="10" s="1"/>
  <c r="AO35" i="10"/>
  <c r="AY36" i="10"/>
  <c r="BT36" i="10"/>
  <c r="BJ36" i="10"/>
  <c r="AR39" i="10"/>
  <c r="BS39" i="10" s="1"/>
  <c r="AV45" i="10"/>
  <c r="Y9" i="8"/>
  <c r="AG9" i="8" s="1"/>
  <c r="Y14" i="8"/>
  <c r="Y20" i="8"/>
  <c r="AT17" i="10"/>
  <c r="AN18" i="10"/>
  <c r="AN19" i="10"/>
  <c r="AT20" i="10"/>
  <c r="AV24" i="10"/>
  <c r="BU24" i="10" s="1"/>
  <c r="AQ24" i="10"/>
  <c r="AS25" i="10"/>
  <c r="AU26" i="10"/>
  <c r="AV34" i="10"/>
  <c r="AQ37" i="10"/>
  <c r="AP38" i="10"/>
  <c r="AS39" i="10"/>
  <c r="AT59" i="10"/>
  <c r="AR59" i="10"/>
  <c r="Z9" i="8"/>
  <c r="AH9" i="8" s="1"/>
  <c r="Z14" i="8"/>
  <c r="AH14" i="8" s="1"/>
  <c r="Z20" i="8"/>
  <c r="AH20" i="8" s="1"/>
  <c r="AO18" i="10"/>
  <c r="AO19" i="10"/>
  <c r="AU20" i="10"/>
  <c r="AU22" i="10"/>
  <c r="AR24" i="10"/>
  <c r="BS24" i="10" s="1"/>
  <c r="AV26" i="10"/>
  <c r="BU26" i="10" s="1"/>
  <c r="AV35" i="10"/>
  <c r="AS37" i="10"/>
  <c r="AN38" i="10"/>
  <c r="AQ47" i="10"/>
  <c r="BK48" i="10"/>
  <c r="Y10" i="8"/>
  <c r="Y15" i="8"/>
  <c r="AV22" i="10"/>
  <c r="AS24" i="10"/>
  <c r="AU25" i="10"/>
  <c r="BU25" i="10" s="1"/>
  <c r="AO26" i="10"/>
  <c r="AN27" i="10"/>
  <c r="AT37" i="10"/>
  <c r="AR37" i="10"/>
  <c r="AR47" i="10"/>
  <c r="AS67" i="10"/>
  <c r="AR67" i="10"/>
  <c r="AP101" i="10"/>
  <c r="AO101" i="10"/>
  <c r="AR101" i="10"/>
  <c r="AR118" i="10"/>
  <c r="AP118" i="10"/>
  <c r="AN118" i="10"/>
  <c r="AO31" i="10"/>
  <c r="AU35" i="10"/>
  <c r="AU39" i="10"/>
  <c r="AU43" i="10"/>
  <c r="AU47" i="10"/>
  <c r="AV50" i="10"/>
  <c r="BU50" i="10" s="1"/>
  <c r="AR53" i="10"/>
  <c r="AU59" i="10"/>
  <c r="AP81" i="10"/>
  <c r="AO81" i="10"/>
  <c r="AR81" i="10"/>
  <c r="AS97" i="10"/>
  <c r="AO13" i="11"/>
  <c r="AN13" i="11"/>
  <c r="AV13" i="11"/>
  <c r="AU13" i="11"/>
  <c r="AT13" i="11"/>
  <c r="AS13" i="11"/>
  <c r="AR13" i="11"/>
  <c r="AV43" i="10"/>
  <c r="AV47" i="10"/>
  <c r="AV59" i="10"/>
  <c r="BU62" i="10"/>
  <c r="AP97" i="10"/>
  <c r="AO97" i="10"/>
  <c r="AR97" i="10"/>
  <c r="AY112" i="10"/>
  <c r="BT112" i="10"/>
  <c r="BJ112" i="10"/>
  <c r="AQ31" i="10"/>
  <c r="AN32" i="10"/>
  <c r="AN35" i="10"/>
  <c r="BS35" i="10" s="1"/>
  <c r="AN36" i="10"/>
  <c r="AN40" i="10"/>
  <c r="AN49" i="10"/>
  <c r="AT49" i="10"/>
  <c r="BJ49" i="10" s="1"/>
  <c r="AQ50" i="10"/>
  <c r="AN50" i="10"/>
  <c r="AT51" i="10"/>
  <c r="AY51" i="10" s="1"/>
  <c r="AN53" i="10"/>
  <c r="AT53" i="10"/>
  <c r="AY53" i="10" s="1"/>
  <c r="AT55" i="10"/>
  <c r="AN57" i="10"/>
  <c r="AT57" i="10"/>
  <c r="BJ57" i="10" s="1"/>
  <c r="AO58" i="10"/>
  <c r="AN60" i="10"/>
  <c r="AO62" i="10"/>
  <c r="AS79" i="10"/>
  <c r="AR82" i="10"/>
  <c r="AU82" i="10"/>
  <c r="AP82" i="10"/>
  <c r="AO82" i="10"/>
  <c r="AN82" i="10"/>
  <c r="AS93" i="10"/>
  <c r="AQ98" i="10"/>
  <c r="AR122" i="10"/>
  <c r="AP122" i="10"/>
  <c r="AU122" i="10"/>
  <c r="AN122" i="10"/>
  <c r="AR30" i="10"/>
  <c r="BS30" i="10" s="1"/>
  <c r="AU49" i="10"/>
  <c r="AV53" i="10"/>
  <c r="AR56" i="10"/>
  <c r="AV57" i="10"/>
  <c r="AT58" i="10"/>
  <c r="AR61" i="10"/>
  <c r="AP93" i="10"/>
  <c r="AO93" i="10"/>
  <c r="AR93" i="10"/>
  <c r="AR98" i="10"/>
  <c r="BS98" i="10" s="1"/>
  <c r="AU98" i="10"/>
  <c r="AP98" i="10"/>
  <c r="AO98" i="10"/>
  <c r="AN98" i="10"/>
  <c r="AS30" i="10"/>
  <c r="AP35" i="10"/>
  <c r="AP39" i="10"/>
  <c r="AP43" i="10"/>
  <c r="AP44" i="10"/>
  <c r="AP47" i="10"/>
  <c r="AP49" i="10"/>
  <c r="AV49" i="10"/>
  <c r="AS50" i="10"/>
  <c r="AV51" i="10"/>
  <c r="AP53" i="10"/>
  <c r="AV55" i="10"/>
  <c r="BU55" i="10" s="1"/>
  <c r="AP57" i="10"/>
  <c r="AY57" i="10"/>
  <c r="AP60" i="10"/>
  <c r="AT66" i="10"/>
  <c r="AY66" i="10" s="1"/>
  <c r="AP77" i="10"/>
  <c r="AO77" i="10"/>
  <c r="AR77" i="10"/>
  <c r="AS89" i="10"/>
  <c r="AQ94" i="10"/>
  <c r="AT99" i="10"/>
  <c r="AN33" i="10"/>
  <c r="AN37" i="10"/>
  <c r="AN41" i="10"/>
  <c r="AN45" i="10"/>
  <c r="AT48" i="10"/>
  <c r="BT48" i="10" s="1"/>
  <c r="AQ48" i="10"/>
  <c r="BI48" i="10" s="1"/>
  <c r="AN51" i="10"/>
  <c r="AT52" i="10"/>
  <c r="BT52" i="10" s="1"/>
  <c r="AQ52" i="10"/>
  <c r="AN55" i="10"/>
  <c r="AQ59" i="10"/>
  <c r="AV60" i="10"/>
  <c r="AZ60" i="10" s="1"/>
  <c r="AN61" i="10"/>
  <c r="AT61" i="10"/>
  <c r="AV61" i="10"/>
  <c r="AR73" i="10"/>
  <c r="AR75" i="10"/>
  <c r="AP89" i="10"/>
  <c r="AO89" i="10"/>
  <c r="AR89" i="10"/>
  <c r="AR94" i="10"/>
  <c r="AU94" i="10"/>
  <c r="AP94" i="10"/>
  <c r="AO94" i="10"/>
  <c r="AN94" i="10"/>
  <c r="AU99" i="10"/>
  <c r="AS99" i="10"/>
  <c r="AR99" i="10"/>
  <c r="AQ99" i="10"/>
  <c r="AS22" i="10"/>
  <c r="AS26" i="10"/>
  <c r="AP27" i="10"/>
  <c r="AQ29" i="10"/>
  <c r="AR32" i="10"/>
  <c r="AO33" i="10"/>
  <c r="AR36" i="10"/>
  <c r="AO37" i="10"/>
  <c r="AR40" i="10"/>
  <c r="AO41" i="10"/>
  <c r="AR44" i="10"/>
  <c r="AO45" i="10"/>
  <c r="AR48" i="10"/>
  <c r="AO51" i="10"/>
  <c r="AR52" i="10"/>
  <c r="BS52" i="10" s="1"/>
  <c r="AP55" i="10"/>
  <c r="AS59" i="10"/>
  <c r="AO59" i="10"/>
  <c r="AN59" i="10"/>
  <c r="AO61" i="10"/>
  <c r="AV64" i="10"/>
  <c r="AS75" i="10"/>
  <c r="AR78" i="10"/>
  <c r="AU78" i="10"/>
  <c r="AP78" i="10"/>
  <c r="AO78" i="10"/>
  <c r="AN78" i="10"/>
  <c r="AS87" i="10"/>
  <c r="AQ90" i="10"/>
  <c r="AT95" i="10"/>
  <c r="AS32" i="10"/>
  <c r="AP33" i="10"/>
  <c r="AP37" i="10"/>
  <c r="AP41" i="10"/>
  <c r="AP45" i="10"/>
  <c r="AP61" i="10"/>
  <c r="AZ68" i="10"/>
  <c r="AT79" i="10"/>
  <c r="AR90" i="10"/>
  <c r="BS90" i="10" s="1"/>
  <c r="AU90" i="10"/>
  <c r="AP90" i="10"/>
  <c r="AO90" i="10"/>
  <c r="AN90" i="10"/>
  <c r="AU95" i="10"/>
  <c r="AQ95" i="10"/>
  <c r="AQ34" i="10"/>
  <c r="AQ38" i="10"/>
  <c r="AQ42" i="10"/>
  <c r="AQ46" i="10"/>
  <c r="AO50" i="10"/>
  <c r="AQ51" i="10"/>
  <c r="AR51" i="10"/>
  <c r="AU52" i="10"/>
  <c r="BU52" i="10" s="1"/>
  <c r="BJ53" i="10"/>
  <c r="AQ54" i="10"/>
  <c r="AP54" i="10"/>
  <c r="AN54" i="10"/>
  <c r="AQ55" i="10"/>
  <c r="AQ58" i="10"/>
  <c r="AP58" i="10"/>
  <c r="AN58" i="10"/>
  <c r="AQ62" i="10"/>
  <c r="AP62" i="10"/>
  <c r="AN62" i="10"/>
  <c r="BJ63" i="10"/>
  <c r="AY63" i="10"/>
  <c r="BT63" i="10"/>
  <c r="AP85" i="10"/>
  <c r="AO85" i="10"/>
  <c r="AR85" i="10"/>
  <c r="AT91" i="10"/>
  <c r="BT91" i="10" s="1"/>
  <c r="AR114" i="10"/>
  <c r="AP114" i="10"/>
  <c r="AN114" i="10"/>
  <c r="AP29" i="10"/>
  <c r="AU31" i="10"/>
  <c r="AR34" i="10"/>
  <c r="BS34" i="10" s="1"/>
  <c r="AU36" i="10"/>
  <c r="AR38" i="10"/>
  <c r="AU40" i="10"/>
  <c r="BU40" i="10" s="1"/>
  <c r="AR42" i="10"/>
  <c r="AR46" i="10"/>
  <c r="BS46" i="10" s="1"/>
  <c r="AP50" i="10"/>
  <c r="AU53" i="10"/>
  <c r="AR54" i="10"/>
  <c r="AS55" i="10"/>
  <c r="AO55" i="10"/>
  <c r="AU57" i="10"/>
  <c r="AR58" i="10"/>
  <c r="AR60" i="10"/>
  <c r="AR62" i="10"/>
  <c r="AQ67" i="10"/>
  <c r="AU91" i="10"/>
  <c r="AQ91" i="10"/>
  <c r="AV31" i="10"/>
  <c r="AS34" i="10"/>
  <c r="AS38" i="10"/>
  <c r="AS42" i="10"/>
  <c r="AS46" i="10"/>
  <c r="AT50" i="10"/>
  <c r="AS54" i="10"/>
  <c r="AZ55" i="10"/>
  <c r="AS58" i="10"/>
  <c r="AS62" i="10"/>
  <c r="AN63" i="10"/>
  <c r="AV63" i="10"/>
  <c r="AU63" i="10"/>
  <c r="AO66" i="10"/>
  <c r="AT73" i="10"/>
  <c r="AS83" i="10"/>
  <c r="AR86" i="10"/>
  <c r="AU86" i="10"/>
  <c r="AP86" i="10"/>
  <c r="AO86" i="10"/>
  <c r="AN86" i="10"/>
  <c r="AS101" i="10"/>
  <c r="AY108" i="10"/>
  <c r="BT108" i="10"/>
  <c r="BJ108" i="10"/>
  <c r="AO63" i="10"/>
  <c r="AT64" i="10"/>
  <c r="AQ65" i="10"/>
  <c r="AQ66" i="10"/>
  <c r="AN67" i="10"/>
  <c r="AT67" i="10"/>
  <c r="AV73" i="10"/>
  <c r="BU73" i="10" s="1"/>
  <c r="AU76" i="10"/>
  <c r="AU80" i="10"/>
  <c r="AU84" i="10"/>
  <c r="BT102" i="10"/>
  <c r="BJ102" i="10"/>
  <c r="AY102" i="10"/>
  <c r="AQ104" i="10"/>
  <c r="AO104" i="10"/>
  <c r="AN104" i="10"/>
  <c r="AT125" i="10"/>
  <c r="AV125" i="10"/>
  <c r="AU125" i="10"/>
  <c r="AQ131" i="10"/>
  <c r="AP131" i="10"/>
  <c r="AN131" i="10"/>
  <c r="AV131" i="10"/>
  <c r="AR131" i="10"/>
  <c r="AQ60" i="10"/>
  <c r="AU64" i="10"/>
  <c r="AR65" i="10"/>
  <c r="BS65" i="10" s="1"/>
  <c r="AR66" i="10"/>
  <c r="BS66" i="10" s="1"/>
  <c r="AO67" i="10"/>
  <c r="AU67" i="10"/>
  <c r="AQ68" i="10"/>
  <c r="AT69" i="10"/>
  <c r="AN70" i="10"/>
  <c r="AN71" i="10"/>
  <c r="AU71" i="10"/>
  <c r="AO72" i="10"/>
  <c r="AP73" i="10"/>
  <c r="AQ75" i="10"/>
  <c r="AV76" i="10"/>
  <c r="AQ79" i="10"/>
  <c r="AV80" i="10"/>
  <c r="BU80" i="10" s="1"/>
  <c r="AQ83" i="10"/>
  <c r="AV84" i="10"/>
  <c r="AQ87" i="10"/>
  <c r="AV88" i="10"/>
  <c r="BU88" i="10" s="1"/>
  <c r="BU92" i="10"/>
  <c r="BU96" i="10"/>
  <c r="BU100" i="10"/>
  <c r="AR104" i="10"/>
  <c r="AU114" i="10"/>
  <c r="AU118" i="10"/>
  <c r="AO131" i="10"/>
  <c r="AV10" i="11"/>
  <c r="AU10" i="11"/>
  <c r="AT10" i="11"/>
  <c r="AP10" i="11"/>
  <c r="AN10" i="11"/>
  <c r="AQ10" i="11"/>
  <c r="AO10" i="11"/>
  <c r="AS65" i="10"/>
  <c r="AP67" i="10"/>
  <c r="AV67" i="10"/>
  <c r="AR68" i="10"/>
  <c r="AU69" i="10"/>
  <c r="AO70" i="10"/>
  <c r="AO71" i="10"/>
  <c r="AV71" i="10"/>
  <c r="AT72" i="10"/>
  <c r="AO74" i="10"/>
  <c r="AR79" i="10"/>
  <c r="AR83" i="10"/>
  <c r="BS83" i="10" s="1"/>
  <c r="AR87" i="10"/>
  <c r="AR91" i="10"/>
  <c r="AR95" i="10"/>
  <c r="BS95" i="10" s="1"/>
  <c r="AS104" i="10"/>
  <c r="AQ64" i="10"/>
  <c r="AS68" i="10"/>
  <c r="AP70" i="10"/>
  <c r="AP71" i="10"/>
  <c r="AU72" i="10"/>
  <c r="BU72" i="10" s="1"/>
  <c r="AT60" i="10"/>
  <c r="AR64" i="10"/>
  <c r="AU66" i="10"/>
  <c r="BU66" i="10" s="1"/>
  <c r="AO69" i="10"/>
  <c r="AR70" i="10"/>
  <c r="AS73" i="10"/>
  <c r="AN75" i="10"/>
  <c r="AV75" i="10"/>
  <c r="BU75" i="10" s="1"/>
  <c r="AQ76" i="10"/>
  <c r="AP76" i="10"/>
  <c r="AN76" i="10"/>
  <c r="BS76" i="10" s="1"/>
  <c r="AT77" i="10"/>
  <c r="BJ77" i="10" s="1"/>
  <c r="AN79" i="10"/>
  <c r="AV79" i="10"/>
  <c r="BU79" i="10" s="1"/>
  <c r="AQ80" i="10"/>
  <c r="AP80" i="10"/>
  <c r="AN80" i="10"/>
  <c r="AT81" i="10"/>
  <c r="BJ81" i="10" s="1"/>
  <c r="AN83" i="10"/>
  <c r="AV83" i="10"/>
  <c r="BU83" i="10" s="1"/>
  <c r="AQ84" i="10"/>
  <c r="AP84" i="10"/>
  <c r="AN84" i="10"/>
  <c r="AT85" i="10"/>
  <c r="BJ85" i="10" s="1"/>
  <c r="AN87" i="10"/>
  <c r="AV87" i="10"/>
  <c r="AQ88" i="10"/>
  <c r="AP88" i="10"/>
  <c r="AN88" i="10"/>
  <c r="BS88" i="10" s="1"/>
  <c r="AT89" i="10"/>
  <c r="AN91" i="10"/>
  <c r="AV91" i="10"/>
  <c r="AQ92" i="10"/>
  <c r="AP92" i="10"/>
  <c r="AN92" i="10"/>
  <c r="BK92" i="10"/>
  <c r="AT93" i="10"/>
  <c r="AN95" i="10"/>
  <c r="AV95" i="10"/>
  <c r="BU95" i="10" s="1"/>
  <c r="AQ96" i="10"/>
  <c r="AP96" i="10"/>
  <c r="AN96" i="10"/>
  <c r="BS96" i="10" s="1"/>
  <c r="BK96" i="10"/>
  <c r="AT97" i="10"/>
  <c r="AN99" i="10"/>
  <c r="AV99" i="10"/>
  <c r="AQ100" i="10"/>
  <c r="AP100" i="10"/>
  <c r="AN100" i="10"/>
  <c r="BS100" i="10" s="1"/>
  <c r="BK100" i="10"/>
  <c r="AT101" i="10"/>
  <c r="BS116" i="10"/>
  <c r="AO128" i="10"/>
  <c r="AN128" i="10"/>
  <c r="AV128" i="10"/>
  <c r="AU128" i="10"/>
  <c r="AT128" i="10"/>
  <c r="AS128" i="10"/>
  <c r="AR128" i="10"/>
  <c r="AS70" i="10"/>
  <c r="AO73" i="10"/>
  <c r="AZ74" i="10"/>
  <c r="AO75" i="10"/>
  <c r="AU77" i="10"/>
  <c r="AO79" i="10"/>
  <c r="AU81" i="10"/>
  <c r="AO83" i="10"/>
  <c r="AU85" i="10"/>
  <c r="AO87" i="10"/>
  <c r="AU89" i="10"/>
  <c r="AO91" i="10"/>
  <c r="AU93" i="10"/>
  <c r="AO95" i="10"/>
  <c r="AU97" i="10"/>
  <c r="AO99" i="10"/>
  <c r="AU101" i="10"/>
  <c r="AP102" i="10"/>
  <c r="AO102" i="10"/>
  <c r="AN102" i="10"/>
  <c r="AV102" i="10"/>
  <c r="BU102" i="10" s="1"/>
  <c r="AT65" i="10"/>
  <c r="AQ69" i="10"/>
  <c r="AT70" i="10"/>
  <c r="AP75" i="10"/>
  <c r="AS76" i="10"/>
  <c r="AV77" i="10"/>
  <c r="BU77" i="10" s="1"/>
  <c r="AP79" i="10"/>
  <c r="AS80" i="10"/>
  <c r="AV81" i="10"/>
  <c r="AP83" i="10"/>
  <c r="AS84" i="10"/>
  <c r="AV85" i="10"/>
  <c r="AP87" i="10"/>
  <c r="AS88" i="10"/>
  <c r="AV89" i="10"/>
  <c r="AP91" i="10"/>
  <c r="AS92" i="10"/>
  <c r="AV93" i="10"/>
  <c r="BU93" i="10" s="1"/>
  <c r="AP95" i="10"/>
  <c r="AS96" i="10"/>
  <c r="AV97" i="10"/>
  <c r="AP99" i="10"/>
  <c r="AS100" i="10"/>
  <c r="AV101" i="10"/>
  <c r="AN103" i="10"/>
  <c r="AQ103" i="10"/>
  <c r="AV104" i="10"/>
  <c r="AT105" i="10"/>
  <c r="AN107" i="10"/>
  <c r="AV107" i="10"/>
  <c r="AR107" i="10"/>
  <c r="BS107" i="10" s="1"/>
  <c r="AQ107" i="10"/>
  <c r="AQ109" i="10"/>
  <c r="AN111" i="10"/>
  <c r="AV111" i="10"/>
  <c r="AR111" i="10"/>
  <c r="AQ111" i="10"/>
  <c r="AO111" i="10"/>
  <c r="AQ113" i="10"/>
  <c r="AQ115" i="10"/>
  <c r="AQ117" i="10"/>
  <c r="AQ119" i="10"/>
  <c r="AQ121" i="10"/>
  <c r="AU65" i="10"/>
  <c r="AN68" i="10"/>
  <c r="AN69" i="10"/>
  <c r="AR69" i="10"/>
  <c r="AQ70" i="10"/>
  <c r="AU70" i="10"/>
  <c r="AT71" i="10"/>
  <c r="AY71" i="10" s="1"/>
  <c r="AQ72" i="10"/>
  <c r="AP72" i="10"/>
  <c r="AN72" i="10"/>
  <c r="AQ74" i="10"/>
  <c r="AV86" i="10"/>
  <c r="BU86" i="10" s="1"/>
  <c r="AV90" i="10"/>
  <c r="BU90" i="10" s="1"/>
  <c r="AV94" i="10"/>
  <c r="AV98" i="10"/>
  <c r="BU98" i="10" s="1"/>
  <c r="AZ105" i="10"/>
  <c r="AN108" i="10"/>
  <c r="AU108" i="10"/>
  <c r="BU108" i="10" s="1"/>
  <c r="AR108" i="10"/>
  <c r="AO108" i="10"/>
  <c r="AO109" i="10"/>
  <c r="AU109" i="10"/>
  <c r="BU109" i="10" s="1"/>
  <c r="AN112" i="10"/>
  <c r="AU112" i="10"/>
  <c r="AR112" i="10"/>
  <c r="AO112" i="10"/>
  <c r="AO113" i="10"/>
  <c r="AU113" i="10"/>
  <c r="AO117" i="10"/>
  <c r="AU117" i="10"/>
  <c r="AO121" i="10"/>
  <c r="AU121" i="10"/>
  <c r="BU121" i="10" s="1"/>
  <c r="AO124" i="10"/>
  <c r="AN124" i="10"/>
  <c r="AV124" i="10"/>
  <c r="AU124" i="10"/>
  <c r="AT124" i="10"/>
  <c r="AS124" i="10"/>
  <c r="AR124" i="10"/>
  <c r="AV137" i="10"/>
  <c r="AS137" i="10"/>
  <c r="AV65" i="10"/>
  <c r="AO68" i="10"/>
  <c r="AS69" i="10"/>
  <c r="AR72" i="10"/>
  <c r="BS72" i="10" s="1"/>
  <c r="AR74" i="10"/>
  <c r="BS74" i="10" s="1"/>
  <c r="AV78" i="10"/>
  <c r="BU78" i="10" s="1"/>
  <c r="AV82" i="10"/>
  <c r="BU82" i="10" s="1"/>
  <c r="AT86" i="10"/>
  <c r="AT90" i="10"/>
  <c r="AT94" i="10"/>
  <c r="AT98" i="10"/>
  <c r="AP103" i="10"/>
  <c r="AV105" i="10"/>
  <c r="AP107" i="10"/>
  <c r="AP108" i="10"/>
  <c r="AP111" i="10"/>
  <c r="AP112" i="10"/>
  <c r="AS114" i="10"/>
  <c r="AS118" i="10"/>
  <c r="AS122" i="10"/>
  <c r="AP124" i="10"/>
  <c r="AN64" i="10"/>
  <c r="AP68" i="10"/>
  <c r="AS72" i="10"/>
  <c r="AS78" i="10"/>
  <c r="AS82" i="10"/>
  <c r="AS86" i="10"/>
  <c r="AS90" i="10"/>
  <c r="AS94" i="10"/>
  <c r="AT114" i="10"/>
  <c r="AT118" i="10"/>
  <c r="AT122" i="10"/>
  <c r="AT129" i="10"/>
  <c r="AV129" i="10"/>
  <c r="BU129" i="10" s="1"/>
  <c r="AN73" i="10"/>
  <c r="AN77" i="10"/>
  <c r="AN81" i="10"/>
  <c r="AN85" i="10"/>
  <c r="AN89" i="10"/>
  <c r="AN93" i="10"/>
  <c r="AN97" i="10"/>
  <c r="AN101" i="10"/>
  <c r="AQ102" i="10"/>
  <c r="AS106" i="10"/>
  <c r="AQ108" i="10"/>
  <c r="AQ110" i="10"/>
  <c r="AQ112" i="10"/>
  <c r="AS116" i="10"/>
  <c r="AS120" i="10"/>
  <c r="AQ124" i="10"/>
  <c r="AT126" i="10"/>
  <c r="AY126" i="10" s="1"/>
  <c r="AQ128" i="10"/>
  <c r="AT132" i="10"/>
  <c r="BK134" i="10"/>
  <c r="AZ134" i="10"/>
  <c r="AT135" i="10"/>
  <c r="AP135" i="10"/>
  <c r="AN135" i="10"/>
  <c r="AT138" i="10"/>
  <c r="BT138" i="10" s="1"/>
  <c r="AR22" i="11"/>
  <c r="AQ22" i="11"/>
  <c r="AP22" i="11"/>
  <c r="AR102" i="10"/>
  <c r="BS102" i="10" s="1"/>
  <c r="AQ105" i="10"/>
  <c r="AT106" i="10"/>
  <c r="AR110" i="10"/>
  <c r="AO115" i="10"/>
  <c r="AT116" i="10"/>
  <c r="AO119" i="10"/>
  <c r="AT120" i="10"/>
  <c r="AR126" i="10"/>
  <c r="AN18" i="11"/>
  <c r="AU18" i="11"/>
  <c r="AT18" i="11"/>
  <c r="AS18" i="11"/>
  <c r="AR18" i="11"/>
  <c r="AQ18" i="11"/>
  <c r="AS98" i="10"/>
  <c r="AS109" i="10"/>
  <c r="AS113" i="10"/>
  <c r="AP115" i="10"/>
  <c r="AN116" i="10"/>
  <c r="AV116" i="10"/>
  <c r="BU116" i="10" s="1"/>
  <c r="AU116" i="10"/>
  <c r="AP119" i="10"/>
  <c r="AN120" i="10"/>
  <c r="AV120" i="10"/>
  <c r="AU120" i="10"/>
  <c r="BU130" i="10"/>
  <c r="AV135" i="10"/>
  <c r="BU135" i="10" s="1"/>
  <c r="AO18" i="11"/>
  <c r="AQ73" i="10"/>
  <c r="AT74" i="10"/>
  <c r="AY74" i="10" s="1"/>
  <c r="AQ77" i="10"/>
  <c r="AT78" i="10"/>
  <c r="AQ81" i="10"/>
  <c r="AT82" i="10"/>
  <c r="AQ85" i="10"/>
  <c r="AQ89" i="10"/>
  <c r="AQ93" i="10"/>
  <c r="AQ97" i="10"/>
  <c r="AQ101" i="10"/>
  <c r="AT103" i="10"/>
  <c r="AN105" i="10"/>
  <c r="AQ106" i="10"/>
  <c r="AX106" i="10" s="1"/>
  <c r="AT107" i="10"/>
  <c r="BT107" i="10" s="1"/>
  <c r="AT109" i="10"/>
  <c r="AT111" i="10"/>
  <c r="AT113" i="10"/>
  <c r="AV114" i="10"/>
  <c r="BU114" i="10" s="1"/>
  <c r="AP116" i="10"/>
  <c r="AS117" i="10"/>
  <c r="AV118" i="10"/>
  <c r="AP120" i="10"/>
  <c r="AS121" i="10"/>
  <c r="AV122" i="10"/>
  <c r="BU122" i="10" s="1"/>
  <c r="AN123" i="10"/>
  <c r="AV123" i="10"/>
  <c r="BU123" i="10" s="1"/>
  <c r="AS123" i="10"/>
  <c r="AR123" i="10"/>
  <c r="AQ125" i="10"/>
  <c r="AN127" i="10"/>
  <c r="AV127" i="10"/>
  <c r="BU127" i="10" s="1"/>
  <c r="AS127" i="10"/>
  <c r="AR127" i="10"/>
  <c r="AQ129" i="10"/>
  <c r="AY130" i="10"/>
  <c r="BJ130" i="10"/>
  <c r="AQ132" i="10"/>
  <c r="AR133" i="10"/>
  <c r="AU103" i="10"/>
  <c r="AO105" i="10"/>
  <c r="BS106" i="10"/>
  <c r="AU107" i="10"/>
  <c r="AU111" i="10"/>
  <c r="AN115" i="10"/>
  <c r="AV115" i="10"/>
  <c r="AS115" i="10"/>
  <c r="AR115" i="10"/>
  <c r="AT117" i="10"/>
  <c r="AN119" i="10"/>
  <c r="AV119" i="10"/>
  <c r="AS119" i="10"/>
  <c r="AR119" i="10"/>
  <c r="AT121" i="10"/>
  <c r="AO125" i="10"/>
  <c r="AR129" i="10"/>
  <c r="BS129" i="10" s="1"/>
  <c r="AV8" i="11"/>
  <c r="AQ8" i="11"/>
  <c r="AP8" i="11"/>
  <c r="AV15" i="11"/>
  <c r="AN15" i="11"/>
  <c r="AV110" i="10"/>
  <c r="AV126" i="10"/>
  <c r="BU126" i="10" s="1"/>
  <c r="BK130" i="10"/>
  <c r="AZ130" i="10"/>
  <c r="AV133" i="10"/>
  <c r="BU133" i="10" s="1"/>
  <c r="AP134" i="10"/>
  <c r="AN134" i="10"/>
  <c r="AO134" i="10"/>
  <c r="AN8" i="11"/>
  <c r="AP31" i="11"/>
  <c r="AN110" i="10"/>
  <c r="AN126" i="10"/>
  <c r="AQ133" i="10"/>
  <c r="AQ137" i="10"/>
  <c r="AN9" i="11"/>
  <c r="AP32" i="11"/>
  <c r="AO32" i="11"/>
  <c r="AN32" i="11"/>
  <c r="AU32" i="11"/>
  <c r="AT32" i="11"/>
  <c r="AV32" i="11"/>
  <c r="AP110" i="10"/>
  <c r="AR125" i="10"/>
  <c r="BS125" i="10" s="1"/>
  <c r="BT130" i="10"/>
  <c r="AP9" i="11"/>
  <c r="AP104" i="10"/>
  <c r="AU104" i="10"/>
  <c r="AS105" i="10"/>
  <c r="AV106" i="10"/>
  <c r="BU106" i="10" s="1"/>
  <c r="AS125" i="10"/>
  <c r="AZ126" i="10"/>
  <c r="AS129" i="10"/>
  <c r="AP130" i="10"/>
  <c r="AO130" i="10"/>
  <c r="AN130" i="10"/>
  <c r="AS133" i="10"/>
  <c r="AS134" i="10"/>
  <c r="AV138" i="10"/>
  <c r="AO110" i="10"/>
  <c r="AO114" i="10"/>
  <c r="AO118" i="10"/>
  <c r="AO122" i="10"/>
  <c r="AO126" i="10"/>
  <c r="AU129" i="10"/>
  <c r="AQ130" i="10"/>
  <c r="AP133" i="10"/>
  <c r="AQ134" i="10"/>
  <c r="AU137" i="10"/>
  <c r="AU12" i="11"/>
  <c r="AQ13" i="11"/>
  <c r="AQ14" i="11"/>
  <c r="AQ17" i="11"/>
  <c r="AP17" i="11"/>
  <c r="AO17" i="11"/>
  <c r="AN17" i="11"/>
  <c r="AP18" i="11"/>
  <c r="AP126" i="10"/>
  <c r="AR130" i="10"/>
  <c r="AR134" i="10"/>
  <c r="AQ139" i="10"/>
  <c r="AU9" i="11"/>
  <c r="BU9" i="11" s="1"/>
  <c r="AT9" i="11"/>
  <c r="AS9" i="11"/>
  <c r="AO9" i="11"/>
  <c r="AR14" i="11"/>
  <c r="AU16" i="11"/>
  <c r="AU24" i="11"/>
  <c r="AO24" i="11"/>
  <c r="AN24" i="11"/>
  <c r="AR31" i="11"/>
  <c r="AN109" i="10"/>
  <c r="AN113" i="10"/>
  <c r="BS113" i="10" s="1"/>
  <c r="AQ114" i="10"/>
  <c r="AN117" i="10"/>
  <c r="AQ118" i="10"/>
  <c r="AN121" i="10"/>
  <c r="AQ122" i="10"/>
  <c r="AN125" i="10"/>
  <c r="AQ126" i="10"/>
  <c r="AN129" i="10"/>
  <c r="AS131" i="10"/>
  <c r="AV132" i="10"/>
  <c r="AN136" i="10"/>
  <c r="AP137" i="10"/>
  <c r="AR139" i="10"/>
  <c r="BS139" i="10" s="1"/>
  <c r="AU8" i="11"/>
  <c r="AT8" i="11"/>
  <c r="AS8" i="11"/>
  <c r="AO8" i="11"/>
  <c r="AP12" i="11"/>
  <c r="AU23" i="11"/>
  <c r="AU25" i="11"/>
  <c r="AU26" i="11"/>
  <c r="BU26" i="11" s="1"/>
  <c r="AQ32" i="11"/>
  <c r="AR33" i="11"/>
  <c r="AP33" i="11"/>
  <c r="AN33" i="11"/>
  <c r="AO129" i="10"/>
  <c r="AT131" i="10"/>
  <c r="AN132" i="10"/>
  <c r="BS132" i="10" s="1"/>
  <c r="AN133" i="10"/>
  <c r="AQ135" i="10"/>
  <c r="AQ12" i="11"/>
  <c r="AU15" i="11"/>
  <c r="AP16" i="11"/>
  <c r="AT17" i="11"/>
  <c r="AN20" i="11"/>
  <c r="AP20" i="11"/>
  <c r="AO20" i="11"/>
  <c r="AV20" i="11"/>
  <c r="AU20" i="11"/>
  <c r="AP109" i="10"/>
  <c r="AS110" i="10"/>
  <c r="AP113" i="10"/>
  <c r="AP117" i="10"/>
  <c r="AP121" i="10"/>
  <c r="AP125" i="10"/>
  <c r="AP129" i="10"/>
  <c r="AU131" i="10"/>
  <c r="AO132" i="10"/>
  <c r="AO133" i="10"/>
  <c r="AT133" i="10"/>
  <c r="AR135" i="10"/>
  <c r="BS135" i="10" s="1"/>
  <c r="AS10" i="11"/>
  <c r="AT11" i="11"/>
  <c r="AS21" i="11"/>
  <c r="AO21" i="11"/>
  <c r="AN21" i="11"/>
  <c r="AU21" i="11"/>
  <c r="AN28" i="11"/>
  <c r="AU28" i="11"/>
  <c r="AS28" i="11"/>
  <c r="AR28" i="11"/>
  <c r="AP28" i="11"/>
  <c r="AZ35" i="11"/>
  <c r="BK35" i="11"/>
  <c r="AP132" i="10"/>
  <c r="AU136" i="10"/>
  <c r="BU136" i="10" s="1"/>
  <c r="AT136" i="10"/>
  <c r="AO136" i="10"/>
  <c r="AS136" i="10"/>
  <c r="AN137" i="10"/>
  <c r="AR137" i="10"/>
  <c r="AT137" i="10"/>
  <c r="AR9" i="11"/>
  <c r="AN12" i="11"/>
  <c r="AV12" i="11"/>
  <c r="AS12" i="11"/>
  <c r="AR12" i="11"/>
  <c r="AS14" i="11"/>
  <c r="AP14" i="11"/>
  <c r="AN14" i="11"/>
  <c r="AP23" i="11"/>
  <c r="AO23" i="11"/>
  <c r="AN23" i="11"/>
  <c r="AP26" i="11"/>
  <c r="AO26" i="11"/>
  <c r="AN26" i="11"/>
  <c r="AT26" i="11"/>
  <c r="AO28" i="11"/>
  <c r="AV34" i="11"/>
  <c r="AR34" i="11"/>
  <c r="AQ34" i="11"/>
  <c r="AP34" i="11"/>
  <c r="BU35" i="11"/>
  <c r="AO137" i="10"/>
  <c r="AP138" i="10"/>
  <c r="AO138" i="10"/>
  <c r="AN138" i="10"/>
  <c r="AU138" i="10"/>
  <c r="AS139" i="10"/>
  <c r="AP139" i="10"/>
  <c r="AR8" i="11"/>
  <c r="AN16" i="11"/>
  <c r="AV16" i="11"/>
  <c r="AT16" i="11"/>
  <c r="AS16" i="11"/>
  <c r="AR16" i="11"/>
  <c r="AR30" i="11"/>
  <c r="AP30" i="11"/>
  <c r="AN30" i="11"/>
  <c r="AS132" i="10"/>
  <c r="AQ138" i="10"/>
  <c r="AT139" i="10"/>
  <c r="AO11" i="11"/>
  <c r="AU14" i="11"/>
  <c r="AR15" i="11"/>
  <c r="AO16" i="11"/>
  <c r="AV17" i="11"/>
  <c r="BU17" i="11" s="1"/>
  <c r="AP25" i="11"/>
  <c r="AQ28" i="11"/>
  <c r="AP35" i="11"/>
  <c r="AO35" i="11"/>
  <c r="AN35" i="11"/>
  <c r="AT35" i="11"/>
  <c r="AS135" i="10"/>
  <c r="AR138" i="10"/>
  <c r="BS138" i="10" s="1"/>
  <c r="AU139" i="10"/>
  <c r="BU139" i="10" s="1"/>
  <c r="AQ23" i="11"/>
  <c r="AQ25" i="11"/>
  <c r="AQ26" i="11"/>
  <c r="AQ11" i="11"/>
  <c r="AO15" i="11"/>
  <c r="AR17" i="11"/>
  <c r="AN19" i="11"/>
  <c r="AS19" i="11"/>
  <c r="AV24" i="11"/>
  <c r="AQ31" i="11"/>
  <c r="AR36" i="11"/>
  <c r="AP36" i="11"/>
  <c r="AP55" i="11"/>
  <c r="AN79" i="11"/>
  <c r="AS79" i="11"/>
  <c r="AP79" i="11"/>
  <c r="AT79" i="11"/>
  <c r="AR79" i="11"/>
  <c r="AU79" i="11"/>
  <c r="AR11" i="11"/>
  <c r="AP15" i="11"/>
  <c r="AS17" i="11"/>
  <c r="AO19" i="11"/>
  <c r="AT19" i="11"/>
  <c r="AR29" i="11"/>
  <c r="AO44" i="11"/>
  <c r="AN44" i="11"/>
  <c r="AV44" i="11"/>
  <c r="BU44" i="11" s="1"/>
  <c r="AQ48" i="11"/>
  <c r="AQ55" i="11"/>
  <c r="AT55" i="11"/>
  <c r="AR57" i="11"/>
  <c r="AQ57" i="11"/>
  <c r="AO57" i="11"/>
  <c r="AQ15" i="11"/>
  <c r="AU19" i="11"/>
  <c r="AR21" i="11"/>
  <c r="AV22" i="11"/>
  <c r="AV30" i="11"/>
  <c r="BU30" i="11" s="1"/>
  <c r="AN31" i="11"/>
  <c r="AU31" i="11"/>
  <c r="AT31" i="11"/>
  <c r="AS31" i="11"/>
  <c r="AR32" i="11"/>
  <c r="AV39" i="11"/>
  <c r="BU39" i="11" s="1"/>
  <c r="BK42" i="11"/>
  <c r="AZ42" i="11"/>
  <c r="AP48" i="11"/>
  <c r="AO48" i="11"/>
  <c r="AN48" i="11"/>
  <c r="BS48" i="11" s="1"/>
  <c r="BK50" i="11"/>
  <c r="AO135" i="10"/>
  <c r="AO139" i="10"/>
  <c r="BI139" i="10" s="1"/>
  <c r="AO14" i="11"/>
  <c r="AR20" i="11"/>
  <c r="AR23" i="11"/>
  <c r="AR26" i="11"/>
  <c r="AO31" i="11"/>
  <c r="AS32" i="11"/>
  <c r="AV33" i="11"/>
  <c r="BU33" i="11" s="1"/>
  <c r="AN34" i="11"/>
  <c r="AU34" i="11"/>
  <c r="AT34" i="11"/>
  <c r="AS34" i="11"/>
  <c r="AR35" i="11"/>
  <c r="AN39" i="11"/>
  <c r="AS15" i="11"/>
  <c r="AS20" i="11"/>
  <c r="AS23" i="11"/>
  <c r="AT24" i="11"/>
  <c r="AS24" i="11"/>
  <c r="AQ24" i="11"/>
  <c r="AS26" i="11"/>
  <c r="AO34" i="11"/>
  <c r="AS35" i="11"/>
  <c r="AV36" i="11"/>
  <c r="BU36" i="11" s="1"/>
  <c r="AN37" i="11"/>
  <c r="BS37" i="11" s="1"/>
  <c r="AU37" i="11"/>
  <c r="BU37" i="11" s="1"/>
  <c r="AT37" i="11"/>
  <c r="AS37" i="11"/>
  <c r="AR44" i="11"/>
  <c r="AV51" i="11"/>
  <c r="AR51" i="11"/>
  <c r="AP51" i="11"/>
  <c r="AT53" i="11"/>
  <c r="AV11" i="11"/>
  <c r="BU11" i="11" s="1"/>
  <c r="AT15" i="11"/>
  <c r="AV25" i="11"/>
  <c r="AN36" i="11"/>
  <c r="AO37" i="11"/>
  <c r="AR41" i="11"/>
  <c r="BS41" i="11" s="1"/>
  <c r="AO42" i="11"/>
  <c r="AN42" i="11"/>
  <c r="BS42" i="11" s="1"/>
  <c r="AN51" i="11"/>
  <c r="AU53" i="11"/>
  <c r="AP53" i="11"/>
  <c r="AN53" i="11"/>
  <c r="AV18" i="11"/>
  <c r="BU18" i="11" s="1"/>
  <c r="AV21" i="11"/>
  <c r="BU21" i="11" s="1"/>
  <c r="AN22" i="11"/>
  <c r="AS22" i="11"/>
  <c r="AV28" i="11"/>
  <c r="AT30" i="11"/>
  <c r="AQ39" i="11"/>
  <c r="AS41" i="11"/>
  <c r="AO51" i="11"/>
  <c r="AV53" i="11"/>
  <c r="AO22" i="11"/>
  <c r="AT22" i="11"/>
  <c r="AV27" i="11"/>
  <c r="BU27" i="11" s="1"/>
  <c r="AT29" i="11"/>
  <c r="BJ29" i="11" s="1"/>
  <c r="AT33" i="11"/>
  <c r="AV40" i="11"/>
  <c r="BU40" i="11" s="1"/>
  <c r="AT41" i="11"/>
  <c r="AV63" i="11"/>
  <c r="AQ63" i="11"/>
  <c r="AN67" i="11"/>
  <c r="AT67" i="11"/>
  <c r="AV67" i="11"/>
  <c r="AU67" i="11"/>
  <c r="AV19" i="11"/>
  <c r="AU22" i="11"/>
  <c r="AR24" i="11"/>
  <c r="BS24" i="11" s="1"/>
  <c r="AN27" i="11"/>
  <c r="AT36" i="11"/>
  <c r="AU41" i="11"/>
  <c r="AN43" i="11"/>
  <c r="BS43" i="11" s="1"/>
  <c r="AV43" i="11"/>
  <c r="AU43" i="11"/>
  <c r="AT43" i="11"/>
  <c r="BT43" i="11" s="1"/>
  <c r="AP63" i="11"/>
  <c r="AO67" i="11"/>
  <c r="AN25" i="11"/>
  <c r="BS25" i="11" s="1"/>
  <c r="AS25" i="11"/>
  <c r="AT25" i="11"/>
  <c r="AP27" i="11"/>
  <c r="AP29" i="11"/>
  <c r="AO29" i="11"/>
  <c r="AN29" i="11"/>
  <c r="AV29" i="11"/>
  <c r="BU29" i="11" s="1"/>
  <c r="AS44" i="11"/>
  <c r="AY46" i="11"/>
  <c r="BT46" i="11"/>
  <c r="BJ46" i="11"/>
  <c r="BJ47" i="11"/>
  <c r="AY47" i="11"/>
  <c r="AN62" i="11"/>
  <c r="AN66" i="11"/>
  <c r="AS66" i="11"/>
  <c r="AP66" i="11"/>
  <c r="AT66" i="11"/>
  <c r="AR66" i="11"/>
  <c r="AQ66" i="11"/>
  <c r="AO27" i="11"/>
  <c r="AO30" i="11"/>
  <c r="AO33" i="11"/>
  <c r="AO36" i="11"/>
  <c r="AS38" i="11"/>
  <c r="AO39" i="11"/>
  <c r="AP44" i="11"/>
  <c r="AS45" i="11"/>
  <c r="AO52" i="11"/>
  <c r="AR55" i="11"/>
  <c r="AR72" i="11"/>
  <c r="AS72" i="11"/>
  <c r="AO38" i="11"/>
  <c r="AP39" i="11"/>
  <c r="AN40" i="11"/>
  <c r="BS40" i="11" s="1"/>
  <c r="AS42" i="11"/>
  <c r="AQ44" i="11"/>
  <c r="AO46" i="11"/>
  <c r="AO47" i="11"/>
  <c r="AU47" i="11"/>
  <c r="AQ51" i="11"/>
  <c r="AR52" i="11"/>
  <c r="AS55" i="11"/>
  <c r="AS58" i="11"/>
  <c r="AQ58" i="11"/>
  <c r="AQ60" i="11"/>
  <c r="AQ67" i="11"/>
  <c r="AQ27" i="11"/>
  <c r="AQ30" i="11"/>
  <c r="AQ33" i="11"/>
  <c r="AQ36" i="11"/>
  <c r="AP38" i="11"/>
  <c r="AU38" i="11"/>
  <c r="AO40" i="11"/>
  <c r="AT42" i="11"/>
  <c r="AU45" i="11"/>
  <c r="AP46" i="11"/>
  <c r="AP47" i="11"/>
  <c r="AV47" i="11"/>
  <c r="AS48" i="11"/>
  <c r="AO49" i="11"/>
  <c r="AR50" i="11"/>
  <c r="AS52" i="11"/>
  <c r="AS54" i="11"/>
  <c r="AV57" i="11"/>
  <c r="AT61" i="11"/>
  <c r="AR63" i="11"/>
  <c r="AU46" i="11"/>
  <c r="AQ46" i="11"/>
  <c r="AQ47" i="11"/>
  <c r="AT48" i="11"/>
  <c r="AN52" i="11"/>
  <c r="AP54" i="11"/>
  <c r="AU55" i="11"/>
  <c r="AU58" i="11"/>
  <c r="AT59" i="11"/>
  <c r="AY59" i="11" s="1"/>
  <c r="AR61" i="11"/>
  <c r="BU65" i="11"/>
  <c r="AS27" i="11"/>
  <c r="AS30" i="11"/>
  <c r="AS33" i="11"/>
  <c r="AS36" i="11"/>
  <c r="AQ40" i="11"/>
  <c r="AN45" i="11"/>
  <c r="BS45" i="11" s="1"/>
  <c r="AR46" i="11"/>
  <c r="BS46" i="11" s="1"/>
  <c r="AU48" i="11"/>
  <c r="AU49" i="11"/>
  <c r="AR49" i="11"/>
  <c r="BS49" i="11" s="1"/>
  <c r="AT50" i="11"/>
  <c r="BJ50" i="11" s="1"/>
  <c r="AQ56" i="11"/>
  <c r="AU59" i="11"/>
  <c r="AN59" i="11"/>
  <c r="AO45" i="11"/>
  <c r="AP52" i="11"/>
  <c r="AU60" i="11"/>
  <c r="AR62" i="11"/>
  <c r="AP62" i="11"/>
  <c r="BK74" i="11"/>
  <c r="AZ74" i="11"/>
  <c r="BU74" i="11"/>
  <c r="AP49" i="11"/>
  <c r="AT49" i="11"/>
  <c r="BT49" i="11" s="1"/>
  <c r="AS51" i="11"/>
  <c r="AQ53" i="11"/>
  <c r="BJ56" i="11"/>
  <c r="BT56" i="11"/>
  <c r="BU60" i="11"/>
  <c r="BK65" i="11"/>
  <c r="AZ65" i="11"/>
  <c r="AS39" i="11"/>
  <c r="AT40" i="11"/>
  <c r="BJ40" i="11" s="1"/>
  <c r="AO41" i="11"/>
  <c r="AP42" i="11"/>
  <c r="AQ45" i="11"/>
  <c r="AV46" i="11"/>
  <c r="AV49" i="11"/>
  <c r="AN50" i="11"/>
  <c r="AT51" i="11"/>
  <c r="AR53" i="11"/>
  <c r="AT39" i="11"/>
  <c r="AP41" i="11"/>
  <c r="AU51" i="11"/>
  <c r="AS53" i="11"/>
  <c r="AN55" i="11"/>
  <c r="AV55" i="11"/>
  <c r="AP57" i="11"/>
  <c r="AT58" i="11"/>
  <c r="AQ61" i="11"/>
  <c r="AU62" i="11"/>
  <c r="AU52" i="11"/>
  <c r="AO53" i="11"/>
  <c r="AV59" i="11"/>
  <c r="AP60" i="11"/>
  <c r="AN64" i="11"/>
  <c r="AV64" i="11"/>
  <c r="AO66" i="11"/>
  <c r="AP67" i="11"/>
  <c r="AQ77" i="11"/>
  <c r="AP77" i="11"/>
  <c r="AV77" i="11"/>
  <c r="AT77" i="11"/>
  <c r="AO77" i="11"/>
  <c r="AV56" i="11"/>
  <c r="BK56" i="11" s="1"/>
  <c r="AN63" i="11"/>
  <c r="AS63" i="11"/>
  <c r="AT63" i="11"/>
  <c r="AQ68" i="11"/>
  <c r="AU69" i="11"/>
  <c r="AQ79" i="11"/>
  <c r="AN56" i="11"/>
  <c r="AN57" i="11"/>
  <c r="AU57" i="11"/>
  <c r="AS57" i="11"/>
  <c r="AN61" i="11"/>
  <c r="AV61" i="11"/>
  <c r="AZ61" i="11" s="1"/>
  <c r="AO62" i="11"/>
  <c r="AO63" i="11"/>
  <c r="AP64" i="11"/>
  <c r="AR67" i="11"/>
  <c r="BS67" i="11" s="1"/>
  <c r="AR68" i="11"/>
  <c r="AV69" i="11"/>
  <c r="AP70" i="11"/>
  <c r="AS77" i="11"/>
  <c r="AV54" i="11"/>
  <c r="BU54" i="11" s="1"/>
  <c r="AO56" i="11"/>
  <c r="AT57" i="11"/>
  <c r="AN60" i="11"/>
  <c r="BS60" i="11" s="1"/>
  <c r="AS60" i="11"/>
  <c r="AT60" i="11"/>
  <c r="AO61" i="11"/>
  <c r="AQ65" i="11"/>
  <c r="AS67" i="11"/>
  <c r="AS68" i="11"/>
  <c r="AP69" i="11"/>
  <c r="AQ70" i="11"/>
  <c r="AP71" i="11"/>
  <c r="AT73" i="11"/>
  <c r="AO75" i="11"/>
  <c r="AS86" i="11"/>
  <c r="AO86" i="11"/>
  <c r="AO54" i="11"/>
  <c r="AP56" i="11"/>
  <c r="AN58" i="11"/>
  <c r="AV58" i="11"/>
  <c r="AO59" i="11"/>
  <c r="AO60" i="11"/>
  <c r="AP61" i="11"/>
  <c r="AR64" i="11"/>
  <c r="AR65" i="11"/>
  <c r="BS65" i="11" s="1"/>
  <c r="AT68" i="11"/>
  <c r="AQ69" i="11"/>
  <c r="AR70" i="11"/>
  <c r="AZ73" i="11"/>
  <c r="BK73" i="11"/>
  <c r="AU77" i="11"/>
  <c r="AT86" i="11"/>
  <c r="AZ102" i="11"/>
  <c r="AO58" i="11"/>
  <c r="AQ62" i="11"/>
  <c r="BT64" i="11"/>
  <c r="BT65" i="11"/>
  <c r="BJ65" i="11"/>
  <c r="AU68" i="11"/>
  <c r="BU68" i="11" s="1"/>
  <c r="BT70" i="11"/>
  <c r="BJ70" i="11"/>
  <c r="AS75" i="11"/>
  <c r="AP75" i="11"/>
  <c r="AU66" i="11"/>
  <c r="AN69" i="11"/>
  <c r="BS69" i="11" s="1"/>
  <c r="AT69" i="11"/>
  <c r="AS69" i="11"/>
  <c r="AT72" i="11"/>
  <c r="AZ107" i="11"/>
  <c r="BK107" i="11"/>
  <c r="AN54" i="11"/>
  <c r="BS54" i="11" s="1"/>
  <c r="AO55" i="11"/>
  <c r="AQ59" i="11"/>
  <c r="AS61" i="11"/>
  <c r="AS62" i="11"/>
  <c r="AV66" i="11"/>
  <c r="AN68" i="11"/>
  <c r="AO69" i="11"/>
  <c r="AU70" i="11"/>
  <c r="AR71" i="11"/>
  <c r="AR75" i="11"/>
  <c r="AR58" i="11"/>
  <c r="AR59" i="11"/>
  <c r="AT62" i="11"/>
  <c r="AU63" i="11"/>
  <c r="AP68" i="11"/>
  <c r="AS71" i="11"/>
  <c r="AP72" i="11"/>
  <c r="AU83" i="11"/>
  <c r="AV99" i="11"/>
  <c r="AO99" i="11"/>
  <c r="AO65" i="11"/>
  <c r="AO68" i="11"/>
  <c r="AN76" i="11"/>
  <c r="AS76" i="11"/>
  <c r="AR78" i="11"/>
  <c r="AR84" i="11"/>
  <c r="AP84" i="11"/>
  <c r="AN84" i="11"/>
  <c r="AU90" i="11"/>
  <c r="AP90" i="11"/>
  <c r="AP92" i="11"/>
  <c r="AO92" i="11"/>
  <c r="BU107" i="11"/>
  <c r="AV72" i="11"/>
  <c r="AT76" i="11"/>
  <c r="AQ80" i="11"/>
  <c r="AP80" i="11"/>
  <c r="AO80" i="11"/>
  <c r="AN80" i="11"/>
  <c r="AT87" i="11"/>
  <c r="AS87" i="11"/>
  <c r="AP87" i="11"/>
  <c r="AO87" i="11"/>
  <c r="AN87" i="11"/>
  <c r="AN72" i="11"/>
  <c r="AN73" i="11"/>
  <c r="BS73" i="11" s="1"/>
  <c r="AS73" i="11"/>
  <c r="AQ74" i="11"/>
  <c r="AU75" i="11"/>
  <c r="AU76" i="11"/>
  <c r="AR80" i="11"/>
  <c r="AP82" i="11"/>
  <c r="AT84" i="11"/>
  <c r="AU87" i="11"/>
  <c r="AN90" i="11"/>
  <c r="AR92" i="11"/>
  <c r="AO94" i="11"/>
  <c r="AS100" i="11"/>
  <c r="AN100" i="11"/>
  <c r="BS100" i="11" s="1"/>
  <c r="AP100" i="11"/>
  <c r="AO71" i="11"/>
  <c r="AO72" i="11"/>
  <c r="AO73" i="11"/>
  <c r="AR74" i="11"/>
  <c r="BS74" i="11" s="1"/>
  <c r="AV75" i="11"/>
  <c r="AU78" i="11"/>
  <c r="AS80" i="11"/>
  <c r="AU84" i="11"/>
  <c r="AP89" i="11"/>
  <c r="AS92" i="11"/>
  <c r="AP94" i="11"/>
  <c r="AZ95" i="11"/>
  <c r="BK95" i="11"/>
  <c r="AY96" i="11"/>
  <c r="BT96" i="11"/>
  <c r="BJ96" i="11"/>
  <c r="AS74" i="11"/>
  <c r="AN75" i="11"/>
  <c r="AV78" i="11"/>
  <c r="AU81" i="11"/>
  <c r="AV84" i="11"/>
  <c r="AQ86" i="11"/>
  <c r="AT88" i="11"/>
  <c r="BJ88" i="11" s="1"/>
  <c r="AP88" i="11"/>
  <c r="AQ91" i="11"/>
  <c r="AT92" i="11"/>
  <c r="AQ94" i="11"/>
  <c r="AN106" i="11"/>
  <c r="AU106" i="11"/>
  <c r="AT106" i="11"/>
  <c r="AR106" i="11"/>
  <c r="AQ106" i="11"/>
  <c r="AP106" i="11"/>
  <c r="AS106" i="11"/>
  <c r="AQ72" i="11"/>
  <c r="AN78" i="11"/>
  <c r="AN82" i="11"/>
  <c r="AU82" i="11"/>
  <c r="AS82" i="11"/>
  <c r="AT82" i="11"/>
  <c r="AU88" i="11"/>
  <c r="AU92" i="11"/>
  <c r="AZ96" i="11"/>
  <c r="BK96" i="11"/>
  <c r="AS99" i="11"/>
  <c r="AN70" i="11"/>
  <c r="AN71" i="11"/>
  <c r="AT71" i="11"/>
  <c r="AN77" i="11"/>
  <c r="AV79" i="11"/>
  <c r="BU79" i="11" s="1"/>
  <c r="BJ91" i="11"/>
  <c r="AY91" i="11"/>
  <c r="AO70" i="11"/>
  <c r="AT75" i="11"/>
  <c r="AQ75" i="11"/>
  <c r="AT80" i="11"/>
  <c r="AS83" i="11"/>
  <c r="AT85" i="11"/>
  <c r="AQ85" i="11"/>
  <c r="AO85" i="11"/>
  <c r="AT90" i="11"/>
  <c r="AN91" i="11"/>
  <c r="BT91" i="11"/>
  <c r="AV92" i="11"/>
  <c r="AT93" i="11"/>
  <c r="AS93" i="11"/>
  <c r="AP93" i="11"/>
  <c r="AO93" i="11"/>
  <c r="AN93" i="11"/>
  <c r="AS101" i="11"/>
  <c r="AT101" i="11"/>
  <c r="AO101" i="11"/>
  <c r="AV71" i="11"/>
  <c r="AV76" i="11"/>
  <c r="AT78" i="11"/>
  <c r="AO78" i="11"/>
  <c r="AS78" i="11"/>
  <c r="AU80" i="11"/>
  <c r="BU80" i="11" s="1"/>
  <c r="AT83" i="11"/>
  <c r="AQ83" i="11"/>
  <c r="AO83" i="11"/>
  <c r="AU89" i="11"/>
  <c r="AQ89" i="11"/>
  <c r="AS97" i="11"/>
  <c r="AN97" i="11"/>
  <c r="AR97" i="11"/>
  <c r="AT108" i="11"/>
  <c r="AN108" i="11"/>
  <c r="AP108" i="11"/>
  <c r="AO108" i="11"/>
  <c r="AO81" i="11"/>
  <c r="AU85" i="11"/>
  <c r="BU85" i="11" s="1"/>
  <c r="AV87" i="11"/>
  <c r="AO88" i="11"/>
  <c r="AO90" i="11"/>
  <c r="AV93" i="11"/>
  <c r="BU93" i="11" s="1"/>
  <c r="AO95" i="11"/>
  <c r="AR105" i="11"/>
  <c r="AN105" i="11"/>
  <c r="AU108" i="11"/>
  <c r="AR109" i="11"/>
  <c r="AO96" i="11"/>
  <c r="AN96" i="11"/>
  <c r="AY105" i="11"/>
  <c r="AV108" i="11"/>
  <c r="AQ81" i="11"/>
  <c r="AP86" i="11"/>
  <c r="AQ88" i="11"/>
  <c r="AN89" i="11"/>
  <c r="AS89" i="11"/>
  <c r="AS90" i="11"/>
  <c r="AQ96" i="11"/>
  <c r="AT105" i="11"/>
  <c r="AQ107" i="11"/>
  <c r="AS107" i="11"/>
  <c r="AP107" i="11"/>
  <c r="AN107" i="11"/>
  <c r="AR81" i="11"/>
  <c r="BS81" i="11" s="1"/>
  <c r="AN83" i="11"/>
  <c r="AO84" i="11"/>
  <c r="AN88" i="11"/>
  <c r="AR88" i="11"/>
  <c r="AT89" i="11"/>
  <c r="AT94" i="11"/>
  <c r="BT94" i="11" s="1"/>
  <c r="AQ95" i="11"/>
  <c r="AU105" i="11"/>
  <c r="AS110" i="11"/>
  <c r="AN110" i="11"/>
  <c r="AQ110" i="11"/>
  <c r="AT117" i="11"/>
  <c r="AP117" i="11"/>
  <c r="AO117" i="11"/>
  <c r="AN117" i="11"/>
  <c r="AS81" i="11"/>
  <c r="AN86" i="11"/>
  <c r="AU94" i="11"/>
  <c r="AQ99" i="11"/>
  <c r="AT99" i="11"/>
  <c r="AT100" i="11"/>
  <c r="AV105" i="11"/>
  <c r="AQ84" i="11"/>
  <c r="AN85" i="11"/>
  <c r="AR85" i="11"/>
  <c r="AV89" i="11"/>
  <c r="AQ90" i="11"/>
  <c r="AU91" i="11"/>
  <c r="AV94" i="11"/>
  <c r="AS95" i="11"/>
  <c r="AT97" i="11"/>
  <c r="AO109" i="11"/>
  <c r="AV117" i="11"/>
  <c r="BK117" i="11" s="1"/>
  <c r="AV82" i="11"/>
  <c r="AS85" i="11"/>
  <c r="AR89" i="11"/>
  <c r="AR90" i="11"/>
  <c r="AV91" i="11"/>
  <c r="AS98" i="11"/>
  <c r="AR101" i="11"/>
  <c r="AS103" i="11"/>
  <c r="AQ103" i="11"/>
  <c r="AR83" i="11"/>
  <c r="BS83" i="11" s="1"/>
  <c r="AV86" i="11"/>
  <c r="BU86" i="11" s="1"/>
  <c r="AQ87" i="11"/>
  <c r="AN92" i="11"/>
  <c r="AQ93" i="11"/>
  <c r="AV101" i="11"/>
  <c r="AU101" i="11"/>
  <c r="AQ101" i="11"/>
  <c r="AR103" i="11"/>
  <c r="BS103" i="11" s="1"/>
  <c r="AV106" i="11"/>
  <c r="AN115" i="11"/>
  <c r="AV115" i="11"/>
  <c r="AU115" i="11"/>
  <c r="AT115" i="11"/>
  <c r="AY115" i="11" s="1"/>
  <c r="AR115" i="11"/>
  <c r="AQ115" i="11"/>
  <c r="AP119" i="11"/>
  <c r="AU119" i="11"/>
  <c r="AN119" i="11"/>
  <c r="AV119" i="11"/>
  <c r="AR86" i="11"/>
  <c r="AR87" i="11"/>
  <c r="AR93" i="11"/>
  <c r="AP96" i="11"/>
  <c r="AU99" i="11"/>
  <c r="BT136" i="11"/>
  <c r="BJ136" i="11"/>
  <c r="AY136" i="11"/>
  <c r="AR96" i="11"/>
  <c r="AN98" i="11"/>
  <c r="AR98" i="11"/>
  <c r="AR102" i="11"/>
  <c r="AN104" i="11"/>
  <c r="AT104" i="11"/>
  <c r="BJ104" i="11" s="1"/>
  <c r="AU110" i="11"/>
  <c r="BI114" i="11"/>
  <c r="AX114" i="11"/>
  <c r="AS119" i="11"/>
  <c r="AS102" i="11"/>
  <c r="AO104" i="11"/>
  <c r="AU104" i="11"/>
  <c r="AU109" i="11"/>
  <c r="BU109" i="11" s="1"/>
  <c r="AV110" i="11"/>
  <c r="AO112" i="11"/>
  <c r="AP116" i="11"/>
  <c r="AN116" i="11"/>
  <c r="AP118" i="11"/>
  <c r="AT119" i="11"/>
  <c r="AR124" i="11"/>
  <c r="AT98" i="11"/>
  <c r="AP99" i="11"/>
  <c r="AN101" i="11"/>
  <c r="AT102" i="11"/>
  <c r="AP104" i="11"/>
  <c r="AV104" i="11"/>
  <c r="AQ108" i="11"/>
  <c r="AQ109" i="11"/>
  <c r="AQ116" i="11"/>
  <c r="AQ117" i="11"/>
  <c r="AY121" i="11"/>
  <c r="BT121" i="11"/>
  <c r="BJ121" i="11"/>
  <c r="AS124" i="11"/>
  <c r="AS135" i="11"/>
  <c r="AU135" i="11"/>
  <c r="AT135" i="11"/>
  <c r="AV135" i="11"/>
  <c r="AR117" i="11"/>
  <c r="AV98" i="11"/>
  <c r="AR99" i="11"/>
  <c r="BS99" i="11" s="1"/>
  <c r="AU100" i="11"/>
  <c r="AP101" i="11"/>
  <c r="AT103" i="11"/>
  <c r="AO106" i="11"/>
  <c r="AO107" i="11"/>
  <c r="AS109" i="11"/>
  <c r="AN112" i="11"/>
  <c r="BS112" i="11" s="1"/>
  <c r="AU112" i="11"/>
  <c r="BU112" i="11" s="1"/>
  <c r="AT112" i="11"/>
  <c r="BT112" i="11" s="1"/>
  <c r="AQ112" i="11"/>
  <c r="AP112" i="11"/>
  <c r="BS114" i="11"/>
  <c r="AS116" i="11"/>
  <c r="AN118" i="11"/>
  <c r="AV118" i="11"/>
  <c r="AU118" i="11"/>
  <c r="AT118" i="11"/>
  <c r="AS118" i="11"/>
  <c r="AT120" i="11"/>
  <c r="BT120" i="11" s="1"/>
  <c r="AO120" i="11"/>
  <c r="AN120" i="11"/>
  <c r="BS120" i="11" s="1"/>
  <c r="AN123" i="11"/>
  <c r="BS123" i="11" s="1"/>
  <c r="AN95" i="11"/>
  <c r="AU97" i="11"/>
  <c r="AV100" i="11"/>
  <c r="AN102" i="11"/>
  <c r="AU103" i="11"/>
  <c r="AP105" i="11"/>
  <c r="AT111" i="11"/>
  <c r="AO111" i="11"/>
  <c r="AN111" i="11"/>
  <c r="BS111" i="11" s="1"/>
  <c r="AT116" i="11"/>
  <c r="AO118" i="11"/>
  <c r="AU120" i="11"/>
  <c r="AO123" i="11"/>
  <c r="AV97" i="11"/>
  <c r="AV103" i="11"/>
  <c r="AQ105" i="11"/>
  <c r="AR108" i="11"/>
  <c r="AU111" i="11"/>
  <c r="BU111" i="11" s="1"/>
  <c r="AV113" i="11"/>
  <c r="AU113" i="11"/>
  <c r="AU116" i="11"/>
  <c r="AP122" i="11"/>
  <c r="AV122" i="11"/>
  <c r="AU122" i="11"/>
  <c r="AN122" i="11"/>
  <c r="AV124" i="11"/>
  <c r="AS113" i="11"/>
  <c r="AR119" i="11"/>
  <c r="AV120" i="11"/>
  <c r="AN121" i="11"/>
  <c r="AR121" i="11"/>
  <c r="AR122" i="11"/>
  <c r="AP123" i="11"/>
  <c r="BS130" i="11"/>
  <c r="AU131" i="11"/>
  <c r="AT131" i="11"/>
  <c r="AN131" i="11"/>
  <c r="BS131" i="11" s="1"/>
  <c r="AQ131" i="11"/>
  <c r="AT133" i="11"/>
  <c r="AO125" i="11"/>
  <c r="AU128" i="11"/>
  <c r="AR128" i="11"/>
  <c r="AO128" i="11"/>
  <c r="AU133" i="11"/>
  <c r="BU133" i="11" s="1"/>
  <c r="AT122" i="11"/>
  <c r="BT122" i="11" s="1"/>
  <c r="AP125" i="11"/>
  <c r="AT125" i="11"/>
  <c r="AY125" i="11" s="1"/>
  <c r="AO102" i="11"/>
  <c r="AO105" i="11"/>
  <c r="AP109" i="11"/>
  <c r="AP113" i="11"/>
  <c r="AP120" i="11"/>
  <c r="AU121" i="11"/>
  <c r="AO124" i="11"/>
  <c r="AQ125" i="11"/>
  <c r="AQ126" i="11"/>
  <c r="AR127" i="11"/>
  <c r="BS127" i="11" s="1"/>
  <c r="AU137" i="11"/>
  <c r="AN137" i="11"/>
  <c r="AR137" i="11"/>
  <c r="BS137" i="11" s="1"/>
  <c r="AQ137" i="11"/>
  <c r="AP137" i="11"/>
  <c r="AQ120" i="11"/>
  <c r="AV121" i="11"/>
  <c r="AR125" i="11"/>
  <c r="BS125" i="11" s="1"/>
  <c r="AR126" i="11"/>
  <c r="AS127" i="11"/>
  <c r="AO129" i="11"/>
  <c r="AO137" i="11"/>
  <c r="AR107" i="11"/>
  <c r="AN109" i="11"/>
  <c r="AO110" i="11"/>
  <c r="AR113" i="11"/>
  <c r="BS113" i="11" s="1"/>
  <c r="AS114" i="11"/>
  <c r="AS126" i="11"/>
  <c r="AT127" i="11"/>
  <c r="AV128" i="11"/>
  <c r="BU128" i="11" s="1"/>
  <c r="AP129" i="11"/>
  <c r="AS131" i="11"/>
  <c r="AN135" i="11"/>
  <c r="AP110" i="11"/>
  <c r="AT114" i="11"/>
  <c r="AS123" i="11"/>
  <c r="AN124" i="11"/>
  <c r="AU127" i="11"/>
  <c r="AP128" i="11"/>
  <c r="AQ129" i="11"/>
  <c r="AT109" i="11"/>
  <c r="AT123" i="11"/>
  <c r="AT124" i="11"/>
  <c r="AU126" i="11"/>
  <c r="BU126" i="11" s="1"/>
  <c r="AQ128" i="11"/>
  <c r="AS108" i="11"/>
  <c r="AR110" i="11"/>
  <c r="AS111" i="11"/>
  <c r="AV114" i="11"/>
  <c r="AZ114" i="11" s="1"/>
  <c r="AO116" i="11"/>
  <c r="AS117" i="11"/>
  <c r="AU123" i="11"/>
  <c r="AP124" i="11"/>
  <c r="AV125" i="11"/>
  <c r="BU125" i="11" s="1"/>
  <c r="AY129" i="11"/>
  <c r="BT129" i="11"/>
  <c r="AP130" i="11"/>
  <c r="AQ130" i="11"/>
  <c r="AS128" i="11"/>
  <c r="AN129" i="11"/>
  <c r="AU129" i="11"/>
  <c r="BU129" i="11" s="1"/>
  <c r="AP132" i="11"/>
  <c r="AS133" i="11"/>
  <c r="AU134" i="11"/>
  <c r="AT134" i="11"/>
  <c r="BT134" i="11" s="1"/>
  <c r="AN134" i="11"/>
  <c r="BS134" i="11" s="1"/>
  <c r="AO138" i="11"/>
  <c r="AV137" i="11"/>
  <c r="AP138" i="11"/>
  <c r="AQ138" i="11"/>
  <c r="AX139" i="11"/>
  <c r="BI139" i="11"/>
  <c r="BS138" i="11"/>
  <c r="AR129" i="11"/>
  <c r="AN133" i="11"/>
  <c r="AS138" i="11"/>
  <c r="AN128" i="11"/>
  <c r="AS130" i="11"/>
  <c r="AQ133" i="11"/>
  <c r="AO135" i="11"/>
  <c r="AU136" i="11"/>
  <c r="AV138" i="11"/>
  <c r="AY139" i="11"/>
  <c r="BT139" i="11"/>
  <c r="BJ139" i="11"/>
  <c r="AT130" i="11"/>
  <c r="AT132" i="11"/>
  <c r="AY132" i="11" s="1"/>
  <c r="AO133" i="11"/>
  <c r="AV134" i="11"/>
  <c r="AP135" i="11"/>
  <c r="AT138" i="11"/>
  <c r="AU130" i="11"/>
  <c r="AV131" i="11"/>
  <c r="AU132" i="11"/>
  <c r="AP134" i="11"/>
  <c r="AQ135" i="11"/>
  <c r="AN136" i="11"/>
  <c r="BS136" i="11" s="1"/>
  <c r="AU138" i="11"/>
  <c r="AZ139" i="11"/>
  <c r="BK139" i="11"/>
  <c r="AN126" i="11"/>
  <c r="AO127" i="11"/>
  <c r="AV130" i="11"/>
  <c r="AN132" i="11"/>
  <c r="AV132" i="11"/>
  <c r="AQ134" i="11"/>
  <c r="AR135" i="11"/>
  <c r="AS137" i="11"/>
  <c r="BU139" i="11"/>
  <c r="AJ25" i="9"/>
  <c r="AJ22" i="9"/>
  <c r="AJ19" i="9"/>
  <c r="AI14" i="9"/>
  <c r="AJ11" i="9"/>
  <c r="AI9" i="9"/>
  <c r="AJ24" i="9"/>
  <c r="AT24" i="9" s="1"/>
  <c r="AJ21" i="9"/>
  <c r="AJ18" i="9"/>
  <c r="AI24" i="9"/>
  <c r="AS24" i="9" s="1"/>
  <c r="AI21" i="9"/>
  <c r="AI18" i="9"/>
  <c r="AJ10" i="9"/>
  <c r="AJ8" i="9"/>
  <c r="AJ15" i="9"/>
  <c r="AJ12" i="9"/>
  <c r="AI10" i="9"/>
  <c r="AI8" i="9"/>
  <c r="AI15" i="9"/>
  <c r="AJ26" i="9"/>
  <c r="AJ23" i="9"/>
  <c r="AJ20" i="9"/>
  <c r="AJ17" i="9"/>
  <c r="AI26" i="9"/>
  <c r="AI23" i="9"/>
  <c r="AI20" i="9"/>
  <c r="AI17" i="9"/>
  <c r="AI7" i="9"/>
  <c r="AH8" i="9"/>
  <c r="AG12" i="9"/>
  <c r="AH16" i="9"/>
  <c r="AR16" i="9" s="1"/>
  <c r="AK18" i="9"/>
  <c r="AG26" i="9"/>
  <c r="AF26" i="9"/>
  <c r="AF23" i="9"/>
  <c r="AF20" i="9"/>
  <c r="AF17" i="9"/>
  <c r="AD15" i="9"/>
  <c r="AD12" i="9"/>
  <c r="AE26" i="9"/>
  <c r="AD26" i="9"/>
  <c r="AG25" i="9"/>
  <c r="AF25" i="9"/>
  <c r="AF22" i="9"/>
  <c r="AF19" i="9"/>
  <c r="AG16" i="9"/>
  <c r="AE25" i="9"/>
  <c r="AO25" i="9" s="1"/>
  <c r="AE22" i="9"/>
  <c r="AE19" i="9"/>
  <c r="AF16" i="9"/>
  <c r="AD14" i="9"/>
  <c r="AG13" i="9"/>
  <c r="AE11" i="9"/>
  <c r="AD9" i="9"/>
  <c r="AD25" i="9"/>
  <c r="AR25" i="9" s="1"/>
  <c r="AH24" i="9"/>
  <c r="AD22" i="9"/>
  <c r="AH21" i="9"/>
  <c r="AD19" i="9"/>
  <c r="AN19" i="9" s="1"/>
  <c r="AH18" i="9"/>
  <c r="AE16" i="9"/>
  <c r="AF13" i="9"/>
  <c r="AD11" i="9"/>
  <c r="AG24" i="9"/>
  <c r="AG21" i="9"/>
  <c r="AG18" i="9"/>
  <c r="AD16" i="9"/>
  <c r="AE13" i="9"/>
  <c r="AF24" i="9"/>
  <c r="AF21" i="9"/>
  <c r="AF18" i="9"/>
  <c r="AP18" i="9" s="1"/>
  <c r="AH15" i="9"/>
  <c r="AD13" i="9"/>
  <c r="AH12" i="9"/>
  <c r="AE24" i="9"/>
  <c r="AE21" i="9"/>
  <c r="AE18" i="9"/>
  <c r="AG15" i="9"/>
  <c r="AH26" i="9"/>
  <c r="AR26" i="9" s="1"/>
  <c r="AD24" i="9"/>
  <c r="AH23" i="9"/>
  <c r="AD21" i="9"/>
  <c r="AN21" i="9" s="1"/>
  <c r="AH20" i="9"/>
  <c r="AD18" i="9"/>
  <c r="AH17" i="9"/>
  <c r="AF15" i="9"/>
  <c r="AF12" i="9"/>
  <c r="AE10" i="9"/>
  <c r="AE8" i="9"/>
  <c r="AJ7" i="9"/>
  <c r="AK8" i="9"/>
  <c r="AU8" i="9" s="1"/>
  <c r="AE9" i="9"/>
  <c r="AD10" i="9"/>
  <c r="AF11" i="9"/>
  <c r="AP11" i="9" s="1"/>
  <c r="AI12" i="9"/>
  <c r="AS12" i="9" s="1"/>
  <c r="AI16" i="9"/>
  <c r="AL18" i="9"/>
  <c r="AD23" i="9"/>
  <c r="AI25" i="9"/>
  <c r="AK7" i="9"/>
  <c r="AL8" i="9"/>
  <c r="AF9" i="9"/>
  <c r="AF10" i="9"/>
  <c r="AG11" i="9"/>
  <c r="AL12" i="9"/>
  <c r="AJ16" i="9"/>
  <c r="AE23" i="9"/>
  <c r="AK25" i="9"/>
  <c r="AL7" i="9"/>
  <c r="AG9" i="9"/>
  <c r="AG10" i="9"/>
  <c r="AH11" i="9"/>
  <c r="AL16" i="9"/>
  <c r="AG23" i="9"/>
  <c r="AH9" i="9"/>
  <c r="AH10" i="9"/>
  <c r="AI11" i="9"/>
  <c r="AH13" i="9"/>
  <c r="AR13" i="9" s="1"/>
  <c r="AE14" i="9"/>
  <c r="AG19" i="9"/>
  <c r="AK21" i="9"/>
  <c r="AJ9" i="9"/>
  <c r="AK10" i="9"/>
  <c r="AK11" i="9"/>
  <c r="AI13" i="9"/>
  <c r="AF14" i="9"/>
  <c r="AD17" i="9"/>
  <c r="AN17" i="9" s="1"/>
  <c r="AH19" i="9"/>
  <c r="AL21" i="9"/>
  <c r="AL9" i="9"/>
  <c r="AV9" i="9" s="1"/>
  <c r="AL10" i="9"/>
  <c r="AV10" i="9" s="1"/>
  <c r="AJ13" i="9"/>
  <c r="AG14" i="9"/>
  <c r="AE17" i="9"/>
  <c r="AI19" i="9"/>
  <c r="AD7" i="9"/>
  <c r="AK13" i="9"/>
  <c r="AH14" i="9"/>
  <c r="AE15" i="9"/>
  <c r="AO15" i="9" s="1"/>
  <c r="AG17" i="9"/>
  <c r="AK19" i="9"/>
  <c r="AE7" i="9"/>
  <c r="AO7" i="9" s="1"/>
  <c r="AJ14" i="9"/>
  <c r="AT14" i="9" s="1"/>
  <c r="AG22" i="9"/>
  <c r="AK24" i="9"/>
  <c r="AF7" i="9"/>
  <c r="AD8" i="9"/>
  <c r="AL14" i="9"/>
  <c r="AD20" i="9"/>
  <c r="AH22" i="9"/>
  <c r="AP133" i="11"/>
  <c r="AG7" i="9"/>
  <c r="AF8" i="9"/>
  <c r="AE20" i="9"/>
  <c r="AI22" i="9"/>
  <c r="AK16" i="9"/>
  <c r="AL13" i="9"/>
  <c r="AL15" i="9"/>
  <c r="AK15" i="9"/>
  <c r="AK12" i="9"/>
  <c r="AL26" i="9"/>
  <c r="AL23" i="9"/>
  <c r="AL20" i="9"/>
  <c r="AL17" i="9"/>
  <c r="AK26" i="9"/>
  <c r="AK23" i="9"/>
  <c r="AU23" i="9" s="1"/>
  <c r="AK20" i="9"/>
  <c r="AU20" i="9" s="1"/>
  <c r="AK17" i="9"/>
  <c r="AL25" i="9"/>
  <c r="AL22" i="9"/>
  <c r="AL19" i="9"/>
  <c r="AK14" i="9"/>
  <c r="AL11" i="9"/>
  <c r="AK9" i="9"/>
  <c r="AH7" i="9"/>
  <c r="AG8" i="9"/>
  <c r="AE12" i="9"/>
  <c r="AG20" i="9"/>
  <c r="AK22" i="9"/>
  <c r="AU22" i="9" s="1"/>
  <c r="BU96" i="11" l="1"/>
  <c r="AY70" i="11"/>
  <c r="AX130" i="11"/>
  <c r="BU51" i="11"/>
  <c r="BU137" i="11"/>
  <c r="BS64" i="11"/>
  <c r="BS26" i="11"/>
  <c r="BS47" i="11"/>
  <c r="BU94" i="11"/>
  <c r="BU92" i="11"/>
  <c r="BS30" i="11"/>
  <c r="BU73" i="11"/>
  <c r="BJ120" i="11"/>
  <c r="BS117" i="11"/>
  <c r="BU25" i="11"/>
  <c r="BS9" i="11"/>
  <c r="BS28" i="11"/>
  <c r="BS139" i="11"/>
  <c r="AY134" i="11"/>
  <c r="BI94" i="11"/>
  <c r="BS53" i="11"/>
  <c r="BS21" i="11"/>
  <c r="AY43" i="11"/>
  <c r="BS126" i="11"/>
  <c r="BU82" i="11"/>
  <c r="BU87" i="11"/>
  <c r="AZ39" i="11"/>
  <c r="BU121" i="11"/>
  <c r="BJ59" i="11"/>
  <c r="BS14" i="11"/>
  <c r="BK54" i="11"/>
  <c r="AX38" i="11"/>
  <c r="BI130" i="11"/>
  <c r="AY120" i="11"/>
  <c r="AY112" i="11"/>
  <c r="BS97" i="11"/>
  <c r="BU43" i="11"/>
  <c r="BS108" i="11"/>
  <c r="BI47" i="11"/>
  <c r="BU41" i="11"/>
  <c r="BU28" i="11"/>
  <c r="BU50" i="11"/>
  <c r="BS23" i="11"/>
  <c r="BU32" i="11"/>
  <c r="BK30" i="11"/>
  <c r="BU13" i="11"/>
  <c r="BT88" i="11"/>
  <c r="AZ93" i="11"/>
  <c r="AY40" i="11"/>
  <c r="BS32" i="11"/>
  <c r="AX49" i="11"/>
  <c r="BU108" i="11"/>
  <c r="BS58" i="11"/>
  <c r="AZ33" i="11"/>
  <c r="AX47" i="11"/>
  <c r="BJ94" i="11"/>
  <c r="BU95" i="11"/>
  <c r="BU115" i="11"/>
  <c r="BC139" i="11"/>
  <c r="BJ134" i="11"/>
  <c r="BS93" i="11"/>
  <c r="AX103" i="11"/>
  <c r="BU49" i="11"/>
  <c r="BU12" i="11"/>
  <c r="BU10" i="11"/>
  <c r="BS38" i="11"/>
  <c r="BJ132" i="11"/>
  <c r="BU120" i="11"/>
  <c r="BI103" i="11"/>
  <c r="BS63" i="11"/>
  <c r="BS29" i="11"/>
  <c r="BU20" i="11"/>
  <c r="BS86" i="11"/>
  <c r="AZ86" i="11"/>
  <c r="BU102" i="11"/>
  <c r="AX138" i="11"/>
  <c r="BT132" i="11"/>
  <c r="BS98" i="11"/>
  <c r="BU119" i="11"/>
  <c r="BS59" i="11"/>
  <c r="BU19" i="11"/>
  <c r="BU8" i="11"/>
  <c r="BI65" i="11"/>
  <c r="BI41" i="11"/>
  <c r="AX94" i="11"/>
  <c r="BS35" i="11"/>
  <c r="BU124" i="11"/>
  <c r="BS106" i="11"/>
  <c r="BT59" i="11"/>
  <c r="BU16" i="11"/>
  <c r="BU103" i="11"/>
  <c r="BS96" i="11"/>
  <c r="BJ122" i="11"/>
  <c r="BU100" i="11"/>
  <c r="BU118" i="11"/>
  <c r="BS90" i="11"/>
  <c r="BU57" i="11"/>
  <c r="BS72" i="11"/>
  <c r="BJ43" i="11"/>
  <c r="BU53" i="11"/>
  <c r="BS36" i="11"/>
  <c r="AY122" i="11"/>
  <c r="BS89" i="11"/>
  <c r="BS85" i="11"/>
  <c r="BS70" i="11"/>
  <c r="BS11" i="11"/>
  <c r="BS8" i="11"/>
  <c r="BU34" i="11"/>
  <c r="AZ27" i="11"/>
  <c r="AX127" i="11"/>
  <c r="BS105" i="11"/>
  <c r="BS62" i="11"/>
  <c r="BU63" i="11"/>
  <c r="AY29" i="11"/>
  <c r="BK33" i="11"/>
  <c r="BS12" i="11"/>
  <c r="BS129" i="11"/>
  <c r="BI127" i="11"/>
  <c r="AX46" i="11"/>
  <c r="BU22" i="11"/>
  <c r="AZ44" i="11"/>
  <c r="AY88" i="11"/>
  <c r="BU105" i="11"/>
  <c r="AY50" i="11"/>
  <c r="BS121" i="11"/>
  <c r="BI74" i="11"/>
  <c r="BU47" i="11"/>
  <c r="BK29" i="11"/>
  <c r="BU15" i="11"/>
  <c r="BJ64" i="11"/>
  <c r="BI65" i="10"/>
  <c r="BJ29" i="10"/>
  <c r="BI20" i="10"/>
  <c r="BI31" i="10"/>
  <c r="AY29" i="10"/>
  <c r="BS109" i="10"/>
  <c r="BS104" i="10"/>
  <c r="BS114" i="10"/>
  <c r="BU49" i="10"/>
  <c r="BS94" i="10"/>
  <c r="BT57" i="10"/>
  <c r="BI21" i="10"/>
  <c r="BU41" i="10"/>
  <c r="BU17" i="10"/>
  <c r="AZ58" i="10"/>
  <c r="BS25" i="10"/>
  <c r="BU20" i="10"/>
  <c r="AY111" i="10"/>
  <c r="AY138" i="10"/>
  <c r="BJ111" i="10"/>
  <c r="BS42" i="10"/>
  <c r="BS78" i="10"/>
  <c r="BK58" i="10"/>
  <c r="BU56" i="10"/>
  <c r="BU39" i="10"/>
  <c r="AZ127" i="10"/>
  <c r="BS61" i="10"/>
  <c r="BU22" i="10"/>
  <c r="BU54" i="10"/>
  <c r="BK21" i="10"/>
  <c r="BK54" i="10"/>
  <c r="BU68" i="10"/>
  <c r="BT126" i="10"/>
  <c r="BU99" i="10"/>
  <c r="BT71" i="10"/>
  <c r="BT66" i="10"/>
  <c r="BS44" i="10"/>
  <c r="BS53" i="10"/>
  <c r="AZ133" i="10"/>
  <c r="BU111" i="10"/>
  <c r="AX65" i="10"/>
  <c r="AX31" i="10"/>
  <c r="BS115" i="10"/>
  <c r="BS124" i="10"/>
  <c r="AZ73" i="10"/>
  <c r="AZ115" i="10"/>
  <c r="BS33" i="10"/>
  <c r="BU97" i="10"/>
  <c r="AZ48" i="10"/>
  <c r="BT31" i="10"/>
  <c r="BS20" i="10"/>
  <c r="BK62" i="10"/>
  <c r="BU32" i="10"/>
  <c r="BU15" i="10"/>
  <c r="BU115" i="10"/>
  <c r="BU91" i="10"/>
  <c r="BJ66" i="10"/>
  <c r="BS48" i="10"/>
  <c r="BS19" i="10"/>
  <c r="BJ41" i="10"/>
  <c r="BU11" i="10"/>
  <c r="BS31" i="10"/>
  <c r="BU124" i="10"/>
  <c r="AX74" i="10"/>
  <c r="BB74" i="10" s="1"/>
  <c r="BU107" i="10"/>
  <c r="BK106" i="10"/>
  <c r="AY77" i="10"/>
  <c r="BS122" i="10"/>
  <c r="BT53" i="10"/>
  <c r="BT81" i="10"/>
  <c r="BU38" i="10"/>
  <c r="BK73" i="10"/>
  <c r="BU8" i="10"/>
  <c r="BK88" i="10"/>
  <c r="BS73" i="10"/>
  <c r="BU18" i="10"/>
  <c r="BK30" i="10"/>
  <c r="BS70" i="10"/>
  <c r="BU61" i="10"/>
  <c r="BU43" i="10"/>
  <c r="AZ75" i="10"/>
  <c r="BU30" i="10"/>
  <c r="AY52" i="10"/>
  <c r="AZ102" i="10"/>
  <c r="BT85" i="10"/>
  <c r="BS101" i="10"/>
  <c r="BS13" i="10"/>
  <c r="AX20" i="10"/>
  <c r="AY16" i="10"/>
  <c r="BS123" i="10"/>
  <c r="BU65" i="10"/>
  <c r="BK102" i="10"/>
  <c r="BI106" i="10"/>
  <c r="BU34" i="10"/>
  <c r="BT14" i="10"/>
  <c r="BK17" i="10"/>
  <c r="AZ17" i="10"/>
  <c r="BS64" i="10"/>
  <c r="BU76" i="10"/>
  <c r="BS38" i="10"/>
  <c r="BK79" i="10"/>
  <c r="BK55" i="10"/>
  <c r="BS18" i="10"/>
  <c r="BS126" i="10"/>
  <c r="BU137" i="10"/>
  <c r="BU85" i="10"/>
  <c r="BJ126" i="10"/>
  <c r="BS86" i="10"/>
  <c r="BS60" i="10"/>
  <c r="BJ71" i="10"/>
  <c r="BK68" i="10"/>
  <c r="BS32" i="10"/>
  <c r="BU45" i="10"/>
  <c r="BS69" i="10"/>
  <c r="BS82" i="10"/>
  <c r="BJ51" i="10"/>
  <c r="BJ50" i="1"/>
  <c r="BK8" i="1"/>
  <c r="AZ17" i="1"/>
  <c r="AZ10" i="1"/>
  <c r="BJ20" i="1"/>
  <c r="AX73" i="1"/>
  <c r="BI39" i="1"/>
  <c r="BK49" i="1"/>
  <c r="AZ9" i="1"/>
  <c r="AX30" i="1"/>
  <c r="AZ25" i="1"/>
  <c r="AZ121" i="1"/>
  <c r="AZ31" i="1"/>
  <c r="BI31" i="1"/>
  <c r="AY52" i="1"/>
  <c r="BJ19" i="1"/>
  <c r="BK18" i="1"/>
  <c r="BJ90" i="1"/>
  <c r="AZ92" i="1"/>
  <c r="AZ73" i="1"/>
  <c r="BK108" i="1"/>
  <c r="AY87" i="1"/>
  <c r="BC87" i="1" s="1"/>
  <c r="BK34" i="1"/>
  <c r="BK41" i="1"/>
  <c r="AY47" i="1"/>
  <c r="AY138" i="1"/>
  <c r="AZ13" i="1"/>
  <c r="BK12" i="1"/>
  <c r="AZ74" i="1"/>
  <c r="AZ11" i="1"/>
  <c r="BI46" i="1"/>
  <c r="BI65" i="1"/>
  <c r="BJ103" i="1"/>
  <c r="BI35" i="1"/>
  <c r="BJ79" i="1"/>
  <c r="BJ15" i="1"/>
  <c r="AZ8" i="1"/>
  <c r="BI25" i="1"/>
  <c r="BK51" i="1"/>
  <c r="BK30" i="1"/>
  <c r="BJ60" i="1"/>
  <c r="BK126" i="1"/>
  <c r="BK28" i="1"/>
  <c r="BK65" i="1"/>
  <c r="BJ16" i="1"/>
  <c r="BK21" i="1"/>
  <c r="BJ36" i="1"/>
  <c r="AX18" i="1"/>
  <c r="BJ96" i="1"/>
  <c r="AX46" i="1"/>
  <c r="AY110" i="1"/>
  <c r="BJ44" i="1"/>
  <c r="AZ89" i="1"/>
  <c r="AZ50" i="1"/>
  <c r="AX23" i="1"/>
  <c r="BD23" i="1" s="1"/>
  <c r="BI96" i="1"/>
  <c r="AZ126" i="1"/>
  <c r="BJ51" i="1"/>
  <c r="BJ110" i="1"/>
  <c r="BJ47" i="1"/>
  <c r="AZ16" i="1"/>
  <c r="AY25" i="1"/>
  <c r="AY27" i="1"/>
  <c r="BK50" i="1"/>
  <c r="BI106" i="1"/>
  <c r="BI56" i="1"/>
  <c r="AZ64" i="1"/>
  <c r="AX25" i="1"/>
  <c r="BK53" i="1"/>
  <c r="AZ61" i="1"/>
  <c r="AZ28" i="1"/>
  <c r="AZ29" i="1"/>
  <c r="BK73" i="1"/>
  <c r="AZ78" i="1"/>
  <c r="AZ51" i="1"/>
  <c r="AZ65" i="1"/>
  <c r="AZ52" i="1"/>
  <c r="AY36" i="1"/>
  <c r="BK23" i="1"/>
  <c r="BJ28" i="1"/>
  <c r="AZ21" i="1"/>
  <c r="AY21" i="1"/>
  <c r="AY101" i="1"/>
  <c r="BJ31" i="1"/>
  <c r="BK42" i="1"/>
  <c r="AZ103" i="1"/>
  <c r="AY35" i="1"/>
  <c r="BK121" i="1"/>
  <c r="AX34" i="1"/>
  <c r="AY69" i="1"/>
  <c r="BK17" i="1"/>
  <c r="AY50" i="1"/>
  <c r="AZ54" i="1"/>
  <c r="BK15" i="1"/>
  <c r="AX91" i="1"/>
  <c r="BJ17" i="1"/>
  <c r="AY60" i="1"/>
  <c r="AX98" i="1"/>
  <c r="AY90" i="1"/>
  <c r="BK33" i="1"/>
  <c r="AZ30" i="1"/>
  <c r="AX86" i="1"/>
  <c r="BI18" i="1"/>
  <c r="AX8" i="1"/>
  <c r="AX47" i="1"/>
  <c r="BK16" i="1"/>
  <c r="AY94" i="1"/>
  <c r="BK94" i="1"/>
  <c r="AX31" i="1"/>
  <c r="BI67" i="1"/>
  <c r="BI47" i="1"/>
  <c r="BK13" i="1"/>
  <c r="BJ39" i="1"/>
  <c r="AX120" i="1"/>
  <c r="AX103" i="1"/>
  <c r="BD103" i="1" s="1"/>
  <c r="BJ101" i="1"/>
  <c r="BI19" i="1"/>
  <c r="BI23" i="1"/>
  <c r="AX106" i="1"/>
  <c r="BB106" i="1" s="1"/>
  <c r="AX62" i="1"/>
  <c r="BI59" i="1"/>
  <c r="BJ35" i="1"/>
  <c r="BK57" i="1"/>
  <c r="AY43" i="1"/>
  <c r="AX65" i="1"/>
  <c r="AX96" i="1"/>
  <c r="BC96" i="1" s="1"/>
  <c r="BK68" i="1"/>
  <c r="BJ27" i="1"/>
  <c r="AY24" i="1"/>
  <c r="AX135" i="1"/>
  <c r="AZ131" i="1"/>
  <c r="BI34" i="1"/>
  <c r="AX59" i="1"/>
  <c r="BJ87" i="1"/>
  <c r="BK31" i="1"/>
  <c r="AZ42" i="1"/>
  <c r="BJ93" i="1"/>
  <c r="BJ72" i="1"/>
  <c r="AX67" i="1"/>
  <c r="BI91" i="1"/>
  <c r="BI30" i="1"/>
  <c r="AX12" i="1"/>
  <c r="AY31" i="1"/>
  <c r="BK103" i="1"/>
  <c r="BK89" i="1"/>
  <c r="BJ117" i="1"/>
  <c r="BI112" i="1"/>
  <c r="BJ81" i="1"/>
  <c r="BK106" i="1"/>
  <c r="AX35" i="1"/>
  <c r="BK22" i="1"/>
  <c r="BI73" i="1"/>
  <c r="AZ113" i="1"/>
  <c r="AX133" i="11"/>
  <c r="BI133" i="11"/>
  <c r="AX135" i="11"/>
  <c r="BI135" i="11"/>
  <c r="BI122" i="11"/>
  <c r="AX122" i="11"/>
  <c r="AX101" i="11"/>
  <c r="BI101" i="11"/>
  <c r="BK84" i="11"/>
  <c r="AZ84" i="11"/>
  <c r="AV24" i="9"/>
  <c r="AX107" i="11"/>
  <c r="BI107" i="11"/>
  <c r="AZ92" i="11"/>
  <c r="BK92" i="11"/>
  <c r="AX75" i="11"/>
  <c r="BI75" i="11"/>
  <c r="BK78" i="11"/>
  <c r="AZ78" i="11"/>
  <c r="BK87" i="11"/>
  <c r="AZ87" i="11"/>
  <c r="AX99" i="11"/>
  <c r="BI99" i="11"/>
  <c r="AZ77" i="11"/>
  <c r="BK77" i="11"/>
  <c r="BI58" i="11"/>
  <c r="AX58" i="11"/>
  <c r="BI46" i="11"/>
  <c r="BK17" i="11"/>
  <c r="BI130" i="10"/>
  <c r="AX130" i="10"/>
  <c r="BB130" i="10" s="1"/>
  <c r="AZ124" i="10"/>
  <c r="BK124" i="10"/>
  <c r="AZ112" i="10"/>
  <c r="BC112" i="10" s="1"/>
  <c r="BK112" i="10"/>
  <c r="BU112" i="10"/>
  <c r="BK64" i="10"/>
  <c r="AZ64" i="10"/>
  <c r="BT95" i="10"/>
  <c r="BJ95" i="10"/>
  <c r="AY95" i="10"/>
  <c r="BU64" i="10"/>
  <c r="BJ97" i="10"/>
  <c r="AY97" i="10"/>
  <c r="BT97" i="10"/>
  <c r="BK35" i="10"/>
  <c r="AZ35" i="10"/>
  <c r="BS47" i="10"/>
  <c r="AY17" i="10"/>
  <c r="BT17" i="10"/>
  <c r="BJ17" i="10"/>
  <c r="BS28" i="10"/>
  <c r="BI134" i="1"/>
  <c r="AX134" i="1"/>
  <c r="AX10" i="10"/>
  <c r="BI10" i="10"/>
  <c r="AZ96" i="1"/>
  <c r="BD96" i="1" s="1"/>
  <c r="BK96" i="1"/>
  <c r="BK9" i="10"/>
  <c r="AZ9" i="10"/>
  <c r="BU9" i="10"/>
  <c r="BI42" i="1"/>
  <c r="AX42" i="1"/>
  <c r="AX20" i="1"/>
  <c r="BI20" i="1"/>
  <c r="J21" i="2"/>
  <c r="J20" i="2"/>
  <c r="AR20" i="9"/>
  <c r="AP23" i="9"/>
  <c r="AT17" i="9"/>
  <c r="AS21" i="9"/>
  <c r="BJ137" i="11"/>
  <c r="AY137" i="11"/>
  <c r="BT137" i="11"/>
  <c r="BK129" i="11"/>
  <c r="AZ129" i="11"/>
  <c r="BT85" i="11"/>
  <c r="BJ85" i="11"/>
  <c r="AY85" i="11"/>
  <c r="BK88" i="11"/>
  <c r="AZ88" i="11"/>
  <c r="AZ106" i="11"/>
  <c r="BK106" i="11"/>
  <c r="BJ74" i="11"/>
  <c r="AY74" i="11"/>
  <c r="BT74" i="11"/>
  <c r="BU75" i="11"/>
  <c r="AY84" i="11"/>
  <c r="BT84" i="11"/>
  <c r="BJ84" i="11"/>
  <c r="AY49" i="11"/>
  <c r="BJ49" i="11"/>
  <c r="AZ46" i="11"/>
  <c r="BC46" i="11" s="1"/>
  <c r="BK46" i="11"/>
  <c r="AX27" i="11"/>
  <c r="BI27" i="11"/>
  <c r="BS27" i="11"/>
  <c r="BT24" i="11"/>
  <c r="BJ24" i="11"/>
  <c r="AY24" i="11"/>
  <c r="AZ40" i="11"/>
  <c r="AX127" i="10"/>
  <c r="BI127" i="10"/>
  <c r="AX120" i="10"/>
  <c r="BI120" i="10"/>
  <c r="BI97" i="10"/>
  <c r="AX97" i="10"/>
  <c r="AX112" i="10"/>
  <c r="BI112" i="10"/>
  <c r="AX41" i="10"/>
  <c r="BI41" i="10"/>
  <c r="BT20" i="10"/>
  <c r="BJ20" i="10"/>
  <c r="AY33" i="10"/>
  <c r="BT33" i="10"/>
  <c r="BJ33" i="10"/>
  <c r="AY20" i="10"/>
  <c r="AX127" i="1"/>
  <c r="BI127" i="1"/>
  <c r="AY118" i="1"/>
  <c r="BJ118" i="1"/>
  <c r="BI80" i="1"/>
  <c r="AX80" i="1"/>
  <c r="AX48" i="1"/>
  <c r="BI48" i="1"/>
  <c r="AT16" i="9"/>
  <c r="AP21" i="9"/>
  <c r="AQ16" i="9"/>
  <c r="AP26" i="9"/>
  <c r="BS135" i="11"/>
  <c r="BK116" i="11"/>
  <c r="AZ116" i="11"/>
  <c r="BU116" i="11"/>
  <c r="BI91" i="11"/>
  <c r="AX91" i="11"/>
  <c r="BS91" i="11"/>
  <c r="BK70" i="11"/>
  <c r="AZ70" i="11"/>
  <c r="BU64" i="11"/>
  <c r="AZ64" i="11"/>
  <c r="BK64" i="11"/>
  <c r="BK59" i="11"/>
  <c r="AZ59" i="11"/>
  <c r="BK40" i="11"/>
  <c r="AZ24" i="11"/>
  <c r="BK24" i="11"/>
  <c r="AX110" i="10"/>
  <c r="BI110" i="10"/>
  <c r="BI93" i="10"/>
  <c r="AX93" i="10"/>
  <c r="AY90" i="10"/>
  <c r="BT90" i="10"/>
  <c r="BJ90" i="10"/>
  <c r="AX128" i="10"/>
  <c r="BI128" i="10"/>
  <c r="AX99" i="10"/>
  <c r="BI99" i="10"/>
  <c r="AZ36" i="10"/>
  <c r="BK36" i="10"/>
  <c r="BU36" i="10"/>
  <c r="BI58" i="10"/>
  <c r="AX58" i="10"/>
  <c r="BJ61" i="10"/>
  <c r="AY61" i="10"/>
  <c r="AX37" i="10"/>
  <c r="BI37" i="10"/>
  <c r="AX57" i="10"/>
  <c r="BI57" i="10"/>
  <c r="BS57" i="10"/>
  <c r="AX28" i="10"/>
  <c r="BI28" i="10"/>
  <c r="AY8" i="10"/>
  <c r="BJ8" i="10"/>
  <c r="AX11" i="10"/>
  <c r="BI11" i="10"/>
  <c r="BI125" i="1"/>
  <c r="BT18" i="10"/>
  <c r="AY18" i="10"/>
  <c r="BJ116" i="1"/>
  <c r="AY116" i="1"/>
  <c r="AC6" i="8"/>
  <c r="AE7" i="8"/>
  <c r="AE14" i="8"/>
  <c r="AB22" i="8"/>
  <c r="AF21" i="8"/>
  <c r="BK63" i="1"/>
  <c r="AZ63" i="1"/>
  <c r="Y13" i="2"/>
  <c r="Q13" i="2"/>
  <c r="K16" i="2"/>
  <c r="AQ20" i="9"/>
  <c r="BR24" i="9"/>
  <c r="BI24" i="9" a="1"/>
  <c r="BI24" i="9" s="1"/>
  <c r="AY24" i="9"/>
  <c r="BS122" i="11"/>
  <c r="BU98" i="11"/>
  <c r="AZ98" i="11"/>
  <c r="BK98" i="11"/>
  <c r="BI92" i="11"/>
  <c r="AX92" i="11"/>
  <c r="BT81" i="11"/>
  <c r="BJ81" i="11"/>
  <c r="AY81" i="11"/>
  <c r="BT104" i="11"/>
  <c r="BU71" i="11"/>
  <c r="BK71" i="11"/>
  <c r="AZ71" i="11"/>
  <c r="BK83" i="11"/>
  <c r="AZ83" i="11"/>
  <c r="BU83" i="11"/>
  <c r="BT27" i="11"/>
  <c r="BJ27" i="11"/>
  <c r="AY27" i="11"/>
  <c r="BD27" i="11" s="1"/>
  <c r="AZ113" i="11"/>
  <c r="BK113" i="11"/>
  <c r="BU117" i="11"/>
  <c r="AZ117" i="11"/>
  <c r="AZ125" i="11"/>
  <c r="BJ125" i="11"/>
  <c r="AY104" i="11"/>
  <c r="BU88" i="11"/>
  <c r="BK90" i="11"/>
  <c r="AZ90" i="11"/>
  <c r="BU90" i="11"/>
  <c r="BI44" i="11"/>
  <c r="AX44" i="11"/>
  <c r="AY94" i="11"/>
  <c r="BK14" i="11"/>
  <c r="AZ14" i="11"/>
  <c r="BI125" i="10"/>
  <c r="AX125" i="10"/>
  <c r="BI17" i="11"/>
  <c r="AX17" i="11"/>
  <c r="BJ129" i="10"/>
  <c r="BT129" i="10"/>
  <c r="AY129" i="10"/>
  <c r="BT119" i="10"/>
  <c r="BJ119" i="10"/>
  <c r="AY119" i="10"/>
  <c r="AZ103" i="10"/>
  <c r="BK103" i="10"/>
  <c r="BU103" i="10"/>
  <c r="AZ116" i="10"/>
  <c r="BK116" i="10"/>
  <c r="AX18" i="11"/>
  <c r="BI18" i="11"/>
  <c r="AY86" i="10"/>
  <c r="BT86" i="10"/>
  <c r="BJ86" i="10"/>
  <c r="BI74" i="10"/>
  <c r="AX10" i="11"/>
  <c r="BI10" i="11"/>
  <c r="BS10" i="11"/>
  <c r="AZ79" i="10"/>
  <c r="AX61" i="10"/>
  <c r="BI61" i="10"/>
  <c r="AX118" i="10"/>
  <c r="BI118" i="10"/>
  <c r="AH13" i="8"/>
  <c r="AX132" i="1"/>
  <c r="BI132" i="1"/>
  <c r="BK116" i="1"/>
  <c r="AZ116" i="1"/>
  <c r="BK64" i="1"/>
  <c r="AO14" i="9"/>
  <c r="AR21" i="9"/>
  <c r="BQ21" i="9" s="1"/>
  <c r="AT20" i="9"/>
  <c r="BI55" i="11"/>
  <c r="AX55" i="11"/>
  <c r="BJ117" i="11"/>
  <c r="AY117" i="11"/>
  <c r="BT117" i="11"/>
  <c r="BJ114" i="11"/>
  <c r="AY114" i="11"/>
  <c r="BC114" i="11" s="1"/>
  <c r="BT114" i="11"/>
  <c r="BI116" i="11"/>
  <c r="AX116" i="11"/>
  <c r="BK110" i="11"/>
  <c r="AZ110" i="11"/>
  <c r="BK125" i="11"/>
  <c r="BT125" i="11"/>
  <c r="BT105" i="11"/>
  <c r="BJ105" i="11"/>
  <c r="AZ82" i="11"/>
  <c r="BK82" i="11"/>
  <c r="AZ76" i="11"/>
  <c r="BK76" i="11"/>
  <c r="BI80" i="11"/>
  <c r="AX80" i="11"/>
  <c r="BI84" i="11"/>
  <c r="AX84" i="11"/>
  <c r="BB84" i="11" s="1"/>
  <c r="AY63" i="11"/>
  <c r="BT63" i="11"/>
  <c r="BJ63" i="11"/>
  <c r="BK51" i="11"/>
  <c r="AZ51" i="11"/>
  <c r="BJ39" i="11"/>
  <c r="AY39" i="11"/>
  <c r="BT39" i="11"/>
  <c r="BJ135" i="10"/>
  <c r="AY135" i="10"/>
  <c r="BT135" i="10"/>
  <c r="AX11" i="11"/>
  <c r="BI11" i="11"/>
  <c r="BU110" i="10"/>
  <c r="BK110" i="10"/>
  <c r="BU119" i="10"/>
  <c r="AZ119" i="10"/>
  <c r="BK119" i="10"/>
  <c r="AY123" i="10"/>
  <c r="BT123" i="10"/>
  <c r="BJ123" i="10"/>
  <c r="BS120" i="10"/>
  <c r="BI131" i="10"/>
  <c r="AX131" i="10"/>
  <c r="AY64" i="10"/>
  <c r="BT64" i="10"/>
  <c r="AY42" i="10"/>
  <c r="BT42" i="10"/>
  <c r="BJ42" i="10"/>
  <c r="AZ57" i="10"/>
  <c r="BD57" i="10" s="1"/>
  <c r="BK57" i="10"/>
  <c r="BK31" i="10"/>
  <c r="AZ31" i="10"/>
  <c r="BD31" i="10" s="1"/>
  <c r="AY37" i="10"/>
  <c r="BT37" i="10"/>
  <c r="BJ37" i="10"/>
  <c r="BI26" i="10"/>
  <c r="AX26" i="10"/>
  <c r="BT23" i="10"/>
  <c r="BJ23" i="10"/>
  <c r="AY23" i="10"/>
  <c r="AX139" i="1"/>
  <c r="BI139" i="1"/>
  <c r="BJ121" i="1"/>
  <c r="AY121" i="1"/>
  <c r="AX125" i="1"/>
  <c r="BI85" i="1"/>
  <c r="AX85" i="1"/>
  <c r="AY130" i="1"/>
  <c r="BJ130" i="1"/>
  <c r="AB8" i="8"/>
  <c r="AF12" i="8"/>
  <c r="AE20" i="8"/>
  <c r="BK101" i="1"/>
  <c r="AZ101" i="1"/>
  <c r="AZ46" i="1"/>
  <c r="BK46" i="1"/>
  <c r="AV20" i="9"/>
  <c r="AS15" i="9"/>
  <c r="AZ89" i="11"/>
  <c r="BK89" i="11"/>
  <c r="AX82" i="11"/>
  <c r="BI82" i="11"/>
  <c r="BS82" i="11"/>
  <c r="BK75" i="11"/>
  <c r="AZ75" i="11"/>
  <c r="BU59" i="11"/>
  <c r="AZ67" i="11"/>
  <c r="BK67" i="11"/>
  <c r="AY19" i="11"/>
  <c r="BT19" i="11"/>
  <c r="BJ19" i="11"/>
  <c r="BT8" i="11"/>
  <c r="AY8" i="11"/>
  <c r="BJ8" i="11"/>
  <c r="BI121" i="10"/>
  <c r="AX121" i="10"/>
  <c r="BS121" i="10"/>
  <c r="AX15" i="11"/>
  <c r="BI15" i="11"/>
  <c r="BK11" i="11"/>
  <c r="AY120" i="10"/>
  <c r="BT120" i="10"/>
  <c r="BJ120" i="10"/>
  <c r="BI81" i="10"/>
  <c r="AX81" i="10"/>
  <c r="BT68" i="10"/>
  <c r="BJ68" i="10"/>
  <c r="AY68" i="10"/>
  <c r="BI66" i="10"/>
  <c r="AX66" i="10"/>
  <c r="AY38" i="10"/>
  <c r="BT38" i="10"/>
  <c r="BJ38" i="10"/>
  <c r="AX29" i="10"/>
  <c r="BI29" i="10"/>
  <c r="BJ59" i="10"/>
  <c r="BT59" i="10"/>
  <c r="AY59" i="10"/>
  <c r="BI23" i="10"/>
  <c r="AX23" i="10"/>
  <c r="AX16" i="10"/>
  <c r="BI16" i="10"/>
  <c r="BS16" i="10"/>
  <c r="AY112" i="1"/>
  <c r="BJ112" i="1"/>
  <c r="BI120" i="1"/>
  <c r="AX112" i="1"/>
  <c r="AX12" i="10"/>
  <c r="BI12" i="10"/>
  <c r="AC13" i="8"/>
  <c r="BJ23" i="9" a="1"/>
  <c r="BJ23" i="9" s="1"/>
  <c r="BS23" i="9"/>
  <c r="AR7" i="9"/>
  <c r="AN25" i="9"/>
  <c r="BQ25" i="9" s="1"/>
  <c r="AX132" i="11"/>
  <c r="BS132" i="11"/>
  <c r="BI132" i="11"/>
  <c r="AV23" i="9"/>
  <c r="AZ23" i="9" s="1"/>
  <c r="AR14" i="9"/>
  <c r="BQ14" i="9" s="1"/>
  <c r="AQ23" i="9"/>
  <c r="AT7" i="9"/>
  <c r="AQ18" i="9"/>
  <c r="AN9" i="9"/>
  <c r="AQ12" i="9"/>
  <c r="AS8" i="9"/>
  <c r="AS9" i="9"/>
  <c r="BU130" i="11"/>
  <c r="AX125" i="11"/>
  <c r="BS116" i="11"/>
  <c r="BJ115" i="11"/>
  <c r="AX88" i="11"/>
  <c r="BI88" i="11"/>
  <c r="AY101" i="11"/>
  <c r="BT101" i="11"/>
  <c r="BJ101" i="11"/>
  <c r="AY57" i="11"/>
  <c r="BT57" i="11"/>
  <c r="BJ57" i="11"/>
  <c r="BU56" i="11"/>
  <c r="AZ56" i="11"/>
  <c r="AZ58" i="11"/>
  <c r="BK58" i="11"/>
  <c r="AZ38" i="11"/>
  <c r="BK38" i="11"/>
  <c r="BS52" i="11"/>
  <c r="AZ19" i="11"/>
  <c r="BK19" i="11"/>
  <c r="BI19" i="11"/>
  <c r="AX19" i="11"/>
  <c r="BS19" i="11"/>
  <c r="BU14" i="11"/>
  <c r="AZ11" i="11"/>
  <c r="AY116" i="10"/>
  <c r="BT116" i="10"/>
  <c r="BJ116" i="10"/>
  <c r="BI77" i="10"/>
  <c r="AX77" i="10"/>
  <c r="AZ117" i="10"/>
  <c r="BK117" i="10"/>
  <c r="BU117" i="10"/>
  <c r="AZ108" i="10"/>
  <c r="BK108" i="10"/>
  <c r="AZ70" i="10"/>
  <c r="BK70" i="10"/>
  <c r="BU70" i="10"/>
  <c r="BI103" i="10"/>
  <c r="AX103" i="10"/>
  <c r="BS103" i="10"/>
  <c r="AX139" i="10"/>
  <c r="AZ110" i="10"/>
  <c r="BU84" i="10"/>
  <c r="AZ94" i="10"/>
  <c r="BK94" i="10"/>
  <c r="BI55" i="10"/>
  <c r="AX55" i="10"/>
  <c r="BU51" i="10"/>
  <c r="AZ51" i="10"/>
  <c r="BC51" i="10" s="1"/>
  <c r="BK51" i="10"/>
  <c r="BK59" i="10"/>
  <c r="AZ59" i="10"/>
  <c r="AZ25" i="10"/>
  <c r="BK25" i="10"/>
  <c r="BU46" i="10"/>
  <c r="AZ46" i="10"/>
  <c r="BK46" i="10"/>
  <c r="BB31" i="10"/>
  <c r="BI22" i="10"/>
  <c r="AX22" i="10"/>
  <c r="BJ18" i="10"/>
  <c r="BJ9" i="10"/>
  <c r="BT9" i="10"/>
  <c r="AY9" i="10"/>
  <c r="AX130" i="1"/>
  <c r="BI130" i="1"/>
  <c r="AY111" i="1"/>
  <c r="BJ111" i="1"/>
  <c r="BK127" i="11"/>
  <c r="AZ127" i="11"/>
  <c r="BB127" i="11" s="1"/>
  <c r="BU127" i="11"/>
  <c r="AX115" i="11"/>
  <c r="BI115" i="11"/>
  <c r="AU9" i="9"/>
  <c r="AR22" i="9"/>
  <c r="AP14" i="9"/>
  <c r="AP9" i="9"/>
  <c r="AQ15" i="9"/>
  <c r="AQ25" i="9"/>
  <c r="BI138" i="11"/>
  <c r="AY118" i="11"/>
  <c r="BT118" i="11"/>
  <c r="BJ118" i="11"/>
  <c r="AY109" i="11"/>
  <c r="BT109" i="11"/>
  <c r="BJ109" i="11"/>
  <c r="BU106" i="11"/>
  <c r="BT115" i="11"/>
  <c r="AX81" i="11"/>
  <c r="BI81" i="11"/>
  <c r="AX93" i="11"/>
  <c r="BI93" i="11"/>
  <c r="AY83" i="11"/>
  <c r="BT83" i="11"/>
  <c r="BJ83" i="11"/>
  <c r="BK66" i="11"/>
  <c r="AZ66" i="11"/>
  <c r="BT54" i="11"/>
  <c r="BJ54" i="11"/>
  <c r="AY54" i="11"/>
  <c r="AX37" i="11"/>
  <c r="BI37" i="11"/>
  <c r="BT40" i="11"/>
  <c r="AX33" i="11"/>
  <c r="BD33" i="11" s="1"/>
  <c r="BI33" i="11"/>
  <c r="BI105" i="10"/>
  <c r="AX105" i="10"/>
  <c r="BS105" i="10"/>
  <c r="BJ113" i="10"/>
  <c r="AY113" i="10"/>
  <c r="BT113" i="10"/>
  <c r="BK89" i="10"/>
  <c r="AZ89" i="10"/>
  <c r="AY104" i="10"/>
  <c r="BT104" i="10"/>
  <c r="BJ104" i="10"/>
  <c r="AZ125" i="10"/>
  <c r="BK125" i="10"/>
  <c r="BJ64" i="10"/>
  <c r="BI54" i="10"/>
  <c r="AX54" i="10"/>
  <c r="AX52" i="10"/>
  <c r="BI52" i="10"/>
  <c r="BS77" i="10"/>
  <c r="AZ98" i="10"/>
  <c r="BK98" i="10"/>
  <c r="BI50" i="10"/>
  <c r="AX50" i="10"/>
  <c r="BS50" i="10"/>
  <c r="AG12" i="8"/>
  <c r="BT43" i="10"/>
  <c r="AY21" i="10"/>
  <c r="BT21" i="10"/>
  <c r="BJ21" i="10"/>
  <c r="AZ37" i="10"/>
  <c r="BK37" i="10"/>
  <c r="BU37" i="10"/>
  <c r="BT16" i="10"/>
  <c r="AZ107" i="1"/>
  <c r="BK107" i="1"/>
  <c r="AZ81" i="1"/>
  <c r="BK81" i="1"/>
  <c r="AY64" i="1"/>
  <c r="BJ64" i="1"/>
  <c r="BI44" i="1"/>
  <c r="AX44" i="1"/>
  <c r="BJ20" i="9" a="1"/>
  <c r="BJ20" i="9" s="1"/>
  <c r="AZ20" i="9"/>
  <c r="BS20" i="9"/>
  <c r="AO23" i="9"/>
  <c r="AO20" i="9"/>
  <c r="AP10" i="9"/>
  <c r="AN16" i="9"/>
  <c r="AP25" i="9"/>
  <c r="BK130" i="11"/>
  <c r="AZ130" i="11"/>
  <c r="AX57" i="11"/>
  <c r="BI57" i="11"/>
  <c r="BU70" i="11"/>
  <c r="BJ44" i="11"/>
  <c r="AY44" i="11"/>
  <c r="BT44" i="11"/>
  <c r="AX21" i="11"/>
  <c r="BI21" i="11"/>
  <c r="BI20" i="11"/>
  <c r="AX20" i="11"/>
  <c r="BK9" i="11"/>
  <c r="AZ9" i="11"/>
  <c r="BT115" i="10"/>
  <c r="BJ115" i="10"/>
  <c r="AY115" i="10"/>
  <c r="BJ121" i="10"/>
  <c r="AY121" i="10"/>
  <c r="BT121" i="10"/>
  <c r="BJ103" i="10"/>
  <c r="BT103" i="10"/>
  <c r="AY103" i="10"/>
  <c r="BJ109" i="10"/>
  <c r="AY109" i="10"/>
  <c r="BT109" i="10"/>
  <c r="BK113" i="10"/>
  <c r="AZ113" i="10"/>
  <c r="BU113" i="10"/>
  <c r="AY100" i="10"/>
  <c r="BT100" i="10"/>
  <c r="BJ100" i="10"/>
  <c r="AY84" i="10"/>
  <c r="BT84" i="10"/>
  <c r="BJ84" i="10"/>
  <c r="BK69" i="10"/>
  <c r="AZ69" i="10"/>
  <c r="BU69" i="10"/>
  <c r="BK67" i="10"/>
  <c r="AZ67" i="10"/>
  <c r="AZ84" i="10"/>
  <c r="BK84" i="10"/>
  <c r="BI63" i="10"/>
  <c r="AX63" i="10"/>
  <c r="BS63" i="10"/>
  <c r="AZ53" i="10"/>
  <c r="BK53" i="10"/>
  <c r="BT75" i="10"/>
  <c r="BJ75" i="10"/>
  <c r="AY75" i="10"/>
  <c r="AY26" i="10"/>
  <c r="BT26" i="10"/>
  <c r="BJ26" i="10"/>
  <c r="AZ14" i="10"/>
  <c r="BK14" i="10"/>
  <c r="BU14" i="10"/>
  <c r="AX47" i="10"/>
  <c r="BI47" i="10"/>
  <c r="AX117" i="1"/>
  <c r="BI117" i="1"/>
  <c r="AY137" i="1"/>
  <c r="BJ137" i="1"/>
  <c r="AX116" i="1"/>
  <c r="BI116" i="1"/>
  <c r="BJ99" i="1"/>
  <c r="AY99" i="1"/>
  <c r="BJ109" i="1"/>
  <c r="AY109" i="1"/>
  <c r="BI87" i="1"/>
  <c r="AX87" i="1"/>
  <c r="BK75" i="1"/>
  <c r="AZ75" i="1"/>
  <c r="AX71" i="1"/>
  <c r="BI71" i="1"/>
  <c r="BI77" i="11"/>
  <c r="AX77" i="11"/>
  <c r="BS133" i="11"/>
  <c r="BK103" i="11"/>
  <c r="AZ103" i="11"/>
  <c r="BK109" i="11"/>
  <c r="AZ109" i="11"/>
  <c r="AX113" i="11"/>
  <c r="BT77" i="11"/>
  <c r="AY77" i="11"/>
  <c r="BJ77" i="11"/>
  <c r="AZ118" i="11"/>
  <c r="BK118" i="11"/>
  <c r="AZ135" i="11"/>
  <c r="BK135" i="11"/>
  <c r="AZ104" i="11"/>
  <c r="BK104" i="11"/>
  <c r="AX98" i="11"/>
  <c r="BI98" i="11"/>
  <c r="BI119" i="11"/>
  <c r="AX119" i="11"/>
  <c r="AZ91" i="11"/>
  <c r="BK91" i="11"/>
  <c r="BU72" i="11"/>
  <c r="AZ72" i="11"/>
  <c r="BI76" i="11"/>
  <c r="AX76" i="11"/>
  <c r="BS76" i="11"/>
  <c r="BI56" i="11"/>
  <c r="AX56" i="11"/>
  <c r="BS56" i="11"/>
  <c r="BK62" i="11"/>
  <c r="AZ62" i="11"/>
  <c r="BU62" i="11"/>
  <c r="AX52" i="11"/>
  <c r="BI52" i="11"/>
  <c r="BK72" i="11"/>
  <c r="AY35" i="11"/>
  <c r="BT35" i="11"/>
  <c r="BJ35" i="11"/>
  <c r="AZ138" i="10"/>
  <c r="BK138" i="10"/>
  <c r="BI113" i="10"/>
  <c r="AX113" i="10"/>
  <c r="BB113" i="10" s="1"/>
  <c r="BU138" i="10"/>
  <c r="AX69" i="10"/>
  <c r="BI69" i="10"/>
  <c r="AX111" i="10"/>
  <c r="BI111" i="10"/>
  <c r="BS128" i="10"/>
  <c r="AZ118" i="10"/>
  <c r="BK118" i="10"/>
  <c r="AZ80" i="10"/>
  <c r="BK80" i="10"/>
  <c r="BT101" i="10"/>
  <c r="BJ101" i="10"/>
  <c r="AY101" i="10"/>
  <c r="AY62" i="10"/>
  <c r="BT62" i="10"/>
  <c r="BJ62" i="10"/>
  <c r="AX90" i="10"/>
  <c r="BI90" i="10"/>
  <c r="AY49" i="10"/>
  <c r="BT49" i="10"/>
  <c r="BT61" i="10"/>
  <c r="AG16" i="8"/>
  <c r="AC7" i="8"/>
  <c r="AX10" i="1"/>
  <c r="BI53" i="1"/>
  <c r="AX43" i="11"/>
  <c r="BI43" i="11"/>
  <c r="BI49" i="11"/>
  <c r="AY31" i="11"/>
  <c r="BT31" i="11"/>
  <c r="BJ31" i="11"/>
  <c r="BS57" i="11"/>
  <c r="BT21" i="11"/>
  <c r="BJ21" i="11"/>
  <c r="AY21" i="11"/>
  <c r="AX136" i="10"/>
  <c r="BI136" i="10"/>
  <c r="BS136" i="10"/>
  <c r="BI109" i="10"/>
  <c r="AX109" i="10"/>
  <c r="AX9" i="11"/>
  <c r="BI9" i="11"/>
  <c r="BI134" i="10"/>
  <c r="AX134" i="10"/>
  <c r="BT122" i="10"/>
  <c r="BJ122" i="10"/>
  <c r="AY122" i="10"/>
  <c r="AX102" i="10"/>
  <c r="BB102" i="10" s="1"/>
  <c r="BI102" i="10"/>
  <c r="BI100" i="10"/>
  <c r="AX100" i="10"/>
  <c r="BU87" i="10"/>
  <c r="BK87" i="10"/>
  <c r="AZ87" i="10"/>
  <c r="AZ122" i="10"/>
  <c r="BK122" i="10"/>
  <c r="AX49" i="10"/>
  <c r="BI49" i="10"/>
  <c r="BS49" i="10"/>
  <c r="AX13" i="11"/>
  <c r="BI13" i="11"/>
  <c r="BJ25" i="10"/>
  <c r="BT25" i="10"/>
  <c r="AY25" i="10"/>
  <c r="BS55" i="10"/>
  <c r="BJ47" i="10"/>
  <c r="BT47" i="10"/>
  <c r="BI126" i="1"/>
  <c r="AX126" i="1"/>
  <c r="AX14" i="10"/>
  <c r="BI14" i="10"/>
  <c r="BI131" i="1"/>
  <c r="AX131" i="1"/>
  <c r="AZ72" i="1"/>
  <c r="BK72" i="1"/>
  <c r="BJ133" i="1"/>
  <c r="AY133" i="1"/>
  <c r="AZ115" i="1"/>
  <c r="BK115" i="1"/>
  <c r="BI111" i="1"/>
  <c r="AX111" i="1"/>
  <c r="X4" i="2"/>
  <c r="J7" i="2"/>
  <c r="P4" i="2"/>
  <c r="AS22" i="9"/>
  <c r="AR9" i="9"/>
  <c r="BQ9" i="9" s="1"/>
  <c r="BK134" i="11"/>
  <c r="AZ134" i="11"/>
  <c r="AY135" i="11"/>
  <c r="BT135" i="11"/>
  <c r="BJ135" i="11"/>
  <c r="BI113" i="11"/>
  <c r="BK81" i="11"/>
  <c r="BU81" i="11"/>
  <c r="AZ81" i="11"/>
  <c r="BS92" i="11"/>
  <c r="AX54" i="11"/>
  <c r="BI54" i="11"/>
  <c r="AV25" i="9"/>
  <c r="AV13" i="9"/>
  <c r="AU24" i="9"/>
  <c r="AQ14" i="9"/>
  <c r="AU21" i="9"/>
  <c r="AV7" i="9"/>
  <c r="AV18" i="9"/>
  <c r="AR17" i="9"/>
  <c r="BQ17" i="9" s="1"/>
  <c r="AN13" i="9"/>
  <c r="AO16" i="9"/>
  <c r="AO19" i="9"/>
  <c r="AX19" i="9" s="1"/>
  <c r="AP17" i="9"/>
  <c r="AS23" i="9"/>
  <c r="AT10" i="9"/>
  <c r="AT25" i="9"/>
  <c r="AZ138" i="11"/>
  <c r="BK138" i="11"/>
  <c r="BT127" i="11"/>
  <c r="BJ127" i="11"/>
  <c r="AY127" i="11"/>
  <c r="BK131" i="11"/>
  <c r="AZ131" i="11"/>
  <c r="BK122" i="11"/>
  <c r="AZ122" i="11"/>
  <c r="BD122" i="11" s="1"/>
  <c r="BK97" i="11"/>
  <c r="AZ97" i="11"/>
  <c r="AZ101" i="11"/>
  <c r="BK101" i="11"/>
  <c r="BU89" i="11"/>
  <c r="BI105" i="11"/>
  <c r="AX105" i="11"/>
  <c r="AX87" i="11"/>
  <c r="BI87" i="11"/>
  <c r="AX65" i="11"/>
  <c r="BS77" i="11"/>
  <c r="BT36" i="11"/>
  <c r="BJ36" i="11"/>
  <c r="AY36" i="11"/>
  <c r="BJ48" i="11"/>
  <c r="BT48" i="11"/>
  <c r="AY48" i="11"/>
  <c r="BK53" i="11"/>
  <c r="AZ53" i="11"/>
  <c r="AY34" i="11"/>
  <c r="BT34" i="11"/>
  <c r="BJ34" i="11"/>
  <c r="BU38" i="11"/>
  <c r="AZ17" i="11"/>
  <c r="BT12" i="11"/>
  <c r="AY12" i="11"/>
  <c r="BJ12" i="11"/>
  <c r="BT11" i="11"/>
  <c r="AY11" i="11"/>
  <c r="BJ11" i="11"/>
  <c r="BT110" i="10"/>
  <c r="BJ110" i="10"/>
  <c r="AY110" i="10"/>
  <c r="BK15" i="11"/>
  <c r="AZ15" i="11"/>
  <c r="BT133" i="10"/>
  <c r="AY133" i="10"/>
  <c r="BJ133" i="10"/>
  <c r="BK81" i="10"/>
  <c r="AZ81" i="10"/>
  <c r="AX87" i="10"/>
  <c r="BI87" i="10"/>
  <c r="AX79" i="10"/>
  <c r="BI79" i="10"/>
  <c r="AY60" i="10"/>
  <c r="BT60" i="10"/>
  <c r="BJ60" i="10"/>
  <c r="AZ114" i="10"/>
  <c r="BK114" i="10"/>
  <c r="AY32" i="10"/>
  <c r="BT32" i="10"/>
  <c r="BJ32" i="10"/>
  <c r="AY48" i="10"/>
  <c r="BJ48" i="10"/>
  <c r="AX44" i="10"/>
  <c r="BB44" i="10" s="1"/>
  <c r="BI44" i="10"/>
  <c r="AX60" i="10"/>
  <c r="BI60" i="10"/>
  <c r="AX40" i="10"/>
  <c r="BI40" i="10"/>
  <c r="BJ11" i="10"/>
  <c r="BT11" i="10"/>
  <c r="AY11" i="10"/>
  <c r="BS11" i="10"/>
  <c r="AX56" i="10"/>
  <c r="BI56" i="10"/>
  <c r="AZ41" i="10"/>
  <c r="BD41" i="10" s="1"/>
  <c r="BK41" i="10"/>
  <c r="AX17" i="10"/>
  <c r="BI135" i="1"/>
  <c r="AZ112" i="1"/>
  <c r="BK112" i="1"/>
  <c r="BI68" i="1"/>
  <c r="AX68" i="1"/>
  <c r="BI90" i="1"/>
  <c r="AY89" i="1"/>
  <c r="BJ89" i="1"/>
  <c r="BJ49" i="1"/>
  <c r="AY49" i="1"/>
  <c r="AE15" i="8"/>
  <c r="AY41" i="1"/>
  <c r="BJ41" i="1"/>
  <c r="L11" i="2"/>
  <c r="I16" i="2"/>
  <c r="L16" i="2" s="1"/>
  <c r="W11" i="2"/>
  <c r="Z11" i="2" s="1"/>
  <c r="BI104" i="1"/>
  <c r="AX104" i="1"/>
  <c r="AX81" i="1"/>
  <c r="BI81" i="1"/>
  <c r="BI63" i="1"/>
  <c r="AX63" i="1"/>
  <c r="BJ45" i="1"/>
  <c r="AY45" i="1"/>
  <c r="AX90" i="1"/>
  <c r="BK44" i="1"/>
  <c r="AZ44" i="1"/>
  <c r="AY18" i="1"/>
  <c r="BJ18" i="1"/>
  <c r="BI64" i="1"/>
  <c r="AX64" i="1"/>
  <c r="AF13" i="8"/>
  <c r="AE11" i="8"/>
  <c r="BJ80" i="1"/>
  <c r="AY80" i="1"/>
  <c r="BI98" i="1"/>
  <c r="AU26" i="9"/>
  <c r="AP8" i="9"/>
  <c r="AV21" i="9"/>
  <c r="AS11" i="9"/>
  <c r="AV12" i="9"/>
  <c r="AN10" i="9"/>
  <c r="AR23" i="9"/>
  <c r="BQ23" i="9" s="1"/>
  <c r="AP24" i="9"/>
  <c r="AN22" i="9"/>
  <c r="AP19" i="9"/>
  <c r="AQ26" i="9"/>
  <c r="AT23" i="9"/>
  <c r="AT18" i="9"/>
  <c r="AZ132" i="11"/>
  <c r="BD132" i="11" s="1"/>
  <c r="BK132" i="11"/>
  <c r="BU138" i="11"/>
  <c r="AX129" i="11"/>
  <c r="BB129" i="11" s="1"/>
  <c r="BI129" i="11"/>
  <c r="BU122" i="11"/>
  <c r="BI95" i="11"/>
  <c r="AX95" i="11"/>
  <c r="AX118" i="11"/>
  <c r="BI118" i="11"/>
  <c r="BU135" i="11"/>
  <c r="BU104" i="11"/>
  <c r="AX104" i="11"/>
  <c r="BI104" i="11"/>
  <c r="BS104" i="11"/>
  <c r="BS87" i="11"/>
  <c r="BJ112" i="11"/>
  <c r="AX85" i="11"/>
  <c r="BI85" i="11"/>
  <c r="BI117" i="11"/>
  <c r="AX117" i="11"/>
  <c r="AY107" i="11"/>
  <c r="BC107" i="11" s="1"/>
  <c r="BT107" i="11"/>
  <c r="BJ107" i="11"/>
  <c r="BS109" i="11"/>
  <c r="AX106" i="11"/>
  <c r="BI106" i="11"/>
  <c r="BU99" i="11"/>
  <c r="BS75" i="11"/>
  <c r="BT68" i="11"/>
  <c r="BJ68" i="11"/>
  <c r="AY68" i="11"/>
  <c r="BU69" i="11"/>
  <c r="BT33" i="11"/>
  <c r="BJ33" i="11"/>
  <c r="AY33" i="11"/>
  <c r="AY52" i="11"/>
  <c r="BJ52" i="11"/>
  <c r="BT52" i="11"/>
  <c r="AZ47" i="11"/>
  <c r="BD47" i="11" s="1"/>
  <c r="BK47" i="11"/>
  <c r="BS55" i="11"/>
  <c r="AY25" i="11"/>
  <c r="BT25" i="11"/>
  <c r="BJ25" i="11"/>
  <c r="BT41" i="11"/>
  <c r="BJ41" i="11"/>
  <c r="AY41" i="11"/>
  <c r="BI51" i="11"/>
  <c r="AX51" i="11"/>
  <c r="BT26" i="11"/>
  <c r="BJ26" i="11"/>
  <c r="AY26" i="11"/>
  <c r="BI39" i="11"/>
  <c r="AX39" i="11"/>
  <c r="BS20" i="11"/>
  <c r="AZ79" i="11"/>
  <c r="BK79" i="11"/>
  <c r="BS16" i="11"/>
  <c r="BT10" i="11"/>
  <c r="AY10" i="11"/>
  <c r="BJ10" i="11"/>
  <c r="BK8" i="11"/>
  <c r="AZ8" i="11"/>
  <c r="BI117" i="10"/>
  <c r="AX117" i="10"/>
  <c r="BT9" i="11"/>
  <c r="AY9" i="11"/>
  <c r="BJ9" i="11"/>
  <c r="AX8" i="11"/>
  <c r="BI8" i="11"/>
  <c r="AX119" i="10"/>
  <c r="BB119" i="10" s="1"/>
  <c r="BI119" i="10"/>
  <c r="BS133" i="10"/>
  <c r="AX116" i="10"/>
  <c r="BI116" i="10"/>
  <c r="BK135" i="10"/>
  <c r="BI89" i="10"/>
  <c r="AX89" i="10"/>
  <c r="BT118" i="10"/>
  <c r="BJ118" i="10"/>
  <c r="AY118" i="10"/>
  <c r="AY124" i="10"/>
  <c r="BT124" i="10"/>
  <c r="BJ124" i="10"/>
  <c r="BU94" i="10"/>
  <c r="BI68" i="10"/>
  <c r="AX68" i="10"/>
  <c r="BB68" i="10" s="1"/>
  <c r="BU81" i="10"/>
  <c r="AZ106" i="10"/>
  <c r="BJ138" i="10"/>
  <c r="BI92" i="10"/>
  <c r="AX92" i="10"/>
  <c r="BU71" i="10"/>
  <c r="BU125" i="10"/>
  <c r="BK63" i="10"/>
  <c r="AZ63" i="10"/>
  <c r="AY34" i="10"/>
  <c r="BT34" i="10"/>
  <c r="BJ34" i="10"/>
  <c r="BJ55" i="10"/>
  <c r="AY55" i="10"/>
  <c r="BT55" i="10"/>
  <c r="AX114" i="10"/>
  <c r="BI114" i="10"/>
  <c r="BI62" i="10"/>
  <c r="AX62" i="10"/>
  <c r="AZ52" i="10"/>
  <c r="BK52" i="10"/>
  <c r="BT22" i="10"/>
  <c r="AY22" i="10"/>
  <c r="BJ22" i="10"/>
  <c r="BS92" i="10"/>
  <c r="BU60" i="10"/>
  <c r="BK60" i="10"/>
  <c r="AX33" i="10"/>
  <c r="BI33" i="10"/>
  <c r="BU57" i="10"/>
  <c r="BJ93" i="10"/>
  <c r="AY93" i="10"/>
  <c r="BT93" i="10"/>
  <c r="AX48" i="10"/>
  <c r="BD48" i="10" s="1"/>
  <c r="BS97" i="10"/>
  <c r="BK61" i="10"/>
  <c r="BI27" i="10"/>
  <c r="AX27" i="10"/>
  <c r="BI19" i="10"/>
  <c r="AX19" i="10"/>
  <c r="BC19" i="10" s="1"/>
  <c r="AH25" i="8"/>
  <c r="BT13" i="10"/>
  <c r="BJ13" i="10"/>
  <c r="AY13" i="10"/>
  <c r="BI24" i="10"/>
  <c r="AX24" i="10"/>
  <c r="AH24" i="8"/>
  <c r="BI30" i="10"/>
  <c r="AX30" i="10"/>
  <c r="BI138" i="1"/>
  <c r="AX138" i="1"/>
  <c r="BT41" i="10"/>
  <c r="AG23" i="8"/>
  <c r="AZ15" i="10"/>
  <c r="BK15" i="10"/>
  <c r="BJ107" i="1"/>
  <c r="AY107" i="1"/>
  <c r="BK10" i="10"/>
  <c r="AZ10" i="10"/>
  <c r="BU10" i="10"/>
  <c r="BK28" i="10"/>
  <c r="BK128" i="1"/>
  <c r="AZ128" i="1"/>
  <c r="BI109" i="1"/>
  <c r="AX109" i="1"/>
  <c r="BJ14" i="10"/>
  <c r="AZ130" i="1"/>
  <c r="BK130" i="1"/>
  <c r="BS15" i="10"/>
  <c r="AC18" i="8"/>
  <c r="AX8" i="10"/>
  <c r="BI8" i="10"/>
  <c r="AZ127" i="1"/>
  <c r="BK127" i="1"/>
  <c r="AB13" i="8"/>
  <c r="AE18" i="8"/>
  <c r="AB20" i="8"/>
  <c r="AD14" i="8"/>
  <c r="AF9" i="8"/>
  <c r="AC16" i="8"/>
  <c r="AB12" i="8"/>
  <c r="BK77" i="1"/>
  <c r="AZ77" i="1"/>
  <c r="AZ79" i="1"/>
  <c r="BK79" i="1"/>
  <c r="AZ59" i="1"/>
  <c r="BK59" i="1"/>
  <c r="AZ85" i="1"/>
  <c r="BK85" i="1"/>
  <c r="AX72" i="1"/>
  <c r="BI72" i="1"/>
  <c r="BK56" i="1"/>
  <c r="AZ56" i="1"/>
  <c r="BI37" i="1"/>
  <c r="AX37" i="1"/>
  <c r="BI16" i="1"/>
  <c r="AX16" i="1"/>
  <c r="BI61" i="1"/>
  <c r="AX61" i="1"/>
  <c r="AX39" i="10"/>
  <c r="BI39" i="10"/>
  <c r="BK99" i="1"/>
  <c r="AZ99" i="1"/>
  <c r="AY62" i="1"/>
  <c r="BJ62" i="1"/>
  <c r="AZ36" i="1"/>
  <c r="BK36" i="1"/>
  <c r="BJ108" i="1"/>
  <c r="AY108" i="1"/>
  <c r="BI108" i="1"/>
  <c r="AX108" i="1"/>
  <c r="AY105" i="1"/>
  <c r="BJ105" i="1"/>
  <c r="BK9" i="1"/>
  <c r="X12" i="2"/>
  <c r="P12" i="2"/>
  <c r="AX53" i="1"/>
  <c r="AC21" i="8"/>
  <c r="AO12" i="9"/>
  <c r="AU19" i="9"/>
  <c r="AQ8" i="9"/>
  <c r="AV17" i="9"/>
  <c r="AQ7" i="9"/>
  <c r="AQ17" i="9"/>
  <c r="AR19" i="9"/>
  <c r="BQ19" i="9" s="1"/>
  <c r="AR10" i="9"/>
  <c r="AQ11" i="9"/>
  <c r="AO9" i="9"/>
  <c r="AN24" i="9"/>
  <c r="AO13" i="9"/>
  <c r="AR24" i="9"/>
  <c r="BQ24" i="9" s="1"/>
  <c r="AP22" i="9"/>
  <c r="AU18" i="9"/>
  <c r="AT26" i="9"/>
  <c r="AT21" i="9"/>
  <c r="BU132" i="11"/>
  <c r="BU131" i="11"/>
  <c r="BK136" i="11"/>
  <c r="BU136" i="11"/>
  <c r="AZ136" i="11"/>
  <c r="BB139" i="11"/>
  <c r="AY128" i="11"/>
  <c r="BT128" i="11"/>
  <c r="BJ128" i="11"/>
  <c r="BK123" i="11"/>
  <c r="AZ123" i="11"/>
  <c r="BT126" i="11"/>
  <c r="BJ126" i="11"/>
  <c r="AY126" i="11"/>
  <c r="AZ121" i="11"/>
  <c r="BK121" i="11"/>
  <c r="BK133" i="11"/>
  <c r="AZ133" i="11"/>
  <c r="BK120" i="11"/>
  <c r="AZ120" i="11"/>
  <c r="BT116" i="11"/>
  <c r="BJ116" i="11"/>
  <c r="AY116" i="11"/>
  <c r="BK100" i="11"/>
  <c r="AZ100" i="11"/>
  <c r="BU110" i="11"/>
  <c r="BS102" i="11"/>
  <c r="BS88" i="11"/>
  <c r="BK108" i="11"/>
  <c r="AZ108" i="11"/>
  <c r="BI108" i="11"/>
  <c r="AX108" i="11"/>
  <c r="AY82" i="11"/>
  <c r="BT82" i="11"/>
  <c r="BJ82" i="11"/>
  <c r="BS80" i="11"/>
  <c r="AY87" i="11"/>
  <c r="BT87" i="11"/>
  <c r="BJ87" i="11"/>
  <c r="BS71" i="11"/>
  <c r="BT75" i="11"/>
  <c r="BJ75" i="11"/>
  <c r="AY75" i="11"/>
  <c r="BU58" i="11"/>
  <c r="BT67" i="11"/>
  <c r="BJ67" i="11"/>
  <c r="AY67" i="11"/>
  <c r="BS68" i="11"/>
  <c r="BU77" i="11"/>
  <c r="AZ52" i="11"/>
  <c r="BK52" i="11"/>
  <c r="AX59" i="11"/>
  <c r="BB59" i="11" s="1"/>
  <c r="BI59" i="11"/>
  <c r="BT30" i="11"/>
  <c r="BJ30" i="11"/>
  <c r="AY30" i="11"/>
  <c r="BS50" i="11"/>
  <c r="AZ54" i="11"/>
  <c r="BS66" i="11"/>
  <c r="AX25" i="11"/>
  <c r="BI25" i="11"/>
  <c r="AZ22" i="11"/>
  <c r="BK22" i="11"/>
  <c r="BI42" i="11"/>
  <c r="AX42" i="11"/>
  <c r="BS51" i="11"/>
  <c r="BK39" i="11"/>
  <c r="BS79" i="11"/>
  <c r="BU24" i="11"/>
  <c r="BK139" i="10"/>
  <c r="AZ139" i="10"/>
  <c r="BS15" i="11"/>
  <c r="BT16" i="11"/>
  <c r="AY16" i="11"/>
  <c r="BJ16" i="11"/>
  <c r="BI26" i="11"/>
  <c r="AX26" i="11"/>
  <c r="AX12" i="11"/>
  <c r="BI12" i="11"/>
  <c r="BU52" i="11"/>
  <c r="BS33" i="11"/>
  <c r="BK44" i="11"/>
  <c r="AX126" i="10"/>
  <c r="BB126" i="10" s="1"/>
  <c r="BI126" i="10"/>
  <c r="AX123" i="10"/>
  <c r="BI123" i="10"/>
  <c r="BS22" i="11"/>
  <c r="BI85" i="10"/>
  <c r="AX85" i="10"/>
  <c r="AY94" i="10"/>
  <c r="BT94" i="10"/>
  <c r="BJ94" i="10"/>
  <c r="BT114" i="10"/>
  <c r="BJ114" i="10"/>
  <c r="AY114" i="10"/>
  <c r="BS112" i="10"/>
  <c r="BK65" i="10"/>
  <c r="AZ65" i="10"/>
  <c r="AY96" i="10"/>
  <c r="BT96" i="10"/>
  <c r="BJ96" i="10"/>
  <c r="AY80" i="10"/>
  <c r="BT80" i="10"/>
  <c r="BJ80" i="10"/>
  <c r="BK85" i="10"/>
  <c r="AZ85" i="10"/>
  <c r="BI84" i="10"/>
  <c r="AX84" i="10"/>
  <c r="BI76" i="10"/>
  <c r="AX76" i="10"/>
  <c r="AZ10" i="11"/>
  <c r="BK10" i="11"/>
  <c r="AZ88" i="10"/>
  <c r="BU63" i="10"/>
  <c r="BU31" i="10"/>
  <c r="BS54" i="10"/>
  <c r="BS51" i="10"/>
  <c r="AZ90" i="10"/>
  <c r="BD90" i="10" s="1"/>
  <c r="BK90" i="10"/>
  <c r="BK127" i="10"/>
  <c r="BS89" i="10"/>
  <c r="BS93" i="10"/>
  <c r="BS56" i="10"/>
  <c r="AX82" i="10"/>
  <c r="BI82" i="10"/>
  <c r="BU47" i="10"/>
  <c r="AZ61" i="10"/>
  <c r="BS118" i="10"/>
  <c r="BI38" i="10"/>
  <c r="AX38" i="10"/>
  <c r="BS59" i="10"/>
  <c r="BI18" i="10"/>
  <c r="AX18" i="10"/>
  <c r="AH19" i="8"/>
  <c r="BJ12" i="10"/>
  <c r="BT12" i="10"/>
  <c r="AY12" i="10"/>
  <c r="AX21" i="10"/>
  <c r="BB21" i="10" s="1"/>
  <c r="AH18" i="8"/>
  <c r="BI46" i="10"/>
  <c r="AX46" i="10"/>
  <c r="AG17" i="8"/>
  <c r="AZ19" i="10"/>
  <c r="BK19" i="10"/>
  <c r="BK11" i="10"/>
  <c r="AZ11" i="10"/>
  <c r="BJ126" i="1"/>
  <c r="AY126" i="1"/>
  <c r="BK8" i="10"/>
  <c r="AZ8" i="10"/>
  <c r="AZ125" i="1"/>
  <c r="BK125" i="1"/>
  <c r="AZ28" i="10"/>
  <c r="BI102" i="1"/>
  <c r="AX102" i="1"/>
  <c r="BI113" i="1"/>
  <c r="AX113" i="1"/>
  <c r="BT15" i="10"/>
  <c r="AY15" i="10"/>
  <c r="BJ15" i="10"/>
  <c r="AC9" i="8"/>
  <c r="AY120" i="1"/>
  <c r="BJ120" i="1"/>
  <c r="BJ114" i="1"/>
  <c r="AY114" i="1"/>
  <c r="AE23" i="8"/>
  <c r="AY124" i="1"/>
  <c r="BJ124" i="1"/>
  <c r="BK12" i="10"/>
  <c r="AZ12" i="10"/>
  <c r="AF17" i="8"/>
  <c r="AC19" i="8"/>
  <c r="AF24" i="8"/>
  <c r="AB15" i="8"/>
  <c r="AD10" i="8"/>
  <c r="AE21" i="8"/>
  <c r="AE16" i="8"/>
  <c r="AY102" i="1"/>
  <c r="BJ102" i="1"/>
  <c r="AX82" i="1"/>
  <c r="BI82" i="1"/>
  <c r="AX70" i="1"/>
  <c r="BI70" i="1"/>
  <c r="AY54" i="1"/>
  <c r="BJ54" i="1"/>
  <c r="W13" i="2"/>
  <c r="O13" i="2"/>
  <c r="BJ104" i="1"/>
  <c r="AY104" i="1"/>
  <c r="BI62" i="1"/>
  <c r="AZ102" i="1"/>
  <c r="BK102" i="1"/>
  <c r="AY76" i="1"/>
  <c r="BJ76" i="1"/>
  <c r="AD12" i="8"/>
  <c r="BK87" i="1"/>
  <c r="AZ87" i="1"/>
  <c r="BI29" i="1"/>
  <c r="AX29" i="1"/>
  <c r="AY40" i="1"/>
  <c r="BJ40" i="1"/>
  <c r="BJ97" i="1"/>
  <c r="AY97" i="1"/>
  <c r="AZ32" i="1"/>
  <c r="BK32" i="1"/>
  <c r="AY34" i="1"/>
  <c r="BC34" i="1" s="1"/>
  <c r="BJ34" i="1"/>
  <c r="BI75" i="1"/>
  <c r="AX75" i="1"/>
  <c r="AY46" i="1"/>
  <c r="BJ46" i="1"/>
  <c r="AX21" i="1"/>
  <c r="BI21" i="1"/>
  <c r="BK80" i="1"/>
  <c r="AZ80" i="1"/>
  <c r="AZ60" i="1"/>
  <c r="BK60" i="1"/>
  <c r="AY11" i="1"/>
  <c r="BJ11" i="1"/>
  <c r="P15" i="2"/>
  <c r="X15" i="2"/>
  <c r="AY44" i="1"/>
  <c r="BI12" i="1"/>
  <c r="AY51" i="1"/>
  <c r="AG7" i="8"/>
  <c r="BK136" i="1"/>
  <c r="AZ136" i="1"/>
  <c r="BI114" i="1"/>
  <c r="AX114" i="1"/>
  <c r="AY86" i="1"/>
  <c r="BJ86" i="1"/>
  <c r="AB7" i="8"/>
  <c r="AX123" i="1"/>
  <c r="BI123" i="1"/>
  <c r="AD18" i="8"/>
  <c r="AE24" i="8"/>
  <c r="AF19" i="8"/>
  <c r="AB11" i="8"/>
  <c r="AC22" i="8"/>
  <c r="AC17" i="8"/>
  <c r="BK23" i="10"/>
  <c r="AZ23" i="10"/>
  <c r="BD23" i="10" s="1"/>
  <c r="BI92" i="1"/>
  <c r="AX92" i="1"/>
  <c r="AZ76" i="1"/>
  <c r="BK76" i="1"/>
  <c r="AX57" i="1"/>
  <c r="BI57" i="1"/>
  <c r="BI52" i="1"/>
  <c r="AX52" i="1"/>
  <c r="BB52" i="1" s="1"/>
  <c r="AY100" i="1"/>
  <c r="BJ100" i="1"/>
  <c r="AY58" i="1"/>
  <c r="BJ58" i="1"/>
  <c r="AZ83" i="1"/>
  <c r="BK83" i="1"/>
  <c r="AZ39" i="1"/>
  <c r="BK39" i="1"/>
  <c r="BI133" i="1"/>
  <c r="AX133" i="1"/>
  <c r="BI103" i="1"/>
  <c r="AZ93" i="1"/>
  <c r="BK93" i="1"/>
  <c r="BI41" i="1"/>
  <c r="AX41" i="1"/>
  <c r="BD41" i="1" s="1"/>
  <c r="BJ61" i="1"/>
  <c r="AY61" i="1"/>
  <c r="AZ45" i="1"/>
  <c r="BK45" i="1"/>
  <c r="AZ105" i="1"/>
  <c r="BK105" i="1"/>
  <c r="BJ42" i="1"/>
  <c r="AY42" i="1"/>
  <c r="BC31" i="1"/>
  <c r="Q5" i="2"/>
  <c r="Q7" i="2" s="1"/>
  <c r="Y5" i="2"/>
  <c r="AZ37" i="1"/>
  <c r="AX39" i="1"/>
  <c r="BJ39" i="10"/>
  <c r="AY39" i="10"/>
  <c r="BT39" i="10"/>
  <c r="AG22" i="8"/>
  <c r="AY123" i="1"/>
  <c r="BJ123" i="1"/>
  <c r="AZ129" i="1"/>
  <c r="BK129" i="1"/>
  <c r="BI121" i="1"/>
  <c r="AX121" i="1"/>
  <c r="BB121" i="1" s="1"/>
  <c r="AY125" i="1"/>
  <c r="BJ125" i="1"/>
  <c r="AZ98" i="1"/>
  <c r="BK98" i="1"/>
  <c r="AX15" i="10"/>
  <c r="BI15" i="10"/>
  <c r="AY139" i="1"/>
  <c r="BJ139" i="1"/>
  <c r="AZ137" i="1"/>
  <c r="BK137" i="1"/>
  <c r="BI122" i="1"/>
  <c r="AX122" i="1"/>
  <c r="AB19" i="8"/>
  <c r="AC25" i="8"/>
  <c r="AE13" i="8"/>
  <c r="AD20" i="8"/>
  <c r="AF14" i="8"/>
  <c r="AF10" i="8"/>
  <c r="AE22" i="8"/>
  <c r="BK97" i="1"/>
  <c r="AE17" i="8"/>
  <c r="AZ100" i="1"/>
  <c r="BK100" i="1"/>
  <c r="AY84" i="1"/>
  <c r="BJ84" i="1"/>
  <c r="AX60" i="1"/>
  <c r="BI60" i="1"/>
  <c r="BK122" i="1"/>
  <c r="BJ71" i="1"/>
  <c r="AY71" i="1"/>
  <c r="BJ56" i="1"/>
  <c r="AY56" i="1"/>
  <c r="AX58" i="1"/>
  <c r="BI58" i="1"/>
  <c r="AZ62" i="1"/>
  <c r="BK62" i="1"/>
  <c r="AY77" i="1"/>
  <c r="BJ77" i="1"/>
  <c r="AY55" i="1"/>
  <c r="BJ55" i="1"/>
  <c r="AY30" i="1"/>
  <c r="BC30" i="1" s="1"/>
  <c r="BJ30" i="1"/>
  <c r="Q14" i="2"/>
  <c r="Y14" i="2"/>
  <c r="AY22" i="1"/>
  <c r="BJ22" i="1"/>
  <c r="AX14" i="1"/>
  <c r="BB14" i="1" s="1"/>
  <c r="BI14" i="1"/>
  <c r="BC106" i="1"/>
  <c r="BI78" i="1"/>
  <c r="AX78" i="1"/>
  <c r="AX40" i="1"/>
  <c r="BI40" i="1"/>
  <c r="BI86" i="1"/>
  <c r="Q6" i="2"/>
  <c r="Y6" i="2"/>
  <c r="BI8" i="1"/>
  <c r="AZ19" i="1"/>
  <c r="BI10" i="1"/>
  <c r="AG20" i="8"/>
  <c r="BJ10" i="10"/>
  <c r="BT10" i="10"/>
  <c r="AY10" i="10"/>
  <c r="BS41" i="10"/>
  <c r="AV11" i="9"/>
  <c r="AV26" i="9"/>
  <c r="AN20" i="9"/>
  <c r="AU13" i="9"/>
  <c r="AS13" i="9"/>
  <c r="AV16" i="9"/>
  <c r="AV8" i="9"/>
  <c r="BS8" i="9" s="1"/>
  <c r="AO8" i="9"/>
  <c r="AO18" i="9"/>
  <c r="AQ21" i="9"/>
  <c r="AO11" i="9"/>
  <c r="AN26" i="9"/>
  <c r="BQ26" i="9" s="1"/>
  <c r="AR8" i="9"/>
  <c r="AS10" i="9"/>
  <c r="AT11" i="9"/>
  <c r="BJ130" i="11"/>
  <c r="AY130" i="11"/>
  <c r="BT130" i="11"/>
  <c r="BU114" i="11"/>
  <c r="BK114" i="11"/>
  <c r="AX124" i="11"/>
  <c r="BI124" i="11"/>
  <c r="BS128" i="11"/>
  <c r="AX121" i="11"/>
  <c r="BB121" i="11" s="1"/>
  <c r="BI121" i="11"/>
  <c r="BU113" i="11"/>
  <c r="BI111" i="11"/>
  <c r="AX111" i="11"/>
  <c r="BI123" i="11"/>
  <c r="AX123" i="11"/>
  <c r="AY124" i="11"/>
  <c r="BT124" i="11"/>
  <c r="BJ124" i="11"/>
  <c r="BK119" i="11"/>
  <c r="AZ119" i="11"/>
  <c r="AY103" i="11"/>
  <c r="BC103" i="11" s="1"/>
  <c r="BT103" i="11"/>
  <c r="BJ103" i="11"/>
  <c r="BK124" i="11"/>
  <c r="AX83" i="11"/>
  <c r="BI83" i="11"/>
  <c r="AY90" i="11"/>
  <c r="BT90" i="11"/>
  <c r="BJ90" i="11"/>
  <c r="AX97" i="11"/>
  <c r="BI97" i="11"/>
  <c r="AX78" i="11"/>
  <c r="BI78" i="11"/>
  <c r="AX68" i="11"/>
  <c r="BI68" i="11"/>
  <c r="AX74" i="11"/>
  <c r="BB74" i="11" s="1"/>
  <c r="BI50" i="11"/>
  <c r="AX50" i="11"/>
  <c r="BB50" i="11" s="1"/>
  <c r="BJ42" i="11"/>
  <c r="AY42" i="11"/>
  <c r="BT42" i="11"/>
  <c r="BJ45" i="11"/>
  <c r="BT45" i="11"/>
  <c r="AY45" i="11"/>
  <c r="AY66" i="11"/>
  <c r="BT66" i="11"/>
  <c r="BJ66" i="11"/>
  <c r="BU67" i="11"/>
  <c r="AY22" i="11"/>
  <c r="BT22" i="11"/>
  <c r="BJ22" i="11"/>
  <c r="BS44" i="11"/>
  <c r="BT23" i="11"/>
  <c r="BJ23" i="11"/>
  <c r="AY23" i="11"/>
  <c r="BK34" i="11"/>
  <c r="AZ34" i="11"/>
  <c r="BK31" i="11"/>
  <c r="AZ31" i="11"/>
  <c r="AY79" i="11"/>
  <c r="BT79" i="11"/>
  <c r="BJ79" i="11"/>
  <c r="BS17" i="11"/>
  <c r="AX16" i="11"/>
  <c r="BI16" i="11"/>
  <c r="BI23" i="11"/>
  <c r="AX23" i="11"/>
  <c r="BS137" i="10"/>
  <c r="AY28" i="11"/>
  <c r="BT28" i="11"/>
  <c r="BJ28" i="11"/>
  <c r="BK36" i="11"/>
  <c r="BK27" i="11"/>
  <c r="BU132" i="10"/>
  <c r="AZ132" i="10"/>
  <c r="AZ36" i="11"/>
  <c r="AZ12" i="11"/>
  <c r="BK12" i="11"/>
  <c r="BJ125" i="10"/>
  <c r="AY125" i="10"/>
  <c r="BT125" i="10"/>
  <c r="BT50" i="11"/>
  <c r="AY98" i="10"/>
  <c r="BT98" i="10"/>
  <c r="BJ98" i="10"/>
  <c r="BI73" i="10"/>
  <c r="AX73" i="10"/>
  <c r="AY82" i="10"/>
  <c r="BT82" i="10"/>
  <c r="BJ82" i="10"/>
  <c r="BJ69" i="10"/>
  <c r="AY69" i="10"/>
  <c r="BC69" i="10" s="1"/>
  <c r="BT69" i="10"/>
  <c r="AX124" i="10"/>
  <c r="BI124" i="10"/>
  <c r="BK109" i="10"/>
  <c r="AZ109" i="10"/>
  <c r="BI72" i="10"/>
  <c r="AX72" i="10"/>
  <c r="AX107" i="10"/>
  <c r="BI107" i="10"/>
  <c r="AY92" i="10"/>
  <c r="BT92" i="10"/>
  <c r="BJ92" i="10"/>
  <c r="AY76" i="10"/>
  <c r="BT76" i="10"/>
  <c r="BJ76" i="10"/>
  <c r="AY128" i="10"/>
  <c r="BT128" i="10"/>
  <c r="BJ128" i="10"/>
  <c r="AY107" i="10"/>
  <c r="AX91" i="10"/>
  <c r="BI91" i="10"/>
  <c r="BJ107" i="10"/>
  <c r="BS68" i="10"/>
  <c r="BK123" i="10"/>
  <c r="AX104" i="10"/>
  <c r="BI104" i="10"/>
  <c r="AZ76" i="10"/>
  <c r="BK76" i="10"/>
  <c r="AX86" i="10"/>
  <c r="BI86" i="10"/>
  <c r="AY58" i="10"/>
  <c r="BT58" i="10"/>
  <c r="BJ58" i="10"/>
  <c r="AZ91" i="10"/>
  <c r="BK91" i="10"/>
  <c r="AY85" i="10"/>
  <c r="BS40" i="10"/>
  <c r="BS99" i="10"/>
  <c r="BS75" i="10"/>
  <c r="BJ89" i="10"/>
  <c r="AY89" i="10"/>
  <c r="BC89" i="10" s="1"/>
  <c r="BT89" i="10"/>
  <c r="AY91" i="10"/>
  <c r="AZ82" i="10"/>
  <c r="BK82" i="10"/>
  <c r="AX35" i="10"/>
  <c r="BI35" i="10"/>
  <c r="AG14" i="8"/>
  <c r="AZ34" i="10"/>
  <c r="BK34" i="10"/>
  <c r="AG25" i="8"/>
  <c r="BK16" i="10"/>
  <c r="AZ16" i="10"/>
  <c r="BD16" i="10" s="1"/>
  <c r="BI136" i="1"/>
  <c r="AX136" i="1"/>
  <c r="AY45" i="10"/>
  <c r="BT45" i="10"/>
  <c r="BJ45" i="10"/>
  <c r="AY81" i="10"/>
  <c r="BI25" i="10"/>
  <c r="AX25" i="10"/>
  <c r="AH22" i="8"/>
  <c r="AX128" i="1"/>
  <c r="BI128" i="1"/>
  <c r="AE8" i="8"/>
  <c r="AX137" i="1"/>
  <c r="BI137" i="1"/>
  <c r="AH21" i="8"/>
  <c r="AS21" i="8" s="1" a="1"/>
  <c r="AS21" i="8" s="1"/>
  <c r="BJ131" i="1"/>
  <c r="AY131" i="1"/>
  <c r="AD23" i="8"/>
  <c r="AF23" i="8"/>
  <c r="AE6" i="8"/>
  <c r="AC14" i="8"/>
  <c r="AB21" i="8"/>
  <c r="AD15" i="8"/>
  <c r="AD11" i="8"/>
  <c r="AC23" i="8"/>
  <c r="AR23" i="8" s="1" a="1"/>
  <c r="AR23" i="8" s="1"/>
  <c r="BJ92" i="1"/>
  <c r="AY92" i="1"/>
  <c r="BI76" i="1"/>
  <c r="AX76" i="1"/>
  <c r="AY95" i="1"/>
  <c r="BJ95" i="1"/>
  <c r="BJ82" i="1"/>
  <c r="AY82" i="1"/>
  <c r="BJ70" i="1"/>
  <c r="AY70" i="1"/>
  <c r="AZ134" i="1"/>
  <c r="AZ95" i="1"/>
  <c r="BK95" i="1"/>
  <c r="BI13" i="1"/>
  <c r="AX13" i="1"/>
  <c r="AY78" i="1"/>
  <c r="BJ78" i="1"/>
  <c r="BI17" i="1"/>
  <c r="AX17" i="1"/>
  <c r="BJ37" i="1"/>
  <c r="AY37" i="1"/>
  <c r="AZ109" i="1"/>
  <c r="AY74" i="1"/>
  <c r="BJ74" i="1"/>
  <c r="BI36" i="1"/>
  <c r="AX36" i="1"/>
  <c r="AX55" i="1"/>
  <c r="BI55" i="1"/>
  <c r="BI99" i="1"/>
  <c r="AX99" i="1"/>
  <c r="AX93" i="1"/>
  <c r="BI93" i="1"/>
  <c r="AZ38" i="1"/>
  <c r="BK38" i="1"/>
  <c r="AX101" i="1"/>
  <c r="BI101" i="1"/>
  <c r="BJ59" i="1"/>
  <c r="AY59" i="1"/>
  <c r="AX105" i="1"/>
  <c r="BI105" i="1"/>
  <c r="BK58" i="1"/>
  <c r="AZ58" i="1"/>
  <c r="BK27" i="1"/>
  <c r="AY17" i="1"/>
  <c r="AY63" i="1"/>
  <c r="BC16" i="1"/>
  <c r="X6" i="2"/>
  <c r="P6" i="2"/>
  <c r="BJ52" i="1"/>
  <c r="BU53" i="10"/>
  <c r="AY24" i="10"/>
  <c r="BT24" i="10"/>
  <c r="BJ24" i="10"/>
  <c r="BK29" i="10"/>
  <c r="AZ29" i="10"/>
  <c r="BU29" i="10"/>
  <c r="AJ24" i="8"/>
  <c r="AV14" i="9"/>
  <c r="AU7" i="9"/>
  <c r="AQ24" i="9"/>
  <c r="AS7" i="9"/>
  <c r="AS14" i="9"/>
  <c r="AX126" i="11"/>
  <c r="BI126" i="11"/>
  <c r="BI128" i="11"/>
  <c r="AX128" i="11"/>
  <c r="BJ111" i="11"/>
  <c r="AY111" i="11"/>
  <c r="BT111" i="11"/>
  <c r="BJ123" i="11"/>
  <c r="AY123" i="11"/>
  <c r="BT123" i="11"/>
  <c r="AX109" i="11"/>
  <c r="BB109" i="11" s="1"/>
  <c r="BI109" i="11"/>
  <c r="AZ128" i="11"/>
  <c r="BK128" i="11"/>
  <c r="AZ111" i="11"/>
  <c r="BK111" i="11"/>
  <c r="BI120" i="11"/>
  <c r="AX120" i="11"/>
  <c r="BJ102" i="11"/>
  <c r="BT102" i="11"/>
  <c r="AY102" i="11"/>
  <c r="BS101" i="11"/>
  <c r="AZ124" i="11"/>
  <c r="AX110" i="11"/>
  <c r="BI110" i="11"/>
  <c r="AY89" i="11"/>
  <c r="BT89" i="11"/>
  <c r="BJ89" i="11"/>
  <c r="BT97" i="11"/>
  <c r="BJ97" i="11"/>
  <c r="AY97" i="11"/>
  <c r="BK80" i="11"/>
  <c r="AZ80" i="11"/>
  <c r="BI71" i="11"/>
  <c r="AX71" i="11"/>
  <c r="BI100" i="11"/>
  <c r="AX100" i="11"/>
  <c r="AY73" i="11"/>
  <c r="BT73" i="11"/>
  <c r="BJ73" i="11"/>
  <c r="BS84" i="11"/>
  <c r="BT71" i="11"/>
  <c r="BJ71" i="11"/>
  <c r="AY71" i="11"/>
  <c r="BU66" i="11"/>
  <c r="AY69" i="11"/>
  <c r="BT69" i="11"/>
  <c r="BJ69" i="11"/>
  <c r="BK68" i="11"/>
  <c r="AZ68" i="11"/>
  <c r="BD68" i="11" s="1"/>
  <c r="AY60" i="11"/>
  <c r="BT60" i="11"/>
  <c r="BJ60" i="11"/>
  <c r="AZ69" i="11"/>
  <c r="BK69" i="11"/>
  <c r="AX40" i="11"/>
  <c r="BB40" i="11" s="1"/>
  <c r="BI40" i="11"/>
  <c r="AX66" i="11"/>
  <c r="BI66" i="11"/>
  <c r="AX22" i="11"/>
  <c r="BI22" i="11"/>
  <c r="AX36" i="11"/>
  <c r="BI36" i="11"/>
  <c r="AY37" i="11"/>
  <c r="BT37" i="11"/>
  <c r="BJ37" i="11"/>
  <c r="BJ20" i="11"/>
  <c r="AY20" i="11"/>
  <c r="BT20" i="11"/>
  <c r="AX34" i="11"/>
  <c r="BI34" i="11"/>
  <c r="AX31" i="11"/>
  <c r="BI31" i="11"/>
  <c r="AX79" i="11"/>
  <c r="BI79" i="11"/>
  <c r="AX137" i="10"/>
  <c r="BI137" i="10"/>
  <c r="BK28" i="11"/>
  <c r="AZ28" i="11"/>
  <c r="BK131" i="10"/>
  <c r="AZ131" i="10"/>
  <c r="AX133" i="10"/>
  <c r="BI133" i="10"/>
  <c r="AZ26" i="11"/>
  <c r="BK26" i="11"/>
  <c r="BJ131" i="10"/>
  <c r="BT131" i="10"/>
  <c r="AY131" i="10"/>
  <c r="BS31" i="11"/>
  <c r="BS134" i="10"/>
  <c r="AZ137" i="10"/>
  <c r="BK137" i="10"/>
  <c r="BD130" i="10"/>
  <c r="AX115" i="10"/>
  <c r="BD115" i="10" s="1"/>
  <c r="BI115" i="10"/>
  <c r="BS127" i="10"/>
  <c r="BU118" i="10"/>
  <c r="BI135" i="10"/>
  <c r="AX135" i="10"/>
  <c r="BD135" i="10" s="1"/>
  <c r="AY78" i="10"/>
  <c r="BT78" i="10"/>
  <c r="BJ78" i="10"/>
  <c r="BK101" i="10"/>
  <c r="AZ101" i="10"/>
  <c r="BK77" i="10"/>
  <c r="AZ77" i="10"/>
  <c r="BD77" i="10" s="1"/>
  <c r="BI96" i="10"/>
  <c r="AX96" i="10"/>
  <c r="AX83" i="10"/>
  <c r="BI83" i="10"/>
  <c r="AX75" i="10"/>
  <c r="BI75" i="10"/>
  <c r="BU67" i="10"/>
  <c r="AZ123" i="10"/>
  <c r="AZ71" i="10"/>
  <c r="BK71" i="10"/>
  <c r="BT87" i="10"/>
  <c r="BJ87" i="10"/>
  <c r="AY87" i="10"/>
  <c r="BT99" i="10"/>
  <c r="BJ99" i="10"/>
  <c r="AY99" i="10"/>
  <c r="BJ74" i="10"/>
  <c r="AX51" i="10"/>
  <c r="BI51" i="10"/>
  <c r="BK83" i="10"/>
  <c r="BJ91" i="10"/>
  <c r="AZ49" i="10"/>
  <c r="BD49" i="10" s="1"/>
  <c r="BK49" i="10"/>
  <c r="AX53" i="10"/>
  <c r="BI53" i="10"/>
  <c r="AX32" i="10"/>
  <c r="BI32" i="10"/>
  <c r="BS39" i="11"/>
  <c r="BS84" i="10"/>
  <c r="BK47" i="10"/>
  <c r="AZ47" i="10"/>
  <c r="AG15" i="8"/>
  <c r="AK9" i="8"/>
  <c r="AS9" i="8" a="1"/>
  <c r="AS9" i="8" s="1"/>
  <c r="BU33" i="10"/>
  <c r="AZ50" i="10"/>
  <c r="AG19" i="8"/>
  <c r="BI124" i="1"/>
  <c r="AX124" i="1"/>
  <c r="BI42" i="10"/>
  <c r="AX42" i="10"/>
  <c r="BT35" i="10"/>
  <c r="AZ24" i="10"/>
  <c r="BK24" i="10"/>
  <c r="BS27" i="10"/>
  <c r="AH16" i="8"/>
  <c r="AD17" i="8"/>
  <c r="BJ128" i="1"/>
  <c r="AY128" i="1"/>
  <c r="AF6" i="8"/>
  <c r="AY134" i="1"/>
  <c r="BJ134" i="1"/>
  <c r="AZ117" i="1"/>
  <c r="BK117" i="1"/>
  <c r="AC24" i="8"/>
  <c r="AF11" i="8"/>
  <c r="AZ86" i="1"/>
  <c r="BK86" i="1"/>
  <c r="AX13" i="10"/>
  <c r="BI13" i="10"/>
  <c r="AY91" i="1"/>
  <c r="BC91" i="1" s="1"/>
  <c r="BJ91" i="1"/>
  <c r="BS23" i="10"/>
  <c r="AX118" i="1"/>
  <c r="BI118" i="1"/>
  <c r="AH12" i="8"/>
  <c r="AD24" i="8"/>
  <c r="AR24" i="8" s="1" a="1"/>
  <c r="AR24" i="8" s="1"/>
  <c r="AF7" i="8"/>
  <c r="AE19" i="8"/>
  <c r="AF25" i="8"/>
  <c r="AB16" i="8"/>
  <c r="AF15" i="8"/>
  <c r="BI43" i="1"/>
  <c r="AX43" i="1"/>
  <c r="BK124" i="1"/>
  <c r="AZ124" i="1"/>
  <c r="AX100" i="1"/>
  <c r="BI100" i="1"/>
  <c r="AX27" i="1"/>
  <c r="BB27" i="1" s="1"/>
  <c r="BI27" i="1"/>
  <c r="K8" i="7"/>
  <c r="K9" i="7"/>
  <c r="AZ69" i="1"/>
  <c r="BK69" i="1"/>
  <c r="AY53" i="1"/>
  <c r="BC53" i="1" s="1"/>
  <c r="BJ53" i="1"/>
  <c r="AX107" i="1"/>
  <c r="BI107" i="1"/>
  <c r="BI15" i="1"/>
  <c r="AX15" i="1"/>
  <c r="AX74" i="1"/>
  <c r="BI74" i="1"/>
  <c r="AX115" i="1"/>
  <c r="BI115" i="1"/>
  <c r="AX89" i="1"/>
  <c r="BI89" i="1"/>
  <c r="BI54" i="1"/>
  <c r="AX54" i="1"/>
  <c r="BB54" i="1" s="1"/>
  <c r="Q16" i="2"/>
  <c r="AX83" i="1"/>
  <c r="BI83" i="1"/>
  <c r="AY9" i="1"/>
  <c r="AY38" i="1"/>
  <c r="BJ38" i="1"/>
  <c r="BD25" i="1"/>
  <c r="BD61" i="1"/>
  <c r="L8" i="7"/>
  <c r="L9" i="7"/>
  <c r="BC35" i="1"/>
  <c r="C23" i="2"/>
  <c r="AX22" i="1"/>
  <c r="BD16" i="1"/>
  <c r="J16" i="2"/>
  <c r="X11" i="2"/>
  <c r="P11" i="2"/>
  <c r="AH8" i="8"/>
  <c r="AG6" i="8"/>
  <c r="BK123" i="1"/>
  <c r="AZ123" i="1"/>
  <c r="AU14" i="9"/>
  <c r="AN7" i="9"/>
  <c r="AR11" i="9"/>
  <c r="BQ11" i="9" s="1"/>
  <c r="AO21" i="9"/>
  <c r="AX21" i="9" s="1"/>
  <c r="AO26" i="9"/>
  <c r="AT12" i="9"/>
  <c r="BI12" i="9" s="1" a="1"/>
  <c r="BI12" i="9" s="1"/>
  <c r="BU134" i="11"/>
  <c r="AV19" i="9"/>
  <c r="AU15" i="9"/>
  <c r="AN8" i="9"/>
  <c r="AS19" i="9"/>
  <c r="AU10" i="9"/>
  <c r="AQ10" i="9"/>
  <c r="AS25" i="9"/>
  <c r="AP12" i="9"/>
  <c r="AO24" i="9"/>
  <c r="AN11" i="9"/>
  <c r="AN14" i="9"/>
  <c r="AN12" i="9"/>
  <c r="AS17" i="9"/>
  <c r="AT15" i="9"/>
  <c r="AT19" i="9"/>
  <c r="AY138" i="11"/>
  <c r="BC138" i="11" s="1"/>
  <c r="BT138" i="11"/>
  <c r="BJ138" i="11"/>
  <c r="BI134" i="11"/>
  <c r="AX134" i="11"/>
  <c r="BS110" i="11"/>
  <c r="BS107" i="11"/>
  <c r="BI137" i="11"/>
  <c r="AX137" i="11"/>
  <c r="BS119" i="11"/>
  <c r="AZ112" i="11"/>
  <c r="BK112" i="11"/>
  <c r="BU123" i="11"/>
  <c r="BT119" i="11"/>
  <c r="BJ119" i="11"/>
  <c r="AY119" i="11"/>
  <c r="AY98" i="11"/>
  <c r="BC98" i="11" s="1"/>
  <c r="BT98" i="11"/>
  <c r="BJ98" i="11"/>
  <c r="BJ95" i="11"/>
  <c r="BT95" i="11"/>
  <c r="AY95" i="11"/>
  <c r="BC95" i="11" s="1"/>
  <c r="BS118" i="11"/>
  <c r="AZ94" i="11"/>
  <c r="BD94" i="11" s="1"/>
  <c r="BK94" i="11"/>
  <c r="AY110" i="11"/>
  <c r="BT110" i="11"/>
  <c r="BJ110" i="11"/>
  <c r="BI125" i="11"/>
  <c r="AX89" i="11"/>
  <c r="BI89" i="11"/>
  <c r="BI96" i="11"/>
  <c r="AX96" i="11"/>
  <c r="BB96" i="11" s="1"/>
  <c r="BT78" i="11"/>
  <c r="BJ78" i="11"/>
  <c r="AY78" i="11"/>
  <c r="BC78" i="11" s="1"/>
  <c r="BJ93" i="11"/>
  <c r="AY93" i="11"/>
  <c r="BT93" i="11"/>
  <c r="BI70" i="11"/>
  <c r="AX70" i="11"/>
  <c r="BT106" i="11"/>
  <c r="AY106" i="11"/>
  <c r="BC106" i="11" s="1"/>
  <c r="BJ106" i="11"/>
  <c r="BT92" i="11"/>
  <c r="BJ92" i="11"/>
  <c r="AY92" i="11"/>
  <c r="AY100" i="11"/>
  <c r="BJ100" i="11"/>
  <c r="BT100" i="11"/>
  <c r="AX73" i="11"/>
  <c r="BI73" i="11"/>
  <c r="BS78" i="11"/>
  <c r="BT62" i="11"/>
  <c r="BJ62" i="11"/>
  <c r="AY62" i="11"/>
  <c r="BT86" i="11"/>
  <c r="BJ86" i="11"/>
  <c r="AY86" i="11"/>
  <c r="AX60" i="11"/>
  <c r="BI60" i="11"/>
  <c r="BU61" i="11"/>
  <c r="BK61" i="11"/>
  <c r="BU46" i="11"/>
  <c r="BK60" i="11"/>
  <c r="AZ60" i="11"/>
  <c r="AZ49" i="11"/>
  <c r="BD49" i="11" s="1"/>
  <c r="BK49" i="11"/>
  <c r="BS61" i="11"/>
  <c r="AX62" i="11"/>
  <c r="BI62" i="11"/>
  <c r="AZ43" i="11"/>
  <c r="BD43" i="11" s="1"/>
  <c r="BK43" i="11"/>
  <c r="BI67" i="11"/>
  <c r="AX67" i="11"/>
  <c r="BT15" i="11"/>
  <c r="AY15" i="11"/>
  <c r="BJ15" i="11"/>
  <c r="BJ17" i="11"/>
  <c r="AY17" i="11"/>
  <c r="BC17" i="11" s="1"/>
  <c r="BT17" i="11"/>
  <c r="BI35" i="11"/>
  <c r="AX35" i="11"/>
  <c r="BB35" i="11" s="1"/>
  <c r="AY132" i="10"/>
  <c r="BT132" i="10"/>
  <c r="BJ132" i="10"/>
  <c r="AY136" i="10"/>
  <c r="BT136" i="10"/>
  <c r="BJ136" i="10"/>
  <c r="AX28" i="11"/>
  <c r="BI28" i="11"/>
  <c r="AZ29" i="11"/>
  <c r="AX132" i="10"/>
  <c r="BI132" i="10"/>
  <c r="BK25" i="11"/>
  <c r="AZ25" i="11"/>
  <c r="BI129" i="10"/>
  <c r="AX129" i="10"/>
  <c r="AX24" i="11"/>
  <c r="BI24" i="11"/>
  <c r="BS130" i="10"/>
  <c r="BJ105" i="10"/>
  <c r="AY105" i="10"/>
  <c r="BT105" i="10"/>
  <c r="AZ32" i="11"/>
  <c r="BK32" i="11"/>
  <c r="BK126" i="10"/>
  <c r="AZ111" i="10"/>
  <c r="BK111" i="10"/>
  <c r="AY127" i="10"/>
  <c r="BT127" i="10"/>
  <c r="BJ127" i="10"/>
  <c r="BJ117" i="10"/>
  <c r="AY117" i="10"/>
  <c r="BC117" i="10" s="1"/>
  <c r="BT117" i="10"/>
  <c r="AZ120" i="10"/>
  <c r="BK120" i="10"/>
  <c r="BS18" i="11"/>
  <c r="BU105" i="10"/>
  <c r="BK105" i="10"/>
  <c r="AZ121" i="10"/>
  <c r="BK121" i="10"/>
  <c r="BU104" i="10"/>
  <c r="BU89" i="10"/>
  <c r="AZ128" i="10"/>
  <c r="BK128" i="10"/>
  <c r="BJ73" i="10"/>
  <c r="BT73" i="10"/>
  <c r="AY73" i="10"/>
  <c r="BS91" i="10"/>
  <c r="AX71" i="10"/>
  <c r="BI71" i="10"/>
  <c r="BS131" i="10"/>
  <c r="AY54" i="10"/>
  <c r="BC54" i="10" s="1"/>
  <c r="BJ54" i="10"/>
  <c r="BT54" i="10"/>
  <c r="AZ40" i="10"/>
  <c r="BK40" i="10"/>
  <c r="AX78" i="10"/>
  <c r="BI78" i="10"/>
  <c r="BI59" i="10"/>
  <c r="AX59" i="10"/>
  <c r="BB59" i="10" s="1"/>
  <c r="BS36" i="10"/>
  <c r="AZ99" i="10"/>
  <c r="BK99" i="10"/>
  <c r="BT74" i="10"/>
  <c r="AZ83" i="10"/>
  <c r="BJ30" i="10"/>
  <c r="AY30" i="10"/>
  <c r="BT30" i="10"/>
  <c r="BT79" i="10"/>
  <c r="BJ79" i="10"/>
  <c r="AY79" i="10"/>
  <c r="BC79" i="10" s="1"/>
  <c r="BS13" i="11"/>
  <c r="BS81" i="10"/>
  <c r="BK43" i="10"/>
  <c r="AZ43" i="10"/>
  <c r="BS67" i="10"/>
  <c r="AG10" i="8"/>
  <c r="AZ22" i="10"/>
  <c r="BK22" i="10"/>
  <c r="BK50" i="10"/>
  <c r="BC31" i="10"/>
  <c r="AG13" i="8"/>
  <c r="AY56" i="10"/>
  <c r="BT56" i="10"/>
  <c r="BJ56" i="10"/>
  <c r="AY35" i="10"/>
  <c r="AH11" i="8"/>
  <c r="AC12" i="8"/>
  <c r="BK114" i="1"/>
  <c r="AZ114" i="1"/>
  <c r="AG11" i="8"/>
  <c r="AZ138" i="1"/>
  <c r="BJ52" i="10"/>
  <c r="BJ115" i="1"/>
  <c r="AY115" i="1"/>
  <c r="AY27" i="10"/>
  <c r="BK135" i="1"/>
  <c r="AZ135" i="1"/>
  <c r="AX94" i="1"/>
  <c r="BI94" i="1"/>
  <c r="AG18" i="8"/>
  <c r="AB25" i="8"/>
  <c r="AD8" i="8"/>
  <c r="AC20" i="8"/>
  <c r="AE9" i="8"/>
  <c r="AF20" i="8"/>
  <c r="AD16" i="8"/>
  <c r="BK133" i="1"/>
  <c r="AZ133" i="1"/>
  <c r="BK104" i="1"/>
  <c r="AZ104" i="1"/>
  <c r="AY88" i="1"/>
  <c r="BJ88" i="1"/>
  <c r="BJ132" i="1"/>
  <c r="BI38" i="1"/>
  <c r="AX38" i="1"/>
  <c r="BJ26" i="1"/>
  <c r="AY26" i="1"/>
  <c r="AX69" i="1"/>
  <c r="BI69" i="1"/>
  <c r="BI51" i="1"/>
  <c r="AX51" i="1"/>
  <c r="BI11" i="1"/>
  <c r="AX11" i="1"/>
  <c r="AZ108" i="1"/>
  <c r="AZ71" i="1"/>
  <c r="BK71" i="1"/>
  <c r="BK70" i="1"/>
  <c r="AZ70" i="1"/>
  <c r="W5" i="2"/>
  <c r="O5" i="2"/>
  <c r="L5" i="2"/>
  <c r="I4" i="2"/>
  <c r="BI26" i="1"/>
  <c r="AX26" i="1"/>
  <c r="AY127" i="1"/>
  <c r="BJ127" i="1"/>
  <c r="AY15" i="1"/>
  <c r="AX56" i="1"/>
  <c r="C9" i="7"/>
  <c r="C8" i="7"/>
  <c r="BK78" i="1"/>
  <c r="BJ14" i="1"/>
  <c r="BD35" i="1"/>
  <c r="BJ29" i="1"/>
  <c r="AX36" i="10"/>
  <c r="BB36" i="10" s="1"/>
  <c r="BI36" i="10"/>
  <c r="BU35" i="10"/>
  <c r="AZ33" i="10"/>
  <c r="BK33" i="10"/>
  <c r="AZ84" i="1"/>
  <c r="BK84" i="1"/>
  <c r="AU12" i="9"/>
  <c r="AU11" i="9"/>
  <c r="AO10" i="9"/>
  <c r="AQ13" i="9"/>
  <c r="AV22" i="9"/>
  <c r="BS22" i="9" s="1"/>
  <c r="AV15" i="9"/>
  <c r="AP7" i="9"/>
  <c r="AO17" i="9"/>
  <c r="AX17" i="9" s="1"/>
  <c r="AT9" i="9"/>
  <c r="AQ9" i="9"/>
  <c r="AN23" i="9"/>
  <c r="AP15" i="9"/>
  <c r="AR12" i="9"/>
  <c r="AP13" i="9"/>
  <c r="AP16" i="9"/>
  <c r="AN15" i="9"/>
  <c r="AS20" i="9"/>
  <c r="AT8" i="9"/>
  <c r="AT22" i="9"/>
  <c r="BD139" i="11"/>
  <c r="AY108" i="11"/>
  <c r="BT108" i="11"/>
  <c r="BJ108" i="11"/>
  <c r="BK137" i="11"/>
  <c r="AZ137" i="11"/>
  <c r="AY113" i="11"/>
  <c r="BT113" i="11"/>
  <c r="BJ113" i="11"/>
  <c r="AX112" i="11"/>
  <c r="BC112" i="11" s="1"/>
  <c r="BI112" i="11"/>
  <c r="BS124" i="11"/>
  <c r="BS115" i="11"/>
  <c r="BU91" i="11"/>
  <c r="AX86" i="11"/>
  <c r="BI86" i="11"/>
  <c r="AZ105" i="11"/>
  <c r="BK105" i="11"/>
  <c r="BS95" i="11"/>
  <c r="AY99" i="11"/>
  <c r="BT99" i="11"/>
  <c r="BJ99" i="11"/>
  <c r="BU84" i="11"/>
  <c r="AX72" i="11"/>
  <c r="BI72" i="11"/>
  <c r="AY76" i="11"/>
  <c r="BJ76" i="11"/>
  <c r="BT76" i="11"/>
  <c r="BK63" i="11"/>
  <c r="AZ63" i="11"/>
  <c r="BT61" i="11"/>
  <c r="BJ61" i="11"/>
  <c r="AY61" i="11"/>
  <c r="AX69" i="11"/>
  <c r="BI69" i="11"/>
  <c r="BI61" i="11"/>
  <c r="AX61" i="11"/>
  <c r="BU55" i="11"/>
  <c r="BK48" i="11"/>
  <c r="AZ48" i="11"/>
  <c r="BK45" i="11"/>
  <c r="AZ45" i="11"/>
  <c r="BT58" i="11"/>
  <c r="BJ58" i="11"/>
  <c r="AY58" i="11"/>
  <c r="BC58" i="11" s="1"/>
  <c r="BI38" i="11"/>
  <c r="AY38" i="11"/>
  <c r="BC38" i="11" s="1"/>
  <c r="BT38" i="11"/>
  <c r="BJ38" i="11"/>
  <c r="BI29" i="11"/>
  <c r="AX29" i="11"/>
  <c r="AZ37" i="11"/>
  <c r="BK37" i="11"/>
  <c r="AY32" i="11"/>
  <c r="BT32" i="11"/>
  <c r="BJ32" i="11"/>
  <c r="BI48" i="11"/>
  <c r="AX48" i="11"/>
  <c r="BT29" i="11"/>
  <c r="BU48" i="11"/>
  <c r="AX30" i="11"/>
  <c r="BI30" i="11"/>
  <c r="BJ139" i="10"/>
  <c r="AY139" i="10"/>
  <c r="BC139" i="10" s="1"/>
  <c r="BT139" i="10"/>
  <c r="BS34" i="11"/>
  <c r="BI14" i="11"/>
  <c r="AX14" i="11"/>
  <c r="BK21" i="11"/>
  <c r="AZ21" i="11"/>
  <c r="BD21" i="11" s="1"/>
  <c r="BK20" i="11"/>
  <c r="AZ20" i="11"/>
  <c r="BK23" i="11"/>
  <c r="AZ23" i="11"/>
  <c r="BK104" i="10"/>
  <c r="AZ104" i="10"/>
  <c r="BD104" i="10" s="1"/>
  <c r="BI32" i="11"/>
  <c r="AX32" i="11"/>
  <c r="AZ30" i="11"/>
  <c r="AZ107" i="10"/>
  <c r="BK107" i="10"/>
  <c r="BU120" i="10"/>
  <c r="BT18" i="11"/>
  <c r="AY18" i="11"/>
  <c r="BJ18" i="11"/>
  <c r="BS110" i="10"/>
  <c r="BT106" i="10"/>
  <c r="AY106" i="10"/>
  <c r="BB106" i="10" s="1"/>
  <c r="BJ106" i="10"/>
  <c r="BK132" i="10"/>
  <c r="AY72" i="10"/>
  <c r="BT72" i="10"/>
  <c r="BJ72" i="10"/>
  <c r="AY137" i="10"/>
  <c r="BT137" i="10"/>
  <c r="BJ137" i="10"/>
  <c r="BS108" i="10"/>
  <c r="AY88" i="10"/>
  <c r="BC88" i="10" s="1"/>
  <c r="BT88" i="10"/>
  <c r="BJ88" i="10"/>
  <c r="BK97" i="10"/>
  <c r="AZ97" i="10"/>
  <c r="BD97" i="10" s="1"/>
  <c r="BD74" i="10"/>
  <c r="BU128" i="10"/>
  <c r="BI88" i="10"/>
  <c r="AX88" i="10"/>
  <c r="BI80" i="10"/>
  <c r="AX80" i="10"/>
  <c r="BK72" i="10"/>
  <c r="AZ72" i="10"/>
  <c r="BS87" i="10"/>
  <c r="BJ65" i="10"/>
  <c r="AY65" i="10"/>
  <c r="BT65" i="10"/>
  <c r="AX70" i="10"/>
  <c r="BI70" i="10"/>
  <c r="BU131" i="10"/>
  <c r="BI67" i="10"/>
  <c r="AX67" i="10"/>
  <c r="AZ86" i="10"/>
  <c r="BD86" i="10" s="1"/>
  <c r="BK86" i="10"/>
  <c r="BS62" i="10"/>
  <c r="BS85" i="10"/>
  <c r="BD68" i="10"/>
  <c r="AX94" i="10"/>
  <c r="BB94" i="10" s="1"/>
  <c r="BI94" i="10"/>
  <c r="BS80" i="10"/>
  <c r="AX98" i="10"/>
  <c r="BI98" i="10"/>
  <c r="BT77" i="10"/>
  <c r="AX122" i="10"/>
  <c r="BI122" i="10"/>
  <c r="BS71" i="10"/>
  <c r="BS117" i="10"/>
  <c r="AY13" i="11"/>
  <c r="BT13" i="11"/>
  <c r="BJ13" i="11"/>
  <c r="BK39" i="10"/>
  <c r="AZ39" i="10"/>
  <c r="BJ67" i="10"/>
  <c r="AY67" i="10"/>
  <c r="BT67" i="10"/>
  <c r="BT51" i="10"/>
  <c r="AZ20" i="10"/>
  <c r="BK20" i="10"/>
  <c r="AZ26" i="10"/>
  <c r="BK26" i="10"/>
  <c r="BK27" i="10"/>
  <c r="AZ27" i="10"/>
  <c r="BU27" i="10"/>
  <c r="AG8" i="8"/>
  <c r="BS45" i="10"/>
  <c r="AY28" i="10"/>
  <c r="BC28" i="10" s="1"/>
  <c r="BT28" i="10"/>
  <c r="BJ28" i="10"/>
  <c r="BS12" i="10"/>
  <c r="AZ56" i="10"/>
  <c r="BK56" i="10"/>
  <c r="BS26" i="10"/>
  <c r="AH10" i="8"/>
  <c r="AY136" i="1"/>
  <c r="BJ136" i="1"/>
  <c r="AY113" i="1"/>
  <c r="BC113" i="1" s="1"/>
  <c r="BJ113" i="1"/>
  <c r="BK18" i="10"/>
  <c r="AZ18" i="10"/>
  <c r="AZ139" i="1"/>
  <c r="BK139" i="1"/>
  <c r="AZ118" i="1"/>
  <c r="BK118" i="1"/>
  <c r="AZ120" i="1"/>
  <c r="BK120" i="1"/>
  <c r="BK13" i="10"/>
  <c r="AZ13" i="10"/>
  <c r="BD13" i="10" s="1"/>
  <c r="AX129" i="1"/>
  <c r="BI129" i="1"/>
  <c r="AG24" i="8"/>
  <c r="AD6" i="8"/>
  <c r="AB9" i="8"/>
  <c r="AE25" i="8"/>
  <c r="AC10" i="8"/>
  <c r="AJ10" i="8" s="1"/>
  <c r="AD21" i="8"/>
  <c r="AB17" i="8"/>
  <c r="AZ132" i="1"/>
  <c r="BK132" i="1"/>
  <c r="BC101" i="1"/>
  <c r="AZ88" i="1"/>
  <c r="BK88" i="1"/>
  <c r="BJ68" i="1"/>
  <c r="AY68" i="1"/>
  <c r="BC68" i="1" s="1"/>
  <c r="AZ90" i="1"/>
  <c r="BK90" i="1"/>
  <c r="AX32" i="1"/>
  <c r="BI32" i="1"/>
  <c r="AX77" i="1"/>
  <c r="BI77" i="1"/>
  <c r="AX45" i="1"/>
  <c r="BI45" i="1"/>
  <c r="AZ110" i="1"/>
  <c r="BK110" i="1"/>
  <c r="AX84" i="1"/>
  <c r="BI84" i="1"/>
  <c r="AX9" i="1"/>
  <c r="BI9" i="1"/>
  <c r="AZ47" i="1"/>
  <c r="BD47" i="1" s="1"/>
  <c r="BK47" i="1"/>
  <c r="AY12" i="1"/>
  <c r="BC12" i="1" s="1"/>
  <c r="BJ12" i="1"/>
  <c r="BI50" i="1"/>
  <c r="AX50" i="1"/>
  <c r="BB50" i="1" s="1"/>
  <c r="BJ85" i="1"/>
  <c r="AY85" i="1"/>
  <c r="AX49" i="1"/>
  <c r="BI49" i="1"/>
  <c r="I6" i="2"/>
  <c r="BJ57" i="1"/>
  <c r="AY57" i="1"/>
  <c r="AY66" i="1"/>
  <c r="BJ66" i="1"/>
  <c r="AX28" i="1"/>
  <c r="BB28" i="1" s="1"/>
  <c r="BI28" i="1"/>
  <c r="BC36" i="1"/>
  <c r="W12" i="2"/>
  <c r="Z12" i="2" s="1"/>
  <c r="O12" i="2"/>
  <c r="BK55" i="1"/>
  <c r="AZ55" i="1"/>
  <c r="BI66" i="1"/>
  <c r="AX66" i="1"/>
  <c r="AY73" i="1"/>
  <c r="BC73" i="1" s="1"/>
  <c r="BI110" i="1"/>
  <c r="AX110" i="1"/>
  <c r="BJ83" i="1"/>
  <c r="AY83" i="1"/>
  <c r="AZ67" i="1"/>
  <c r="BD67" i="1" s="1"/>
  <c r="BK67" i="1"/>
  <c r="BJ48" i="1"/>
  <c r="AY48" i="1"/>
  <c r="BC48" i="1" s="1"/>
  <c r="BJ10" i="1"/>
  <c r="AY10" i="1"/>
  <c r="BI24" i="1"/>
  <c r="AX24" i="1"/>
  <c r="E23" i="2"/>
  <c r="F23" i="2"/>
  <c r="AX79" i="1"/>
  <c r="BI79" i="1"/>
  <c r="AX95" i="1"/>
  <c r="BI95" i="1"/>
  <c r="AX33" i="1"/>
  <c r="BB33" i="1" s="1"/>
  <c r="BI33" i="1"/>
  <c r="W14" i="2"/>
  <c r="O14" i="2"/>
  <c r="W15" i="2"/>
  <c r="Z15" i="2" s="1"/>
  <c r="O15" i="2"/>
  <c r="E9" i="7"/>
  <c r="E8" i="7"/>
  <c r="BC25" i="1"/>
  <c r="AU17" i="9"/>
  <c r="AU16" i="9"/>
  <c r="AQ22" i="9"/>
  <c r="AT13" i="9"/>
  <c r="AQ19" i="9"/>
  <c r="AU25" i="9"/>
  <c r="AS16" i="9"/>
  <c r="AN18" i="9"/>
  <c r="AR15" i="9"/>
  <c r="AR18" i="9"/>
  <c r="BQ18" i="9" s="1"/>
  <c r="AO22" i="9"/>
  <c r="AP20" i="9"/>
  <c r="AS26" i="9"/>
  <c r="AS18" i="9"/>
  <c r="AX136" i="11"/>
  <c r="BB136" i="11" s="1"/>
  <c r="BI136" i="11"/>
  <c r="BT133" i="11"/>
  <c r="BJ133" i="11"/>
  <c r="AY133" i="11"/>
  <c r="BC133" i="11" s="1"/>
  <c r="BK126" i="11"/>
  <c r="AZ126" i="11"/>
  <c r="BJ131" i="11"/>
  <c r="AY131" i="11"/>
  <c r="BT131" i="11"/>
  <c r="BI131" i="11"/>
  <c r="AX131" i="11"/>
  <c r="BU97" i="11"/>
  <c r="BI102" i="11"/>
  <c r="AX102" i="11"/>
  <c r="BB102" i="11" s="1"/>
  <c r="AZ99" i="11"/>
  <c r="BK99" i="11"/>
  <c r="AZ115" i="11"/>
  <c r="BD115" i="11" s="1"/>
  <c r="BK115" i="11"/>
  <c r="BU101" i="11"/>
  <c r="BK85" i="11"/>
  <c r="AZ85" i="11"/>
  <c r="BK93" i="11"/>
  <c r="BU76" i="11"/>
  <c r="BC91" i="11"/>
  <c r="BD96" i="11"/>
  <c r="BU78" i="11"/>
  <c r="BT80" i="11"/>
  <c r="BJ80" i="11"/>
  <c r="AY80" i="11"/>
  <c r="AX90" i="11"/>
  <c r="BI90" i="11"/>
  <c r="BK86" i="11"/>
  <c r="BK57" i="11"/>
  <c r="AZ57" i="11"/>
  <c r="BD57" i="11" s="1"/>
  <c r="AX63" i="11"/>
  <c r="BI63" i="11"/>
  <c r="BI64" i="11"/>
  <c r="AX64" i="11"/>
  <c r="AY53" i="11"/>
  <c r="BJ53" i="11"/>
  <c r="BT53" i="11"/>
  <c r="AX41" i="11"/>
  <c r="AY51" i="11"/>
  <c r="BJ51" i="11"/>
  <c r="BT51" i="11"/>
  <c r="BI45" i="11"/>
  <c r="AX45" i="11"/>
  <c r="BK55" i="11"/>
  <c r="AZ55" i="11"/>
  <c r="BJ55" i="11"/>
  <c r="AY55" i="11"/>
  <c r="BT55" i="11"/>
  <c r="BT72" i="11"/>
  <c r="BJ72" i="11"/>
  <c r="AY72" i="11"/>
  <c r="BK41" i="11"/>
  <c r="AZ41" i="11"/>
  <c r="AX53" i="11"/>
  <c r="BI53" i="11"/>
  <c r="BU45" i="11"/>
  <c r="BI138" i="10"/>
  <c r="AX138" i="10"/>
  <c r="BJ14" i="11"/>
  <c r="BT14" i="11"/>
  <c r="AY14" i="11"/>
  <c r="BK136" i="10"/>
  <c r="AZ136" i="10"/>
  <c r="AZ16" i="11"/>
  <c r="BK16" i="11"/>
  <c r="BK129" i="10"/>
  <c r="AZ129" i="10"/>
  <c r="AY134" i="10"/>
  <c r="BT134" i="10"/>
  <c r="BJ134" i="10"/>
  <c r="BU23" i="11"/>
  <c r="BU31" i="11"/>
  <c r="BS119" i="10"/>
  <c r="AZ18" i="11"/>
  <c r="BK18" i="11"/>
  <c r="AX101" i="10"/>
  <c r="BI101" i="10"/>
  <c r="BI64" i="10"/>
  <c r="AX64" i="10"/>
  <c r="BB64" i="10" s="1"/>
  <c r="BK133" i="10"/>
  <c r="AX108" i="10"/>
  <c r="BC108" i="10" s="1"/>
  <c r="BI108" i="10"/>
  <c r="BS111" i="10"/>
  <c r="BU101" i="10"/>
  <c r="BK93" i="10"/>
  <c r="AZ93" i="10"/>
  <c r="AY70" i="10"/>
  <c r="BT70" i="10"/>
  <c r="BJ70" i="10"/>
  <c r="AX95" i="10"/>
  <c r="BI95" i="10"/>
  <c r="AZ66" i="10"/>
  <c r="BD66" i="10" s="1"/>
  <c r="BK66" i="10"/>
  <c r="BS79" i="10"/>
  <c r="BK115" i="10"/>
  <c r="BT83" i="10"/>
  <c r="BJ83" i="10"/>
  <c r="AY83" i="10"/>
  <c r="AY46" i="10"/>
  <c r="BC46" i="10" s="1"/>
  <c r="BT46" i="10"/>
  <c r="BJ46" i="10"/>
  <c r="BS58" i="10"/>
  <c r="AZ95" i="10"/>
  <c r="BK95" i="10"/>
  <c r="AZ78" i="10"/>
  <c r="BK78" i="10"/>
  <c r="AX45" i="10"/>
  <c r="BI45" i="10"/>
  <c r="BT50" i="10"/>
  <c r="BJ50" i="10"/>
  <c r="AY50" i="10"/>
  <c r="BU59" i="10"/>
  <c r="AZ13" i="11"/>
  <c r="BK13" i="11"/>
  <c r="BK75" i="10"/>
  <c r="BS37" i="10"/>
  <c r="AZ45" i="10"/>
  <c r="BK45" i="10"/>
  <c r="AX43" i="10"/>
  <c r="BI43" i="10"/>
  <c r="BS10" i="10"/>
  <c r="BI34" i="10"/>
  <c r="AX34" i="10"/>
  <c r="AH23" i="8"/>
  <c r="BU19" i="10"/>
  <c r="AY122" i="1"/>
  <c r="BJ122" i="1"/>
  <c r="AB6" i="8"/>
  <c r="BI119" i="1"/>
  <c r="AX119" i="1"/>
  <c r="BB119" i="1" s="1"/>
  <c r="BU16" i="10"/>
  <c r="AY135" i="1"/>
  <c r="BJ135" i="1"/>
  <c r="BJ119" i="1"/>
  <c r="AZ38" i="10"/>
  <c r="BK38" i="10"/>
  <c r="AX9" i="10"/>
  <c r="BB9" i="10" s="1"/>
  <c r="BI9" i="10"/>
  <c r="AZ111" i="1"/>
  <c r="BK111" i="1"/>
  <c r="AB18" i="8"/>
  <c r="AY98" i="1"/>
  <c r="BJ98" i="1"/>
  <c r="BD21" i="10"/>
  <c r="AD7" i="8"/>
  <c r="AC8" i="8"/>
  <c r="AB14" i="8"/>
  <c r="AD9" i="8"/>
  <c r="AC15" i="8"/>
  <c r="AE10" i="8"/>
  <c r="AD22" i="8"/>
  <c r="AX88" i="1"/>
  <c r="BI88" i="1"/>
  <c r="AY65" i="1"/>
  <c r="BJ65" i="1"/>
  <c r="BJ75" i="1"/>
  <c r="AY75" i="1"/>
  <c r="BC75" i="1" s="1"/>
  <c r="BK24" i="1"/>
  <c r="AZ24" i="1"/>
  <c r="BK66" i="1"/>
  <c r="AZ66" i="1"/>
  <c r="AY8" i="1"/>
  <c r="BC8" i="1" s="1"/>
  <c r="AY13" i="1"/>
  <c r="BJ13" i="1"/>
  <c r="BK82" i="1"/>
  <c r="AZ82" i="1"/>
  <c r="BK43" i="1"/>
  <c r="AZ43" i="1"/>
  <c r="AZ20" i="1"/>
  <c r="BD20" i="1" s="1"/>
  <c r="BK20" i="1"/>
  <c r="X14" i="2"/>
  <c r="P14" i="2"/>
  <c r="BI97" i="1"/>
  <c r="AX97" i="1"/>
  <c r="P13" i="2"/>
  <c r="X13" i="2"/>
  <c r="BC28" i="1"/>
  <c r="AX19" i="1"/>
  <c r="BC19" i="1" s="1"/>
  <c r="D9" i="7"/>
  <c r="D8" i="7"/>
  <c r="K7" i="2"/>
  <c r="BC113" i="11" l="1"/>
  <c r="BC127" i="11"/>
  <c r="BB79" i="11"/>
  <c r="BD86" i="11"/>
  <c r="BB28" i="11"/>
  <c r="BD12" i="11"/>
  <c r="BB39" i="11"/>
  <c r="BC51" i="11"/>
  <c r="BC14" i="11"/>
  <c r="BB90" i="11"/>
  <c r="BC76" i="11"/>
  <c r="BC11" i="11"/>
  <c r="BB77" i="11"/>
  <c r="BB114" i="11"/>
  <c r="BB24" i="11"/>
  <c r="BB67" i="11"/>
  <c r="BB73" i="11"/>
  <c r="BB34" i="11"/>
  <c r="BC130" i="11"/>
  <c r="BC55" i="11"/>
  <c r="BC93" i="11"/>
  <c r="BB83" i="11"/>
  <c r="BC121" i="11"/>
  <c r="BC75" i="11"/>
  <c r="BC110" i="11"/>
  <c r="BC100" i="11"/>
  <c r="BC92" i="11"/>
  <c r="BC33" i="11"/>
  <c r="BD85" i="11"/>
  <c r="BD37" i="11"/>
  <c r="BD111" i="11"/>
  <c r="BB117" i="11"/>
  <c r="BB118" i="11"/>
  <c r="BD50" i="11"/>
  <c r="BB36" i="11"/>
  <c r="BC61" i="11"/>
  <c r="BD25" i="11"/>
  <c r="BC72" i="11"/>
  <c r="BC80" i="11"/>
  <c r="BD26" i="11"/>
  <c r="BB31" i="11"/>
  <c r="BB22" i="11"/>
  <c r="BD104" i="11"/>
  <c r="BD9" i="11"/>
  <c r="BB125" i="11"/>
  <c r="BB63" i="11"/>
  <c r="BD91" i="11"/>
  <c r="BD95" i="11"/>
  <c r="BB87" i="11"/>
  <c r="BD18" i="11"/>
  <c r="BD128" i="11"/>
  <c r="BD19" i="11"/>
  <c r="BC32" i="11"/>
  <c r="BD45" i="11"/>
  <c r="BB62" i="11"/>
  <c r="BB137" i="11"/>
  <c r="BC66" i="11"/>
  <c r="BD108" i="11"/>
  <c r="BC10" i="11"/>
  <c r="BC52" i="11"/>
  <c r="BC43" i="11"/>
  <c r="BB54" i="11"/>
  <c r="BB119" i="11"/>
  <c r="BB116" i="11"/>
  <c r="BB29" i="11"/>
  <c r="BB23" i="11"/>
  <c r="BD131" i="11"/>
  <c r="BC13" i="11"/>
  <c r="BB41" i="11"/>
  <c r="BD126" i="11"/>
  <c r="BB8" i="11"/>
  <c r="BD81" i="11"/>
  <c r="BB15" i="11"/>
  <c r="BB124" i="11"/>
  <c r="BC16" i="11"/>
  <c r="BC40" i="11"/>
  <c r="BC96" i="11"/>
  <c r="BF96" i="11" s="1"/>
  <c r="BG96" i="11" s="1"/>
  <c r="CL96" i="11" s="1"/>
  <c r="BB44" i="11"/>
  <c r="BY2" i="11"/>
  <c r="BD20" i="11"/>
  <c r="BB71" i="11"/>
  <c r="BC42" i="11"/>
  <c r="BD53" i="11"/>
  <c r="BB105" i="11"/>
  <c r="BD93" i="11"/>
  <c r="BC27" i="11"/>
  <c r="BD46" i="11"/>
  <c r="BD88" i="11"/>
  <c r="BC136" i="11"/>
  <c r="BF136" i="11" s="1"/>
  <c r="BG136" i="11" s="1"/>
  <c r="CL136" i="11" s="1"/>
  <c r="BB123" i="11"/>
  <c r="BC48" i="11"/>
  <c r="BC99" i="11"/>
  <c r="BB112" i="11"/>
  <c r="BB60" i="11"/>
  <c r="BC97" i="11"/>
  <c r="BC82" i="11"/>
  <c r="BD101" i="11"/>
  <c r="BC135" i="11"/>
  <c r="BD30" i="11"/>
  <c r="BC86" i="11"/>
  <c r="BD69" i="11"/>
  <c r="BD35" i="11"/>
  <c r="BD120" i="11"/>
  <c r="BD134" i="11"/>
  <c r="BD89" i="11"/>
  <c r="BC52" i="10"/>
  <c r="BC74" i="10"/>
  <c r="BD116" i="10"/>
  <c r="BB67" i="10"/>
  <c r="BC127" i="10"/>
  <c r="BB53" i="10"/>
  <c r="BB133" i="10"/>
  <c r="BC58" i="10"/>
  <c r="BD19" i="10"/>
  <c r="BC41" i="10"/>
  <c r="BC60" i="10"/>
  <c r="BD43" i="10"/>
  <c r="BD131" i="10"/>
  <c r="BC35" i="10"/>
  <c r="BC130" i="10"/>
  <c r="BB112" i="10"/>
  <c r="BD137" i="10"/>
  <c r="BC32" i="10"/>
  <c r="BD24" i="10"/>
  <c r="BD47" i="10"/>
  <c r="BB124" i="10"/>
  <c r="BC22" i="10"/>
  <c r="BD27" i="10"/>
  <c r="BC65" i="10"/>
  <c r="BF65" i="10" s="1"/>
  <c r="BG65" i="10" s="1"/>
  <c r="CM65" i="10" s="1"/>
  <c r="BD29" i="10"/>
  <c r="BB25" i="10"/>
  <c r="BB15" i="10"/>
  <c r="BD63" i="10"/>
  <c r="BB103" i="10"/>
  <c r="BD93" i="10"/>
  <c r="BC105" i="10"/>
  <c r="BC50" i="10"/>
  <c r="BD61" i="10"/>
  <c r="BB42" i="10"/>
  <c r="BC78" i="10"/>
  <c r="BD34" i="10"/>
  <c r="BC76" i="10"/>
  <c r="BD84" i="10"/>
  <c r="BB70" i="10"/>
  <c r="BF74" i="10"/>
  <c r="BG74" i="10" s="1"/>
  <c r="CM74" i="10" s="1"/>
  <c r="BD58" i="10"/>
  <c r="BD45" i="10"/>
  <c r="BB108" i="10"/>
  <c r="BB138" i="10"/>
  <c r="BD18" i="10"/>
  <c r="BC30" i="10"/>
  <c r="BC99" i="10"/>
  <c r="BB75" i="10"/>
  <c r="BB135" i="10"/>
  <c r="BC125" i="10"/>
  <c r="BC39" i="10"/>
  <c r="BB85" i="10"/>
  <c r="BB109" i="10"/>
  <c r="BC26" i="10"/>
  <c r="BD98" i="10"/>
  <c r="BD33" i="10"/>
  <c r="BD128" i="10"/>
  <c r="BC81" i="10"/>
  <c r="BC10" i="10"/>
  <c r="BB82" i="10"/>
  <c r="BD52" i="10"/>
  <c r="BB40" i="10"/>
  <c r="BB111" i="10"/>
  <c r="BC115" i="10"/>
  <c r="BD136" i="10"/>
  <c r="BW5" i="10"/>
  <c r="BD123" i="10"/>
  <c r="BY5" i="10"/>
  <c r="BD120" i="10"/>
  <c r="BD20" i="10"/>
  <c r="BD72" i="10"/>
  <c r="BB122" i="10"/>
  <c r="BB80" i="10"/>
  <c r="BD129" i="10"/>
  <c r="BW4" i="10"/>
  <c r="BC53" i="10"/>
  <c r="BD91" i="10"/>
  <c r="BC92" i="10"/>
  <c r="BD12" i="10"/>
  <c r="BD11" i="10"/>
  <c r="BC96" i="10"/>
  <c r="BD133" i="10"/>
  <c r="BD37" i="10"/>
  <c r="BC77" i="10"/>
  <c r="BD8" i="10"/>
  <c r="BB95" i="10"/>
  <c r="BC102" i="10"/>
  <c r="BD83" i="10"/>
  <c r="BC87" i="10"/>
  <c r="BC36" i="10"/>
  <c r="BC118" i="10"/>
  <c r="BC62" i="10"/>
  <c r="BB101" i="10"/>
  <c r="BD121" i="10"/>
  <c r="BC107" i="10"/>
  <c r="BB73" i="10"/>
  <c r="BC110" i="10"/>
  <c r="BC114" i="10"/>
  <c r="BB14" i="10"/>
  <c r="BC47" i="10"/>
  <c r="BD105" i="10"/>
  <c r="BD51" i="10"/>
  <c r="BC132" i="10"/>
  <c r="BB65" i="10"/>
  <c r="BC56" i="10"/>
  <c r="BB71" i="10"/>
  <c r="BB38" i="10"/>
  <c r="BC55" i="10"/>
  <c r="BD106" i="10"/>
  <c r="BC48" i="10"/>
  <c r="BD78" i="1"/>
  <c r="BB110" i="1"/>
  <c r="BB23" i="1"/>
  <c r="BF23" i="1" s="1"/>
  <c r="BG23" i="1" s="1"/>
  <c r="BC10" i="1"/>
  <c r="BC98" i="1"/>
  <c r="BD138" i="1"/>
  <c r="BD90" i="1"/>
  <c r="BB74" i="1"/>
  <c r="BB21" i="1"/>
  <c r="BB16" i="1"/>
  <c r="BF16" i="1" s="1"/>
  <c r="BG16" i="1" s="1"/>
  <c r="BB126" i="1"/>
  <c r="BD15" i="1"/>
  <c r="BD105" i="1"/>
  <c r="BB29" i="1"/>
  <c r="BC23" i="1"/>
  <c r="BB100" i="1"/>
  <c r="BB93" i="1"/>
  <c r="BD39" i="1"/>
  <c r="BC18" i="1"/>
  <c r="BC122" i="1"/>
  <c r="BD31" i="1"/>
  <c r="BB9" i="1"/>
  <c r="BB81" i="1"/>
  <c r="BD42" i="1"/>
  <c r="BB40" i="1"/>
  <c r="BD87" i="1"/>
  <c r="BD8" i="1"/>
  <c r="BF35" i="1"/>
  <c r="BG35" i="1" s="1"/>
  <c r="BB60" i="1"/>
  <c r="BD53" i="1"/>
  <c r="BB77" i="1"/>
  <c r="BD21" i="1"/>
  <c r="BB25" i="1"/>
  <c r="BF25" i="1" s="1"/>
  <c r="BG25" i="1" s="1"/>
  <c r="BB32" i="1"/>
  <c r="BB35" i="1"/>
  <c r="BB96" i="1"/>
  <c r="BF96" i="1" s="1"/>
  <c r="BG96" i="1" s="1"/>
  <c r="BB103" i="1"/>
  <c r="BC65" i="1"/>
  <c r="BC24" i="1"/>
  <c r="BD120" i="1"/>
  <c r="BC131" i="1"/>
  <c r="BC103" i="1"/>
  <c r="BF103" i="1" s="1"/>
  <c r="BG103" i="1" s="1"/>
  <c r="BC57" i="1"/>
  <c r="BC69" i="1"/>
  <c r="BD13" i="1"/>
  <c r="BC107" i="1"/>
  <c r="BC59" i="1"/>
  <c r="BB36" i="1"/>
  <c r="BC125" i="1"/>
  <c r="BC26" i="1"/>
  <c r="BD70" i="1"/>
  <c r="BD29" i="1"/>
  <c r="BD130" i="1"/>
  <c r="BC92" i="1"/>
  <c r="BD86" i="1"/>
  <c r="BB88" i="1"/>
  <c r="BD40" i="1"/>
  <c r="BB49" i="1"/>
  <c r="BB101" i="1"/>
  <c r="BD80" i="1"/>
  <c r="BC97" i="1"/>
  <c r="BD102" i="1"/>
  <c r="BD72" i="1"/>
  <c r="BC85" i="1"/>
  <c r="BC42" i="1"/>
  <c r="BD108" i="1"/>
  <c r="BB79" i="1"/>
  <c r="BF79" i="1" s="1"/>
  <c r="BG79" i="1" s="1"/>
  <c r="BD104" i="1"/>
  <c r="BD124" i="1"/>
  <c r="BD89" i="1"/>
  <c r="BD55" i="1"/>
  <c r="BC115" i="1"/>
  <c r="BC78" i="1"/>
  <c r="BD76" i="1"/>
  <c r="BD34" i="1"/>
  <c r="BD126" i="1"/>
  <c r="BC62" i="1"/>
  <c r="BD56" i="1"/>
  <c r="BD68" i="1"/>
  <c r="BC33" i="1"/>
  <c r="BB111" i="1"/>
  <c r="BB89" i="1"/>
  <c r="BD119" i="1"/>
  <c r="BC109" i="1"/>
  <c r="BB95" i="1"/>
  <c r="BC79" i="1"/>
  <c r="BD69" i="1"/>
  <c r="BD43" i="1"/>
  <c r="BC15" i="1"/>
  <c r="BB38" i="1"/>
  <c r="BC72" i="1"/>
  <c r="BC44" i="1"/>
  <c r="BD54" i="1"/>
  <c r="BD65" i="1"/>
  <c r="BC81" i="1"/>
  <c r="BD71" i="1"/>
  <c r="BD82" i="1"/>
  <c r="BB129" i="1"/>
  <c r="BC127" i="1"/>
  <c r="BD134" i="1"/>
  <c r="BD19" i="1"/>
  <c r="BC84" i="1"/>
  <c r="BD122" i="1"/>
  <c r="BB114" i="1"/>
  <c r="BB61" i="1"/>
  <c r="BC112" i="1"/>
  <c r="BB45" i="1"/>
  <c r="BB11" i="1"/>
  <c r="BC41" i="1"/>
  <c r="BD46" i="1"/>
  <c r="BC67" i="1"/>
  <c r="BB24" i="1"/>
  <c r="BC21" i="1"/>
  <c r="BF21" i="1" s="1"/>
  <c r="BG21" i="1" s="1"/>
  <c r="BC63" i="1"/>
  <c r="BC37" i="1"/>
  <c r="BB128" i="1"/>
  <c r="BD136" i="1"/>
  <c r="BD18" i="1"/>
  <c r="BC50" i="1"/>
  <c r="BB51" i="1"/>
  <c r="BD117" i="1"/>
  <c r="BD48" i="1"/>
  <c r="BB31" i="1"/>
  <c r="BF31" i="1" s="1"/>
  <c r="BG31" i="1" s="1"/>
  <c r="BC66" i="1"/>
  <c r="BD106" i="1"/>
  <c r="BF106" i="1" s="1"/>
  <c r="BG106" i="1" s="1"/>
  <c r="BB64" i="1"/>
  <c r="BD116" i="1"/>
  <c r="BD137" i="1"/>
  <c r="BD97" i="1"/>
  <c r="BC13" i="1"/>
  <c r="BB83" i="1"/>
  <c r="BB118" i="1"/>
  <c r="BB17" i="1"/>
  <c r="BD131" i="1"/>
  <c r="BD133" i="1"/>
  <c r="BD123" i="1"/>
  <c r="BD58" i="1"/>
  <c r="BB99" i="1"/>
  <c r="BC139" i="1"/>
  <c r="BD14" i="1"/>
  <c r="BD30" i="1"/>
  <c r="BB18" i="1"/>
  <c r="BB8" i="1"/>
  <c r="BB126" i="11"/>
  <c r="BC134" i="10"/>
  <c r="BD134" i="10"/>
  <c r="BD132" i="1"/>
  <c r="BC132" i="1"/>
  <c r="BD28" i="11"/>
  <c r="BB22" i="1"/>
  <c r="BD22" i="1"/>
  <c r="C13" i="7"/>
  <c r="C20" i="7"/>
  <c r="F8" i="7"/>
  <c r="C10" i="7"/>
  <c r="BJ14" i="9" a="1"/>
  <c r="BJ14" i="9" s="1"/>
  <c r="BS14" i="9"/>
  <c r="AZ14" i="9"/>
  <c r="BW4" i="11"/>
  <c r="BC135" i="1"/>
  <c r="BB135" i="1"/>
  <c r="BC77" i="1"/>
  <c r="BC67" i="10"/>
  <c r="I21" i="2"/>
  <c r="I20" i="2"/>
  <c r="BC102" i="11"/>
  <c r="BC95" i="1"/>
  <c r="BB131" i="11"/>
  <c r="BI16" i="9" a="1"/>
  <c r="BI16" i="9" s="1"/>
  <c r="AY16" i="9"/>
  <c r="BR16" i="9"/>
  <c r="BD28" i="1"/>
  <c r="BF28" i="1" s="1"/>
  <c r="BG28" i="1" s="1"/>
  <c r="BB84" i="1"/>
  <c r="AJ9" i="8"/>
  <c r="AM9" i="8" s="1"/>
  <c r="AR9" i="8" a="1"/>
  <c r="AR9" i="8" s="1"/>
  <c r="BD139" i="1"/>
  <c r="BB88" i="10"/>
  <c r="BC137" i="10"/>
  <c r="AX15" i="9"/>
  <c r="BH15" i="9" a="1"/>
  <c r="BH15" i="9" s="1"/>
  <c r="AJ25" i="8"/>
  <c r="AR25" i="8" a="1"/>
  <c r="AR25" i="8" s="1"/>
  <c r="AK11" i="8"/>
  <c r="AS11" i="8" a="1"/>
  <c r="AS11" i="8" s="1"/>
  <c r="BC62" i="11"/>
  <c r="BI17" i="9" a="1"/>
  <c r="BI17" i="9" s="1"/>
  <c r="AY17" i="9"/>
  <c r="BB17" i="9" s="1"/>
  <c r="BR17" i="9"/>
  <c r="L20" i="7"/>
  <c r="L10" i="7"/>
  <c r="L13" i="7"/>
  <c r="BB51" i="10"/>
  <c r="BW5" i="11"/>
  <c r="BW33" i="11" s="1"/>
  <c r="BC73" i="11"/>
  <c r="BB120" i="11"/>
  <c r="BB86" i="10"/>
  <c r="BB91" i="10"/>
  <c r="BB107" i="10"/>
  <c r="BC82" i="10"/>
  <c r="BC22" i="1"/>
  <c r="BB58" i="1"/>
  <c r="BY2" i="10"/>
  <c r="BB57" i="1"/>
  <c r="AK7" i="8"/>
  <c r="AS7" i="8" a="1"/>
  <c r="AS7" i="8" s="1"/>
  <c r="BC46" i="1"/>
  <c r="BD125" i="1"/>
  <c r="BB46" i="10"/>
  <c r="BB76" i="10"/>
  <c r="BC94" i="10"/>
  <c r="BC87" i="11"/>
  <c r="BD136" i="11"/>
  <c r="BD73" i="1"/>
  <c r="BD85" i="1"/>
  <c r="BB109" i="1"/>
  <c r="AS23" i="8" a="1"/>
  <c r="AS23" i="8" s="1"/>
  <c r="AK23" i="8"/>
  <c r="AN23" i="8" s="1"/>
  <c r="BC93" i="10"/>
  <c r="BB117" i="10"/>
  <c r="BB63" i="1"/>
  <c r="BB56" i="10"/>
  <c r="BC12" i="11"/>
  <c r="BC36" i="11"/>
  <c r="BC133" i="1"/>
  <c r="BC21" i="11"/>
  <c r="BY4" i="11"/>
  <c r="BB71" i="1"/>
  <c r="BC16" i="10"/>
  <c r="BC44" i="11"/>
  <c r="BB52" i="10"/>
  <c r="BC104" i="10"/>
  <c r="BC54" i="11"/>
  <c r="BB81" i="11"/>
  <c r="BB23" i="10"/>
  <c r="BC8" i="11"/>
  <c r="BJ8" i="9" a="1"/>
  <c r="BJ8" i="9" s="1"/>
  <c r="AJ23" i="8"/>
  <c r="BC42" i="10"/>
  <c r="BC135" i="10"/>
  <c r="BF135" i="10" s="1"/>
  <c r="BG135" i="10" s="1"/>
  <c r="CM135" i="10" s="1"/>
  <c r="BC63" i="11"/>
  <c r="BD103" i="10"/>
  <c r="BC47" i="11"/>
  <c r="BD125" i="11"/>
  <c r="AK21" i="8"/>
  <c r="BD64" i="11"/>
  <c r="BB127" i="1"/>
  <c r="BD40" i="11"/>
  <c r="BR12" i="9"/>
  <c r="BB42" i="1"/>
  <c r="BB107" i="11"/>
  <c r="BB100" i="10"/>
  <c r="BD100" i="10"/>
  <c r="BC100" i="1"/>
  <c r="E20" i="7"/>
  <c r="E13" i="7"/>
  <c r="E10" i="7"/>
  <c r="BD111" i="1"/>
  <c r="BD55" i="11"/>
  <c r="BS25" i="9"/>
  <c r="BJ25" i="9" a="1"/>
  <c r="BJ25" i="9" s="1"/>
  <c r="AZ25" i="9"/>
  <c r="BB86" i="11"/>
  <c r="BD60" i="11"/>
  <c r="BB13" i="10"/>
  <c r="AK14" i="8"/>
  <c r="AS14" i="8" a="1"/>
  <c r="AS14" i="8" s="1"/>
  <c r="BB72" i="10"/>
  <c r="BC56" i="1"/>
  <c r="BY3" i="10"/>
  <c r="BB75" i="1"/>
  <c r="Z13" i="2"/>
  <c r="AJ15" i="8"/>
  <c r="AR15" i="8" a="1"/>
  <c r="AR15" i="8" s="1"/>
  <c r="BC120" i="1"/>
  <c r="BD121" i="11"/>
  <c r="BC108" i="1"/>
  <c r="AJ13" i="8"/>
  <c r="AR13" i="8" a="1"/>
  <c r="AR13" i="8" s="1"/>
  <c r="BC68" i="11"/>
  <c r="BS21" i="9"/>
  <c r="AZ21" i="9"/>
  <c r="BJ21" i="9" a="1"/>
  <c r="BJ21" i="9" s="1"/>
  <c r="BC25" i="10"/>
  <c r="BB10" i="1"/>
  <c r="BY5" i="11"/>
  <c r="BC35" i="11"/>
  <c r="BB76" i="11"/>
  <c r="BB113" i="11"/>
  <c r="BB12" i="1"/>
  <c r="BC100" i="10"/>
  <c r="BC103" i="10"/>
  <c r="BC64" i="1"/>
  <c r="BC21" i="10"/>
  <c r="BF21" i="10" s="1"/>
  <c r="BG21" i="10" s="1"/>
  <c r="CM21" i="10" s="1"/>
  <c r="BC111" i="1"/>
  <c r="BD46" i="10"/>
  <c r="BD108" i="10"/>
  <c r="BB132" i="11"/>
  <c r="BC38" i="10"/>
  <c r="BX4" i="11"/>
  <c r="BX3" i="11"/>
  <c r="BX2" i="11"/>
  <c r="BX5" i="11"/>
  <c r="BD75" i="11"/>
  <c r="AZ8" i="9"/>
  <c r="BD8" i="9" s="1"/>
  <c r="BB125" i="1"/>
  <c r="BC29" i="10"/>
  <c r="BC119" i="10"/>
  <c r="BD117" i="11"/>
  <c r="BD11" i="1"/>
  <c r="BB37" i="10"/>
  <c r="BB110" i="10"/>
  <c r="BF110" i="10" s="1"/>
  <c r="BG110" i="10" s="1"/>
  <c r="CM110" i="10" s="1"/>
  <c r="BC20" i="10"/>
  <c r="BB41" i="10"/>
  <c r="BF41" i="10" s="1"/>
  <c r="BG41" i="10" s="1"/>
  <c r="CM41" i="10" s="1"/>
  <c r="BC49" i="11"/>
  <c r="AY12" i="9"/>
  <c r="BB134" i="1"/>
  <c r="BC97" i="10"/>
  <c r="BD78" i="11"/>
  <c r="BB122" i="11"/>
  <c r="AR12" i="8" a="1"/>
  <c r="AR12" i="8" s="1"/>
  <c r="AJ12" i="8"/>
  <c r="AR17" i="8" a="1"/>
  <c r="AR17" i="8" s="1"/>
  <c r="AJ17" i="8"/>
  <c r="BC41" i="11"/>
  <c r="BB26" i="1"/>
  <c r="AK18" i="8"/>
  <c r="AN18" i="8" s="1"/>
  <c r="AS18" i="8" a="1"/>
  <c r="AS18" i="8" s="1"/>
  <c r="BD111" i="10"/>
  <c r="AK19" i="8"/>
  <c r="AS19" i="8" a="1"/>
  <c r="AS19" i="8" s="1"/>
  <c r="BD26" i="1"/>
  <c r="BD78" i="10"/>
  <c r="BB53" i="11"/>
  <c r="BB45" i="11"/>
  <c r="BD110" i="1"/>
  <c r="AK24" i="8"/>
  <c r="AN24" i="8" s="1"/>
  <c r="AS24" i="8" a="1"/>
  <c r="AS24" i="8" s="1"/>
  <c r="BB61" i="11"/>
  <c r="BD137" i="11"/>
  <c r="BS11" i="9"/>
  <c r="AZ11" i="9"/>
  <c r="BJ11" i="9" a="1"/>
  <c r="BJ11" i="9" s="1"/>
  <c r="BD12" i="1"/>
  <c r="BC88" i="1"/>
  <c r="BB89" i="11"/>
  <c r="BH14" i="9" a="1"/>
  <c r="BH14" i="9" s="1"/>
  <c r="AX14" i="9"/>
  <c r="M9" i="7"/>
  <c r="K14" i="7"/>
  <c r="K21" i="7"/>
  <c r="BB32" i="10"/>
  <c r="BD71" i="10"/>
  <c r="BB115" i="10"/>
  <c r="BW3" i="11"/>
  <c r="BC111" i="11"/>
  <c r="BD95" i="1"/>
  <c r="BC129" i="1"/>
  <c r="BD76" i="10"/>
  <c r="BD34" i="11"/>
  <c r="BC90" i="11"/>
  <c r="BC124" i="11"/>
  <c r="BY114" i="11"/>
  <c r="BB46" i="1"/>
  <c r="BB122" i="1"/>
  <c r="BF122" i="1" s="1"/>
  <c r="BG122" i="1" s="1"/>
  <c r="BB84" i="10"/>
  <c r="BD65" i="10"/>
  <c r="BD54" i="11"/>
  <c r="BC67" i="11"/>
  <c r="BQ10" i="9"/>
  <c r="BB53" i="1"/>
  <c r="BD59" i="1"/>
  <c r="BD128" i="1"/>
  <c r="BB138" i="1"/>
  <c r="BB62" i="10"/>
  <c r="BB116" i="10"/>
  <c r="BD8" i="11"/>
  <c r="BC25" i="11"/>
  <c r="BS26" i="9"/>
  <c r="BJ26" i="9" a="1"/>
  <c r="BJ26" i="9" s="1"/>
  <c r="AZ26" i="9"/>
  <c r="BC49" i="1"/>
  <c r="BC11" i="10"/>
  <c r="BD15" i="11"/>
  <c r="BD17" i="11"/>
  <c r="BD138" i="11"/>
  <c r="BD9" i="1"/>
  <c r="BD80" i="10"/>
  <c r="BD135" i="11"/>
  <c r="BD75" i="1"/>
  <c r="BB116" i="1"/>
  <c r="BD14" i="10"/>
  <c r="BD69" i="10"/>
  <c r="BB20" i="11"/>
  <c r="BH16" i="9" a="1"/>
  <c r="BH16" i="9" s="1"/>
  <c r="AX16" i="9"/>
  <c r="BQ22" i="9"/>
  <c r="BD94" i="10"/>
  <c r="BD38" i="11"/>
  <c r="BR9" i="9"/>
  <c r="BI9" i="9" a="1"/>
  <c r="BI9" i="9" s="1"/>
  <c r="AY9" i="9"/>
  <c r="AX25" i="9"/>
  <c r="BH25" i="9" a="1"/>
  <c r="BH25" i="9" s="1"/>
  <c r="BB12" i="10"/>
  <c r="BB66" i="10"/>
  <c r="BC120" i="10"/>
  <c r="BC121" i="1"/>
  <c r="BC64" i="10"/>
  <c r="BD119" i="10"/>
  <c r="BF119" i="10" s="1"/>
  <c r="BG119" i="10" s="1"/>
  <c r="CM119" i="10" s="1"/>
  <c r="AZ22" i="9"/>
  <c r="BC86" i="10"/>
  <c r="BD83" i="11"/>
  <c r="BB91" i="1"/>
  <c r="BC61" i="10"/>
  <c r="BB99" i="10"/>
  <c r="BD44" i="11"/>
  <c r="BD70" i="11"/>
  <c r="BB97" i="10"/>
  <c r="BF97" i="10" s="1"/>
  <c r="BG97" i="10" s="1"/>
  <c r="CM97" i="10" s="1"/>
  <c r="BC24" i="11"/>
  <c r="BC105" i="11"/>
  <c r="BS18" i="9"/>
  <c r="BJ18" i="9" a="1"/>
  <c r="BJ18" i="9" s="1"/>
  <c r="AZ18" i="9"/>
  <c r="BR14" i="9"/>
  <c r="BI14" i="9" a="1"/>
  <c r="BI14" i="9" s="1"/>
  <c r="AY14" i="9"/>
  <c r="BC14" i="9" s="1"/>
  <c r="BD82" i="10"/>
  <c r="BD99" i="1"/>
  <c r="BB49" i="10"/>
  <c r="BB56" i="1"/>
  <c r="BR19" i="9"/>
  <c r="AY19" i="9"/>
  <c r="BI19" i="9" a="1"/>
  <c r="BI19" i="9" s="1"/>
  <c r="BD93" i="1"/>
  <c r="D20" i="7"/>
  <c r="D10" i="7"/>
  <c r="D13" i="7"/>
  <c r="BD114" i="1"/>
  <c r="BC128" i="1"/>
  <c r="BC89" i="11"/>
  <c r="BD41" i="11"/>
  <c r="BQ12" i="9"/>
  <c r="BC43" i="1"/>
  <c r="BC73" i="10"/>
  <c r="BB115" i="1"/>
  <c r="K10" i="7"/>
  <c r="M8" i="7"/>
  <c r="M10" i="7" s="1"/>
  <c r="K13" i="7"/>
  <c r="M13" i="7" s="1"/>
  <c r="K20" i="7"/>
  <c r="BD50" i="10"/>
  <c r="BD101" i="10"/>
  <c r="BC37" i="11"/>
  <c r="BC74" i="1"/>
  <c r="BD109" i="10"/>
  <c r="BC45" i="11"/>
  <c r="BD73" i="11"/>
  <c r="BC132" i="11"/>
  <c r="AK20" i="8"/>
  <c r="AS20" i="8" a="1"/>
  <c r="AS20" i="8" s="1"/>
  <c r="BC71" i="1"/>
  <c r="BD45" i="1"/>
  <c r="BB92" i="1"/>
  <c r="BB123" i="1"/>
  <c r="BC51" i="1"/>
  <c r="BC11" i="1"/>
  <c r="BC54" i="1"/>
  <c r="BC126" i="1"/>
  <c r="BB12" i="11"/>
  <c r="BD100" i="11"/>
  <c r="BC126" i="11"/>
  <c r="BD127" i="1"/>
  <c r="BC26" i="11"/>
  <c r="BD112" i="1"/>
  <c r="BB79" i="10"/>
  <c r="BY38" i="11"/>
  <c r="BD97" i="11"/>
  <c r="BS24" i="9"/>
  <c r="BJ24" i="9" a="1"/>
  <c r="BJ24" i="9" s="1"/>
  <c r="AZ24" i="9"/>
  <c r="BB134" i="10"/>
  <c r="BF134" i="10" s="1"/>
  <c r="BG134" i="10" s="1"/>
  <c r="CM134" i="10" s="1"/>
  <c r="BD27" i="1"/>
  <c r="BC49" i="10"/>
  <c r="BD72" i="11"/>
  <c r="BD109" i="11"/>
  <c r="BD53" i="10"/>
  <c r="BY70" i="11"/>
  <c r="BD81" i="1"/>
  <c r="AK12" i="8"/>
  <c r="AN12" i="8" s="1"/>
  <c r="AS12" i="8" a="1"/>
  <c r="AS12" i="8" s="1"/>
  <c r="BD89" i="10"/>
  <c r="BJ9" i="9" a="1"/>
  <c r="BJ9" i="9" s="1"/>
  <c r="AZ9" i="9"/>
  <c r="BD9" i="9" s="1"/>
  <c r="BS9" i="9"/>
  <c r="BB130" i="1"/>
  <c r="BB19" i="11"/>
  <c r="BC101" i="11"/>
  <c r="AY8" i="9"/>
  <c r="BI8" i="9" a="1"/>
  <c r="BI8" i="9" s="1"/>
  <c r="BR8" i="9"/>
  <c r="BB112" i="1"/>
  <c r="AR10" i="8" a="1"/>
  <c r="AR10" i="8" s="1"/>
  <c r="BC37" i="10"/>
  <c r="BB131" i="10"/>
  <c r="BB94" i="11"/>
  <c r="BB80" i="11"/>
  <c r="BD114" i="11"/>
  <c r="BJ22" i="9" a="1"/>
  <c r="BJ22" i="9" s="1"/>
  <c r="BB118" i="10"/>
  <c r="BC126" i="10"/>
  <c r="BD14" i="11"/>
  <c r="BC120" i="11"/>
  <c r="BD98" i="11"/>
  <c r="BC116" i="1"/>
  <c r="BC85" i="11"/>
  <c r="BB47" i="1"/>
  <c r="BB65" i="1"/>
  <c r="BB138" i="11"/>
  <c r="AZ13" i="9"/>
  <c r="BS13" i="9"/>
  <c r="BJ13" i="9" a="1"/>
  <c r="BJ13" i="9" s="1"/>
  <c r="BC31" i="11"/>
  <c r="BY56" i="11"/>
  <c r="AK15" i="8"/>
  <c r="AN15" i="8" s="1"/>
  <c r="AS15" i="8" a="1"/>
  <c r="AS15" i="8" s="1"/>
  <c r="BD88" i="10"/>
  <c r="BS19" i="9"/>
  <c r="BJ19" i="9" a="1"/>
  <c r="BJ19" i="9" s="1"/>
  <c r="AZ19" i="9"/>
  <c r="BD19" i="9" s="1"/>
  <c r="BB43" i="10"/>
  <c r="BC123" i="1"/>
  <c r="D14" i="7"/>
  <c r="D21" i="7"/>
  <c r="K20" i="2"/>
  <c r="K21" i="2"/>
  <c r="AX12" i="9"/>
  <c r="BH12" i="9" a="1"/>
  <c r="BH12" i="9" s="1"/>
  <c r="AJ16" i="8"/>
  <c r="AR16" i="8" a="1"/>
  <c r="AR16" i="8" s="1"/>
  <c r="BB100" i="11"/>
  <c r="BD66" i="1"/>
  <c r="BY78" i="11"/>
  <c r="BC72" i="10"/>
  <c r="BD107" i="10"/>
  <c r="BB48" i="11"/>
  <c r="BS12" i="9"/>
  <c r="AZ12" i="9"/>
  <c r="BD12" i="9" s="1"/>
  <c r="BJ12" i="9" a="1"/>
  <c r="BJ12" i="9" s="1"/>
  <c r="W4" i="2"/>
  <c r="Z4" i="2" s="1"/>
  <c r="I7" i="2"/>
  <c r="L7" i="2" s="1"/>
  <c r="O4" i="2"/>
  <c r="L4" i="2"/>
  <c r="BB94" i="1"/>
  <c r="BC94" i="1"/>
  <c r="BB70" i="11"/>
  <c r="BC70" i="11"/>
  <c r="AX11" i="9"/>
  <c r="BB11" i="9" s="1"/>
  <c r="BH11" i="9" a="1"/>
  <c r="BH11" i="9" s="1"/>
  <c r="BB19" i="1"/>
  <c r="BF19" i="1" s="1"/>
  <c r="BG19" i="1" s="1"/>
  <c r="BD24" i="1"/>
  <c r="BF24" i="1" s="1"/>
  <c r="BG24" i="1" s="1"/>
  <c r="AJ14" i="8"/>
  <c r="AM14" i="8" s="1"/>
  <c r="AR14" i="8" a="1"/>
  <c r="AR14" i="8" s="1"/>
  <c r="BD38" i="10"/>
  <c r="BB34" i="10"/>
  <c r="BD13" i="11"/>
  <c r="BD95" i="10"/>
  <c r="Z14" i="2"/>
  <c r="BB66" i="1"/>
  <c r="BF66" i="1" s="1"/>
  <c r="BG66" i="1" s="1"/>
  <c r="BD88" i="1"/>
  <c r="BD26" i="10"/>
  <c r="BB14" i="11"/>
  <c r="BB72" i="11"/>
  <c r="BD135" i="1"/>
  <c r="BB78" i="10"/>
  <c r="BD32" i="11"/>
  <c r="BB132" i="10"/>
  <c r="BC119" i="11"/>
  <c r="BC38" i="1"/>
  <c r="BC69" i="11"/>
  <c r="BB110" i="11"/>
  <c r="BB128" i="11"/>
  <c r="BD109" i="1"/>
  <c r="BC70" i="1"/>
  <c r="BB137" i="1"/>
  <c r="BC85" i="10"/>
  <c r="BB104" i="10"/>
  <c r="BC128" i="10"/>
  <c r="BD36" i="11"/>
  <c r="BC23" i="11"/>
  <c r="BB39" i="1"/>
  <c r="BC61" i="1"/>
  <c r="BD83" i="1"/>
  <c r="AR7" i="8"/>
  <c r="AJ7" i="8"/>
  <c r="AM7" i="8" s="1"/>
  <c r="BD92" i="1"/>
  <c r="BC15" i="10"/>
  <c r="BD42" i="10"/>
  <c r="BB26" i="11"/>
  <c r="BC30" i="11"/>
  <c r="BY132" i="11"/>
  <c r="BC27" i="1"/>
  <c r="BD36" i="1"/>
  <c r="BD79" i="1"/>
  <c r="BB30" i="10"/>
  <c r="BB19" i="10"/>
  <c r="BF19" i="10" s="1"/>
  <c r="BG19" i="10" s="1"/>
  <c r="CM19" i="10" s="1"/>
  <c r="BB33" i="10"/>
  <c r="BB95" i="11"/>
  <c r="BC80" i="1"/>
  <c r="BC93" i="1"/>
  <c r="BC66" i="10"/>
  <c r="BC110" i="1"/>
  <c r="BB131" i="1"/>
  <c r="BD87" i="10"/>
  <c r="BD118" i="10"/>
  <c r="BY3" i="11"/>
  <c r="BB52" i="11"/>
  <c r="BD118" i="11"/>
  <c r="BB87" i="1"/>
  <c r="BF87" i="1" s="1"/>
  <c r="BG87" i="1" s="1"/>
  <c r="BC137" i="1"/>
  <c r="BD102" i="10"/>
  <c r="BB54" i="10"/>
  <c r="BB33" i="11"/>
  <c r="BF33" i="11" s="1"/>
  <c r="BG33" i="11" s="1"/>
  <c r="CL33" i="11" s="1"/>
  <c r="BD66" i="11"/>
  <c r="BC9" i="10"/>
  <c r="BF9" i="10" s="1"/>
  <c r="BG9" i="10" s="1"/>
  <c r="BD25" i="10"/>
  <c r="BD110" i="10"/>
  <c r="BD117" i="10"/>
  <c r="BC122" i="11"/>
  <c r="BH17" i="9" a="1"/>
  <c r="BH17" i="9" s="1"/>
  <c r="BC68" i="10"/>
  <c r="BF68" i="10" s="1"/>
  <c r="BG68" i="10" s="1"/>
  <c r="CM68" i="10" s="1"/>
  <c r="BD50" i="1"/>
  <c r="BF50" i="1" s="1"/>
  <c r="BG50" i="1" s="1"/>
  <c r="BD75" i="10"/>
  <c r="BD74" i="11"/>
  <c r="BC117" i="11"/>
  <c r="BF117" i="11" s="1"/>
  <c r="BG117" i="11" s="1"/>
  <c r="CL117" i="11" s="1"/>
  <c r="BC50" i="11"/>
  <c r="BF50" i="11" s="1"/>
  <c r="BG50" i="11" s="1"/>
  <c r="CL50" i="11" s="1"/>
  <c r="BY90" i="11"/>
  <c r="BD71" i="11"/>
  <c r="BC8" i="10"/>
  <c r="BB128" i="10"/>
  <c r="BD24" i="11"/>
  <c r="BF24" i="11" s="1"/>
  <c r="BG24" i="11" s="1"/>
  <c r="CL24" i="11" s="1"/>
  <c r="BD74" i="1"/>
  <c r="BC33" i="10"/>
  <c r="BC137" i="11"/>
  <c r="BB30" i="1"/>
  <c r="BB75" i="11"/>
  <c r="BF75" i="11" s="1"/>
  <c r="BG75" i="11" s="1"/>
  <c r="CL75" i="11" s="1"/>
  <c r="BB135" i="11"/>
  <c r="BF135" i="11" s="1"/>
  <c r="BG135" i="11" s="1"/>
  <c r="CL135" i="11" s="1"/>
  <c r="BD60" i="10"/>
  <c r="BD80" i="11"/>
  <c r="BD124" i="11"/>
  <c r="BD38" i="1"/>
  <c r="BC45" i="10"/>
  <c r="BC98" i="10"/>
  <c r="BD132" i="10"/>
  <c r="BB16" i="11"/>
  <c r="BB111" i="11"/>
  <c r="BD49" i="1"/>
  <c r="BD10" i="1"/>
  <c r="BC47" i="1"/>
  <c r="BC76" i="1"/>
  <c r="BB70" i="1"/>
  <c r="BC12" i="10"/>
  <c r="BD85" i="10"/>
  <c r="BB123" i="10"/>
  <c r="BC116" i="11"/>
  <c r="BD91" i="1"/>
  <c r="BB37" i="1"/>
  <c r="BD77" i="1"/>
  <c r="BB8" i="10"/>
  <c r="BB114" i="10"/>
  <c r="BC124" i="10"/>
  <c r="BD107" i="11"/>
  <c r="BB104" i="1"/>
  <c r="BC89" i="1"/>
  <c r="BB87" i="10"/>
  <c r="BB65" i="11"/>
  <c r="BC65" i="11"/>
  <c r="BI23" i="9" a="1"/>
  <c r="BI23" i="9" s="1"/>
  <c r="AY23" i="9"/>
  <c r="BC23" i="9" s="1"/>
  <c r="BR23" i="9"/>
  <c r="BB130" i="11"/>
  <c r="BC14" i="1"/>
  <c r="BB13" i="11"/>
  <c r="BD94" i="1"/>
  <c r="BB90" i="10"/>
  <c r="BY138" i="10"/>
  <c r="BD103" i="11"/>
  <c r="BB63" i="10"/>
  <c r="BC121" i="10"/>
  <c r="BB21" i="11"/>
  <c r="BB57" i="11"/>
  <c r="BD107" i="1"/>
  <c r="BD39" i="11"/>
  <c r="BC109" i="11"/>
  <c r="BB115" i="11"/>
  <c r="BD59" i="10"/>
  <c r="BB139" i="10"/>
  <c r="BB77" i="10"/>
  <c r="BD58" i="11"/>
  <c r="BH9" i="9" a="1"/>
  <c r="BH9" i="9" s="1"/>
  <c r="AX9" i="9"/>
  <c r="BC59" i="10"/>
  <c r="BC19" i="11"/>
  <c r="BB82" i="11"/>
  <c r="BB34" i="1"/>
  <c r="BB139" i="1"/>
  <c r="BD110" i="11"/>
  <c r="BB61" i="10"/>
  <c r="BF61" i="10" s="1"/>
  <c r="BG61" i="10" s="1"/>
  <c r="CM61" i="10" s="1"/>
  <c r="BB18" i="11"/>
  <c r="BD90" i="11"/>
  <c r="BD73" i="10"/>
  <c r="BX4" i="10"/>
  <c r="BX3" i="10"/>
  <c r="BX2" i="10"/>
  <c r="BX5" i="10"/>
  <c r="BB58" i="10"/>
  <c r="BB91" i="11"/>
  <c r="BF91" i="11" s="1"/>
  <c r="BG91" i="11" s="1"/>
  <c r="CL91" i="11" s="1"/>
  <c r="BC84" i="11"/>
  <c r="BC52" i="1"/>
  <c r="BD9" i="10"/>
  <c r="BB58" i="11"/>
  <c r="BC129" i="11"/>
  <c r="BB82" i="1"/>
  <c r="BF103" i="10"/>
  <c r="BG103" i="10" s="1"/>
  <c r="CM103" i="10" s="1"/>
  <c r="BC131" i="11"/>
  <c r="BR18" i="9"/>
  <c r="BI18" i="9" a="1"/>
  <c r="BI18" i="9" s="1"/>
  <c r="AY18" i="9"/>
  <c r="BS16" i="9"/>
  <c r="BJ16" i="9" a="1"/>
  <c r="BJ16" i="9" s="1"/>
  <c r="AZ16" i="9"/>
  <c r="BD16" i="9" s="1"/>
  <c r="BD56" i="10"/>
  <c r="AX23" i="9"/>
  <c r="BH23" i="9" a="1"/>
  <c r="BH23" i="9" s="1"/>
  <c r="BD84" i="1"/>
  <c r="R5" i="2"/>
  <c r="BD22" i="10"/>
  <c r="BD29" i="11"/>
  <c r="BB134" i="11"/>
  <c r="BD17" i="1"/>
  <c r="BD99" i="11"/>
  <c r="BR26" i="9"/>
  <c r="BI26" i="9" a="1"/>
  <c r="BI26" i="9" s="1"/>
  <c r="AY26" i="9"/>
  <c r="BJ17" i="9" a="1"/>
  <c r="BJ17" i="9" s="1"/>
  <c r="AZ17" i="9"/>
  <c r="BD17" i="9" s="1"/>
  <c r="BS17" i="9"/>
  <c r="BW3" i="10"/>
  <c r="BC106" i="10"/>
  <c r="BF106" i="10" s="1"/>
  <c r="BG106" i="10" s="1"/>
  <c r="CM106" i="10" s="1"/>
  <c r="BB32" i="11"/>
  <c r="BB69" i="11"/>
  <c r="BF114" i="11"/>
  <c r="BG114" i="11" s="1"/>
  <c r="CL114" i="11" s="1"/>
  <c r="BC108" i="11"/>
  <c r="BD32" i="10"/>
  <c r="Z5" i="2"/>
  <c r="BB69" i="1"/>
  <c r="BC27" i="10"/>
  <c r="AK10" i="8"/>
  <c r="AN10" i="8" s="1"/>
  <c r="AS10" i="8" a="1"/>
  <c r="AS10" i="8" s="1"/>
  <c r="BD40" i="10"/>
  <c r="BR25" i="9"/>
  <c r="BI25" i="9" a="1"/>
  <c r="BI25" i="9" s="1"/>
  <c r="AY25" i="9"/>
  <c r="BC25" i="9" s="1"/>
  <c r="AX7" i="9"/>
  <c r="BH7" i="9" a="1"/>
  <c r="BH7" i="9" s="1"/>
  <c r="BC9" i="1"/>
  <c r="BB15" i="1"/>
  <c r="BF15" i="1" s="1"/>
  <c r="BG15" i="1" s="1"/>
  <c r="AN9" i="8"/>
  <c r="BC71" i="11"/>
  <c r="BC17" i="1"/>
  <c r="BC82" i="1"/>
  <c r="AJ21" i="8"/>
  <c r="AM21" i="8" s="1"/>
  <c r="AR21" i="8" a="1"/>
  <c r="AR21" i="8" s="1"/>
  <c r="BB136" i="1"/>
  <c r="BB35" i="10"/>
  <c r="BB68" i="11"/>
  <c r="BR13" i="9"/>
  <c r="BI13" i="9" a="1"/>
  <c r="BI13" i="9" s="1"/>
  <c r="AY13" i="9"/>
  <c r="BC20" i="1"/>
  <c r="BB78" i="1"/>
  <c r="BF78" i="1" s="1"/>
  <c r="BG78" i="1" s="1"/>
  <c r="BC55" i="1"/>
  <c r="BD129" i="1"/>
  <c r="BD37" i="1"/>
  <c r="BB41" i="1"/>
  <c r="BF41" i="1" s="1"/>
  <c r="BG41" i="1" s="1"/>
  <c r="BC58" i="1"/>
  <c r="BC86" i="1"/>
  <c r="BD60" i="1"/>
  <c r="BD32" i="1"/>
  <c r="BB113" i="1"/>
  <c r="BB42" i="11"/>
  <c r="BB108" i="11"/>
  <c r="BD123" i="11"/>
  <c r="BC138" i="1"/>
  <c r="BD10" i="10"/>
  <c r="BB27" i="10"/>
  <c r="BB92" i="10"/>
  <c r="BD92" i="10"/>
  <c r="BX10" i="11"/>
  <c r="BB51" i="11"/>
  <c r="BB85" i="11"/>
  <c r="BF85" i="11" s="1"/>
  <c r="BG85" i="11" s="1"/>
  <c r="CL85" i="11" s="1"/>
  <c r="BY122" i="11"/>
  <c r="AX22" i="9"/>
  <c r="BH22" i="9" a="1"/>
  <c r="BH22" i="9" s="1"/>
  <c r="BD44" i="1"/>
  <c r="BD113" i="1"/>
  <c r="BD81" i="10"/>
  <c r="BC34" i="11"/>
  <c r="BC125" i="11"/>
  <c r="BC29" i="1"/>
  <c r="BB9" i="11"/>
  <c r="BC63" i="10"/>
  <c r="BD62" i="11"/>
  <c r="BD51" i="1"/>
  <c r="BB117" i="1"/>
  <c r="BC138" i="10"/>
  <c r="BF138" i="10" s="1"/>
  <c r="BG138" i="10" s="1"/>
  <c r="CM138" i="10" s="1"/>
  <c r="BD113" i="10"/>
  <c r="BB50" i="10"/>
  <c r="BD56" i="11"/>
  <c r="BB88" i="11"/>
  <c r="BQ7" i="9"/>
  <c r="AJ8" i="8"/>
  <c r="AM8" i="8" s="1"/>
  <c r="AR8" i="8" a="1"/>
  <c r="AR8" i="8" s="1"/>
  <c r="BC23" i="10"/>
  <c r="BD126" i="10"/>
  <c r="BF126" i="10" s="1"/>
  <c r="BG126" i="10" s="1"/>
  <c r="CM126" i="10" s="1"/>
  <c r="BC39" i="11"/>
  <c r="BD76" i="11"/>
  <c r="BB55" i="11"/>
  <c r="BB62" i="1"/>
  <c r="BD79" i="10"/>
  <c r="BC129" i="10"/>
  <c r="BC94" i="11"/>
  <c r="BD113" i="11"/>
  <c r="BY71" i="11"/>
  <c r="BD54" i="10"/>
  <c r="BC18" i="10"/>
  <c r="BB48" i="1"/>
  <c r="BF48" i="1" s="1"/>
  <c r="BG48" i="1" s="1"/>
  <c r="BB120" i="10"/>
  <c r="AY21" i="9"/>
  <c r="BC21" i="9" s="1"/>
  <c r="BR21" i="9"/>
  <c r="BI21" i="9" a="1"/>
  <c r="BI21" i="9" s="1"/>
  <c r="X20" i="2"/>
  <c r="J22" i="2"/>
  <c r="P20" i="2"/>
  <c r="P22" i="2" s="1"/>
  <c r="BC17" i="10"/>
  <c r="BD112" i="10"/>
  <c r="BF112" i="10" s="1"/>
  <c r="BG112" i="10" s="1"/>
  <c r="CM112" i="10" s="1"/>
  <c r="BD92" i="11"/>
  <c r="BB46" i="11"/>
  <c r="BF46" i="11" s="1"/>
  <c r="BG46" i="11" s="1"/>
  <c r="CL46" i="11" s="1"/>
  <c r="BD63" i="1"/>
  <c r="BB28" i="10"/>
  <c r="BC115" i="11"/>
  <c r="BB80" i="1"/>
  <c r="X21" i="2"/>
  <c r="P21" i="2"/>
  <c r="BC95" i="10"/>
  <c r="BF95" i="10" s="1"/>
  <c r="BG95" i="10" s="1"/>
  <c r="CM95" i="10" s="1"/>
  <c r="BB133" i="11"/>
  <c r="BB49" i="11"/>
  <c r="BF49" i="11" s="1"/>
  <c r="BG49" i="11" s="1"/>
  <c r="CL49" i="11" s="1"/>
  <c r="BD125" i="10"/>
  <c r="BC113" i="10"/>
  <c r="BC83" i="11"/>
  <c r="BC118" i="11"/>
  <c r="BD127" i="11"/>
  <c r="BF127" i="11" s="1"/>
  <c r="BG127" i="11" s="1"/>
  <c r="CL127" i="11" s="1"/>
  <c r="BB22" i="10"/>
  <c r="BD42" i="11"/>
  <c r="BB103" i="11"/>
  <c r="BD101" i="1"/>
  <c r="BC130" i="1"/>
  <c r="BD51" i="11"/>
  <c r="BC88" i="11"/>
  <c r="BC111" i="10"/>
  <c r="BF111" i="10" s="1"/>
  <c r="BG111" i="10" s="1"/>
  <c r="CM111" i="10" s="1"/>
  <c r="BC81" i="11"/>
  <c r="BB27" i="11"/>
  <c r="BF27" i="11" s="1"/>
  <c r="BG27" i="11" s="1"/>
  <c r="CL27" i="11" s="1"/>
  <c r="BC74" i="11"/>
  <c r="BC134" i="11"/>
  <c r="BD124" i="10"/>
  <c r="BF124" i="10" s="1"/>
  <c r="BG124" i="10" s="1"/>
  <c r="CM124" i="10" s="1"/>
  <c r="BD77" i="11"/>
  <c r="BD84" i="11"/>
  <c r="BB120" i="1"/>
  <c r="BC71" i="10"/>
  <c r="BB121" i="10"/>
  <c r="BD67" i="11"/>
  <c r="BD121" i="1"/>
  <c r="BB26" i="10"/>
  <c r="BD82" i="11"/>
  <c r="BB10" i="11"/>
  <c r="BB17" i="11"/>
  <c r="BC29" i="11"/>
  <c r="BC104" i="11"/>
  <c r="BH21" i="9" a="1"/>
  <c r="BH21" i="9" s="1"/>
  <c r="BD36" i="10"/>
  <c r="BC90" i="10"/>
  <c r="BD59" i="11"/>
  <c r="BD116" i="11"/>
  <c r="BB127" i="10"/>
  <c r="BB47" i="11"/>
  <c r="BH19" i="9" a="1"/>
  <c r="BH19" i="9" s="1"/>
  <c r="BC60" i="1"/>
  <c r="BF60" i="1" s="1"/>
  <c r="BG60" i="1" s="1"/>
  <c r="C21" i="7"/>
  <c r="C14" i="7"/>
  <c r="F9" i="7"/>
  <c r="BC124" i="1"/>
  <c r="BB17" i="10"/>
  <c r="BD17" i="10"/>
  <c r="BC43" i="10"/>
  <c r="BX60" i="11"/>
  <c r="BC91" i="10"/>
  <c r="BD119" i="11"/>
  <c r="BI10" i="9" a="1"/>
  <c r="BI10" i="9" s="1"/>
  <c r="BR10" i="9"/>
  <c r="AY10" i="9"/>
  <c r="BY4" i="10"/>
  <c r="BY14" i="10" s="1"/>
  <c r="BB56" i="11"/>
  <c r="BC56" i="11"/>
  <c r="BC99" i="1"/>
  <c r="AR18" i="8" a="1"/>
  <c r="AR18" i="8" s="1"/>
  <c r="AJ18" i="8"/>
  <c r="BC53" i="11"/>
  <c r="BQ15" i="9"/>
  <c r="E14" i="7"/>
  <c r="E21" i="7"/>
  <c r="BC83" i="1"/>
  <c r="BF83" i="1" s="1"/>
  <c r="BG83" i="1" s="1"/>
  <c r="BD33" i="1"/>
  <c r="O6" i="2"/>
  <c r="R6" i="2" s="1"/>
  <c r="W6" i="2"/>
  <c r="Z6" i="2" s="1"/>
  <c r="L6" i="2"/>
  <c r="BD118" i="1"/>
  <c r="BC18" i="11"/>
  <c r="BD23" i="11"/>
  <c r="BD63" i="11"/>
  <c r="BC136" i="10"/>
  <c r="BD112" i="11"/>
  <c r="BF112" i="11" s="1"/>
  <c r="BG112" i="11" s="1"/>
  <c r="CL112" i="11" s="1"/>
  <c r="AX8" i="9"/>
  <c r="BH8" i="9" a="1"/>
  <c r="BH8" i="9" s="1"/>
  <c r="AS6" i="8"/>
  <c r="AK6" i="8"/>
  <c r="BF54" i="1"/>
  <c r="BG54" i="1" s="1"/>
  <c r="BB43" i="1"/>
  <c r="BC134" i="1"/>
  <c r="BB83" i="10"/>
  <c r="BC131" i="10"/>
  <c r="BB137" i="10"/>
  <c r="BB66" i="11"/>
  <c r="BC60" i="11"/>
  <c r="BC24" i="10"/>
  <c r="BB76" i="1"/>
  <c r="BF76" i="1" s="1"/>
  <c r="BG76" i="1" s="1"/>
  <c r="BD30" i="10"/>
  <c r="AK25" i="8"/>
  <c r="AN25" i="8" s="1"/>
  <c r="AS25" i="8" a="1"/>
  <c r="AS25" i="8" s="1"/>
  <c r="BX28" i="11"/>
  <c r="BC79" i="11"/>
  <c r="BC22" i="11"/>
  <c r="BD61" i="11"/>
  <c r="BQ8" i="9"/>
  <c r="BF14" i="1"/>
  <c r="BG14" i="1" s="1"/>
  <c r="BD62" i="1"/>
  <c r="AK22" i="8"/>
  <c r="AN22" i="8" s="1"/>
  <c r="AS22" i="8" a="1"/>
  <c r="AS22" i="8" s="1"/>
  <c r="AJ11" i="8"/>
  <c r="AM11" i="8" s="1"/>
  <c r="AR11" i="8" a="1"/>
  <c r="AR11" i="8" s="1"/>
  <c r="BC40" i="1"/>
  <c r="BC104" i="1"/>
  <c r="BC114" i="1"/>
  <c r="BD28" i="10"/>
  <c r="AS17" i="8" a="1"/>
  <c r="AS17" i="8" s="1"/>
  <c r="AK17" i="8"/>
  <c r="AN17" i="8" s="1"/>
  <c r="BB18" i="10"/>
  <c r="BC80" i="10"/>
  <c r="BD139" i="10"/>
  <c r="BD133" i="11"/>
  <c r="BC128" i="11"/>
  <c r="BC105" i="1"/>
  <c r="BB72" i="1"/>
  <c r="BF72" i="1" s="1"/>
  <c r="BG72" i="1" s="1"/>
  <c r="BB48" i="10"/>
  <c r="BF48" i="10" s="1"/>
  <c r="BG48" i="10" s="1"/>
  <c r="CM48" i="10" s="1"/>
  <c r="BB89" i="10"/>
  <c r="BF89" i="10" s="1"/>
  <c r="BG89" i="10" s="1"/>
  <c r="CM89" i="10" s="1"/>
  <c r="BC9" i="11"/>
  <c r="BD79" i="11"/>
  <c r="BB106" i="11"/>
  <c r="BC45" i="1"/>
  <c r="BB68" i="1"/>
  <c r="BF68" i="1" s="1"/>
  <c r="BG68" i="1" s="1"/>
  <c r="BB60" i="10"/>
  <c r="BD114" i="10"/>
  <c r="BR22" i="9"/>
  <c r="BI22" i="9" a="1"/>
  <c r="BI22" i="9" s="1"/>
  <c r="AY22" i="9"/>
  <c r="BC22" i="9" s="1"/>
  <c r="BD122" i="10"/>
  <c r="BF102" i="10"/>
  <c r="BG102" i="10" s="1"/>
  <c r="CM102" i="10" s="1"/>
  <c r="AK16" i="8"/>
  <c r="AN16" i="8" s="1"/>
  <c r="AS16" i="8" a="1"/>
  <c r="AS16" i="8" s="1"/>
  <c r="BC101" i="10"/>
  <c r="BF101" i="10" s="1"/>
  <c r="BG101" i="10" s="1"/>
  <c r="CM101" i="10" s="1"/>
  <c r="BD138" i="10"/>
  <c r="BB98" i="11"/>
  <c r="BF98" i="11" s="1"/>
  <c r="BG98" i="11" s="1"/>
  <c r="CL98" i="11" s="1"/>
  <c r="BC77" i="11"/>
  <c r="BF77" i="11" s="1"/>
  <c r="BG77" i="11" s="1"/>
  <c r="CL77" i="11" s="1"/>
  <c r="BQ16" i="9"/>
  <c r="BB47" i="10"/>
  <c r="BC75" i="10"/>
  <c r="BD67" i="10"/>
  <c r="BF67" i="10" s="1"/>
  <c r="BG67" i="10" s="1"/>
  <c r="CM67" i="10" s="1"/>
  <c r="BC84" i="10"/>
  <c r="BB44" i="1"/>
  <c r="BC117" i="1"/>
  <c r="BB93" i="11"/>
  <c r="BF31" i="10"/>
  <c r="BG31" i="10" s="1"/>
  <c r="CM31" i="10" s="1"/>
  <c r="BD11" i="11"/>
  <c r="BC57" i="11"/>
  <c r="BB59" i="1"/>
  <c r="BB16" i="10"/>
  <c r="BB29" i="10"/>
  <c r="BF29" i="10" s="1"/>
  <c r="BG29" i="10" s="1"/>
  <c r="CM29" i="10" s="1"/>
  <c r="BB81" i="10"/>
  <c r="BC59" i="11"/>
  <c r="BB67" i="1"/>
  <c r="BF67" i="1" s="1"/>
  <c r="BG67" i="1" s="1"/>
  <c r="BB85" i="1"/>
  <c r="BF85" i="1" s="1"/>
  <c r="BG85" i="1" s="1"/>
  <c r="BB11" i="11"/>
  <c r="BB132" i="1"/>
  <c r="AJ22" i="8"/>
  <c r="AR22" i="8" a="1"/>
  <c r="AR22" i="8" s="1"/>
  <c r="BB11" i="10"/>
  <c r="BF11" i="10" s="1"/>
  <c r="BG11" i="10" s="1"/>
  <c r="CM11" i="10" s="1"/>
  <c r="BB93" i="10"/>
  <c r="BC118" i="1"/>
  <c r="BD35" i="10"/>
  <c r="BF130" i="10"/>
  <c r="BG130" i="10" s="1"/>
  <c r="CM130" i="10" s="1"/>
  <c r="BB99" i="11"/>
  <c r="BD64" i="1"/>
  <c r="BY99" i="11"/>
  <c r="R16" i="2"/>
  <c r="R11" i="2"/>
  <c r="BY88" i="11"/>
  <c r="BF95" i="1"/>
  <c r="BG95" i="1" s="1"/>
  <c r="BS10" i="9"/>
  <c r="BJ10" i="9" a="1"/>
  <c r="BJ10" i="9" s="1"/>
  <c r="AZ10" i="9"/>
  <c r="AX20" i="9"/>
  <c r="BH20" i="9" a="1"/>
  <c r="BH20" i="9" s="1"/>
  <c r="AJ19" i="8"/>
  <c r="AM19" i="8" s="1"/>
  <c r="AR19" i="8" a="1"/>
  <c r="AR19" i="8" s="1"/>
  <c r="BB102" i="1"/>
  <c r="BB107" i="1"/>
  <c r="BR7" i="9"/>
  <c r="AY7" i="9"/>
  <c r="BI7" i="9" a="1"/>
  <c r="BI7" i="9" s="1"/>
  <c r="BX79" i="11"/>
  <c r="BB78" i="11"/>
  <c r="BC102" i="1"/>
  <c r="BD22" i="11"/>
  <c r="BB24" i="10"/>
  <c r="AX10" i="9"/>
  <c r="BB10" i="9" s="1"/>
  <c r="BH10" i="9" a="1"/>
  <c r="BH10" i="9" s="1"/>
  <c r="BB90" i="1"/>
  <c r="BC90" i="1"/>
  <c r="BH13" i="9" a="1"/>
  <c r="BH13" i="9" s="1"/>
  <c r="AX13" i="9"/>
  <c r="BB13" i="9" s="1"/>
  <c r="BB69" i="10"/>
  <c r="BF69" i="10" s="1"/>
  <c r="BG69" i="10" s="1"/>
  <c r="CM69" i="10" s="1"/>
  <c r="BB37" i="11"/>
  <c r="BC116" i="10"/>
  <c r="BB97" i="1"/>
  <c r="AR6" i="8"/>
  <c r="AJ6" i="8"/>
  <c r="AM6" i="8" s="1"/>
  <c r="BB45" i="10"/>
  <c r="BC83" i="10"/>
  <c r="BC70" i="10"/>
  <c r="BF70" i="10" s="1"/>
  <c r="BG70" i="10" s="1"/>
  <c r="CM70" i="10" s="1"/>
  <c r="BD16" i="11"/>
  <c r="BB64" i="11"/>
  <c r="BC64" i="11"/>
  <c r="AX18" i="9"/>
  <c r="BB18" i="9" s="1"/>
  <c r="BH18" i="9" a="1"/>
  <c r="BH18" i="9" s="1"/>
  <c r="BB73" i="1"/>
  <c r="BC32" i="1"/>
  <c r="BC136" i="1"/>
  <c r="AS8" i="8"/>
  <c r="AK8" i="8"/>
  <c r="BD39" i="10"/>
  <c r="BB98" i="10"/>
  <c r="BX18" i="11"/>
  <c r="BB30" i="11"/>
  <c r="BD48" i="11"/>
  <c r="BD105" i="11"/>
  <c r="BI20" i="9" a="1"/>
  <c r="BI20" i="9" s="1"/>
  <c r="AY20" i="9"/>
  <c r="BC20" i="9" s="1"/>
  <c r="BR20" i="9"/>
  <c r="BC119" i="1"/>
  <c r="AK13" i="8"/>
  <c r="AN13" i="8" s="1"/>
  <c r="AS13" i="8" a="1"/>
  <c r="AS13" i="8" s="1"/>
  <c r="BD99" i="10"/>
  <c r="BB129" i="10"/>
  <c r="BC15" i="11"/>
  <c r="BF15" i="11" s="1"/>
  <c r="BG15" i="11" s="1"/>
  <c r="CL15" i="11" s="1"/>
  <c r="BX86" i="11"/>
  <c r="BX92" i="11"/>
  <c r="AZ15" i="9"/>
  <c r="BD15" i="9" s="1"/>
  <c r="BS15" i="9"/>
  <c r="BJ15" i="9" a="1"/>
  <c r="BJ15" i="9" s="1"/>
  <c r="L14" i="7"/>
  <c r="L21" i="7"/>
  <c r="BC40" i="10"/>
  <c r="BF40" i="10" s="1"/>
  <c r="BG40" i="10" s="1"/>
  <c r="CM40" i="10" s="1"/>
  <c r="BB124" i="1"/>
  <c r="BD55" i="10"/>
  <c r="BB96" i="10"/>
  <c r="BD96" i="10"/>
  <c r="BY118" i="10"/>
  <c r="BW2" i="11"/>
  <c r="BC20" i="11"/>
  <c r="BC123" i="11"/>
  <c r="BS7" i="9"/>
  <c r="BJ7" i="9" a="1"/>
  <c r="BJ7" i="9" s="1"/>
  <c r="AZ7" i="9"/>
  <c r="BD7" i="9" s="1"/>
  <c r="BB105" i="1"/>
  <c r="BB55" i="1"/>
  <c r="BB13" i="1"/>
  <c r="BD62" i="10"/>
  <c r="BC28" i="11"/>
  <c r="BD31" i="11"/>
  <c r="BY67" i="11"/>
  <c r="BB97" i="11"/>
  <c r="BF97" i="11" s="1"/>
  <c r="BG97" i="11" s="1"/>
  <c r="CL97" i="11" s="1"/>
  <c r="AX26" i="9"/>
  <c r="BB26" i="9" s="1"/>
  <c r="BH26" i="9" a="1"/>
  <c r="BH26" i="9" s="1"/>
  <c r="BD100" i="1"/>
  <c r="BD98" i="1"/>
  <c r="BB133" i="1"/>
  <c r="BC39" i="1"/>
  <c r="BC44" i="10"/>
  <c r="BD10" i="11"/>
  <c r="BY52" i="11"/>
  <c r="BB25" i="11"/>
  <c r="BD52" i="11"/>
  <c r="BF139" i="11"/>
  <c r="BG139" i="11" s="1"/>
  <c r="CL139" i="11" s="1"/>
  <c r="AX24" i="9"/>
  <c r="BB24" i="9" s="1"/>
  <c r="BH24" i="9" a="1"/>
  <c r="BH24" i="9" s="1"/>
  <c r="BB108" i="1"/>
  <c r="BB39" i="10"/>
  <c r="AJ20" i="8"/>
  <c r="AM20" i="8" s="1"/>
  <c r="AR20" i="8" a="1"/>
  <c r="AR20" i="8" s="1"/>
  <c r="BD15" i="10"/>
  <c r="BC13" i="10"/>
  <c r="BC34" i="10"/>
  <c r="BB104" i="11"/>
  <c r="BY138" i="11"/>
  <c r="BR11" i="9"/>
  <c r="BI11" i="9" a="1"/>
  <c r="BI11" i="9" s="1"/>
  <c r="AY11" i="9"/>
  <c r="BD52" i="1"/>
  <c r="BC133" i="10"/>
  <c r="BF133" i="10" s="1"/>
  <c r="BG133" i="10" s="1"/>
  <c r="CM133" i="10" s="1"/>
  <c r="BY89" i="11"/>
  <c r="P7" i="2"/>
  <c r="BD115" i="1"/>
  <c r="BD127" i="10"/>
  <c r="BC122" i="10"/>
  <c r="BB136" i="10"/>
  <c r="BB43" i="11"/>
  <c r="BF43" i="11" s="1"/>
  <c r="BG43" i="11" s="1"/>
  <c r="CL43" i="11" s="1"/>
  <c r="BD102" i="11"/>
  <c r="BF102" i="11" s="1"/>
  <c r="BG102" i="11" s="1"/>
  <c r="CL102" i="11" s="1"/>
  <c r="BX77" i="11"/>
  <c r="BC14" i="10"/>
  <c r="BC109" i="10"/>
  <c r="BD130" i="11"/>
  <c r="BB105" i="10"/>
  <c r="BB38" i="11"/>
  <c r="BD57" i="1"/>
  <c r="BB55" i="10"/>
  <c r="BD70" i="10"/>
  <c r="BB86" i="1"/>
  <c r="BD65" i="11"/>
  <c r="BR15" i="9"/>
  <c r="BI15" i="9" a="1"/>
  <c r="BI15" i="9" s="1"/>
  <c r="AY15" i="9"/>
  <c r="BB98" i="1"/>
  <c r="BC123" i="10"/>
  <c r="BD44" i="10"/>
  <c r="BB125" i="10"/>
  <c r="BB92" i="11"/>
  <c r="BQ13" i="9"/>
  <c r="BB57" i="10"/>
  <c r="BC57" i="10"/>
  <c r="BD106" i="11"/>
  <c r="BD129" i="11"/>
  <c r="BF129" i="11" s="1"/>
  <c r="BG129" i="11" s="1"/>
  <c r="CL129" i="11" s="1"/>
  <c r="BQ20" i="9"/>
  <c r="BB20" i="1"/>
  <c r="BB10" i="10"/>
  <c r="BD64" i="10"/>
  <c r="BD87" i="11"/>
  <c r="BB101" i="11"/>
  <c r="BF101" i="11" s="1"/>
  <c r="BG101" i="11" s="1"/>
  <c r="CL101" i="11" s="1"/>
  <c r="BB20" i="10"/>
  <c r="BF73" i="11" l="1"/>
  <c r="BG73" i="11" s="1"/>
  <c r="CL73" i="11" s="1"/>
  <c r="BW13" i="11"/>
  <c r="BF63" i="11"/>
  <c r="BG63" i="11" s="1"/>
  <c r="CL63" i="11" s="1"/>
  <c r="BW82" i="11"/>
  <c r="BF121" i="11"/>
  <c r="BG121" i="11" s="1"/>
  <c r="CL121" i="11" s="1"/>
  <c r="BW22" i="11"/>
  <c r="CE22" i="11" s="1"/>
  <c r="BF95" i="11"/>
  <c r="BG95" i="11" s="1"/>
  <c r="CL95" i="11" s="1"/>
  <c r="BW104" i="11"/>
  <c r="BY58" i="11"/>
  <c r="BW56" i="11"/>
  <c r="BF34" i="11"/>
  <c r="BG34" i="11" s="1"/>
  <c r="CL34" i="11" s="1"/>
  <c r="BW51" i="11"/>
  <c r="BW55" i="11"/>
  <c r="BF78" i="11"/>
  <c r="BG78" i="11" s="1"/>
  <c r="CL78" i="11" s="1"/>
  <c r="BW15" i="11"/>
  <c r="BF58" i="11"/>
  <c r="BG58" i="11" s="1"/>
  <c r="CL58" i="11" s="1"/>
  <c r="BW57" i="11"/>
  <c r="BW88" i="11"/>
  <c r="BW110" i="11"/>
  <c r="BW119" i="11"/>
  <c r="BW135" i="11"/>
  <c r="BW116" i="11"/>
  <c r="BF109" i="11"/>
  <c r="BG109" i="11" s="1"/>
  <c r="CL109" i="11" s="1"/>
  <c r="BX126" i="11"/>
  <c r="BX61" i="11"/>
  <c r="BF87" i="11"/>
  <c r="BG87" i="11" s="1"/>
  <c r="CL87" i="11" s="1"/>
  <c r="BW109" i="11"/>
  <c r="BW87" i="11"/>
  <c r="BF11" i="11"/>
  <c r="BG11" i="11" s="1"/>
  <c r="CL11" i="11" s="1"/>
  <c r="BF93" i="11"/>
  <c r="BG93" i="11" s="1"/>
  <c r="CL93" i="11" s="1"/>
  <c r="BX41" i="11"/>
  <c r="BW122" i="11"/>
  <c r="BF14" i="11"/>
  <c r="BG14" i="11" s="1"/>
  <c r="CL14" i="11" s="1"/>
  <c r="BX103" i="11"/>
  <c r="BF38" i="11"/>
  <c r="BG38" i="11" s="1"/>
  <c r="CL38" i="11" s="1"/>
  <c r="BX33" i="11"/>
  <c r="BX87" i="11"/>
  <c r="BF90" i="11"/>
  <c r="BG90" i="11" s="1"/>
  <c r="CL90" i="11" s="1"/>
  <c r="BW77" i="11"/>
  <c r="BW80" i="11"/>
  <c r="BF55" i="11"/>
  <c r="BG55" i="11" s="1"/>
  <c r="CL55" i="11" s="1"/>
  <c r="BW66" i="11"/>
  <c r="BF123" i="11"/>
  <c r="BG123" i="11" s="1"/>
  <c r="CL123" i="11" s="1"/>
  <c r="BX123" i="11"/>
  <c r="BX63" i="11"/>
  <c r="BX9" i="11"/>
  <c r="BX73" i="11"/>
  <c r="BX127" i="11"/>
  <c r="BF25" i="11"/>
  <c r="BG25" i="11" s="1"/>
  <c r="CL25" i="11" s="1"/>
  <c r="BF59" i="11"/>
  <c r="BG59" i="11" s="1"/>
  <c r="CL59" i="11" s="1"/>
  <c r="BW128" i="11"/>
  <c r="BW61" i="11"/>
  <c r="BW17" i="11"/>
  <c r="BF17" i="11"/>
  <c r="BG17" i="11" s="1"/>
  <c r="CL17" i="11" s="1"/>
  <c r="BW27" i="11"/>
  <c r="BY106" i="11"/>
  <c r="BX44" i="11"/>
  <c r="BX95" i="11"/>
  <c r="BF39" i="11"/>
  <c r="BG39" i="11" s="1"/>
  <c r="CL39" i="11" s="1"/>
  <c r="BF111" i="11"/>
  <c r="BG111" i="11" s="1"/>
  <c r="CL111" i="11" s="1"/>
  <c r="BF137" i="11"/>
  <c r="BG137" i="11" s="1"/>
  <c r="CL137" i="11" s="1"/>
  <c r="BF12" i="11"/>
  <c r="BG12" i="11" s="1"/>
  <c r="CL12" i="11" s="1"/>
  <c r="BX128" i="11"/>
  <c r="BX81" i="11"/>
  <c r="BX22" i="11"/>
  <c r="BX74" i="11"/>
  <c r="BX23" i="11"/>
  <c r="BX67" i="11"/>
  <c r="BF23" i="11"/>
  <c r="BG23" i="11" s="1"/>
  <c r="CL23" i="11" s="1"/>
  <c r="BX38" i="11"/>
  <c r="BF28" i="11"/>
  <c r="BG28" i="11" s="1"/>
  <c r="CL28" i="11" s="1"/>
  <c r="BW71" i="11"/>
  <c r="BW16" i="11"/>
  <c r="BX83" i="11"/>
  <c r="BF29" i="11"/>
  <c r="BG29" i="11" s="1"/>
  <c r="CL29" i="11" s="1"/>
  <c r="BX108" i="11"/>
  <c r="BF36" i="11"/>
  <c r="BG36" i="11" s="1"/>
  <c r="CL36" i="11" s="1"/>
  <c r="BX40" i="11"/>
  <c r="BW107" i="11"/>
  <c r="BX53" i="11"/>
  <c r="BY130" i="11"/>
  <c r="BY77" i="11"/>
  <c r="BW68" i="11"/>
  <c r="BX17" i="11"/>
  <c r="BX131" i="11"/>
  <c r="BX111" i="11"/>
  <c r="BW79" i="11"/>
  <c r="BX34" i="11"/>
  <c r="BX24" i="11"/>
  <c r="BF86" i="11"/>
  <c r="BG86" i="11" s="1"/>
  <c r="CL86" i="11" s="1"/>
  <c r="BF69" i="11"/>
  <c r="BG69" i="11" s="1"/>
  <c r="CL69" i="11" s="1"/>
  <c r="BX69" i="11"/>
  <c r="BW19" i="11"/>
  <c r="BF60" i="11"/>
  <c r="BG60" i="11" s="1"/>
  <c r="CL60" i="11" s="1"/>
  <c r="BX102" i="11"/>
  <c r="CB102" i="11" s="1"/>
  <c r="BX11" i="11"/>
  <c r="BX119" i="11"/>
  <c r="BX110" i="11"/>
  <c r="BX85" i="11"/>
  <c r="BX117" i="11"/>
  <c r="BW95" i="11"/>
  <c r="BF105" i="11"/>
  <c r="BG105" i="11" s="1"/>
  <c r="CL105" i="11" s="1"/>
  <c r="BF84" i="11"/>
  <c r="BG84" i="11" s="1"/>
  <c r="CL84" i="11" s="1"/>
  <c r="BX135" i="11"/>
  <c r="BX50" i="11"/>
  <c r="BX30" i="11"/>
  <c r="BX100" i="11"/>
  <c r="BX93" i="11"/>
  <c r="BF66" i="11"/>
  <c r="BG66" i="11" s="1"/>
  <c r="CL66" i="11" s="1"/>
  <c r="BX75" i="11"/>
  <c r="BF67" i="11"/>
  <c r="BG67" i="11" s="1"/>
  <c r="CL67" i="11" s="1"/>
  <c r="BX31" i="11"/>
  <c r="BW75" i="11"/>
  <c r="BW101" i="11"/>
  <c r="BX39" i="11"/>
  <c r="BW115" i="11"/>
  <c r="BF100" i="11"/>
  <c r="BG100" i="11" s="1"/>
  <c r="CL100" i="11" s="1"/>
  <c r="BW92" i="11"/>
  <c r="BF124" i="11"/>
  <c r="BG124" i="11" s="1"/>
  <c r="CL124" i="11" s="1"/>
  <c r="BF40" i="11"/>
  <c r="BG40" i="11" s="1"/>
  <c r="CL40" i="11" s="1"/>
  <c r="BX20" i="11"/>
  <c r="BX78" i="11"/>
  <c r="BX52" i="11"/>
  <c r="BF71" i="11"/>
  <c r="BG71" i="11" s="1"/>
  <c r="CL71" i="11" s="1"/>
  <c r="BF72" i="11"/>
  <c r="BG72" i="11" s="1"/>
  <c r="CL72" i="11" s="1"/>
  <c r="BF44" i="11"/>
  <c r="BG44" i="11" s="1"/>
  <c r="CL44" i="11" s="1"/>
  <c r="BX48" i="11"/>
  <c r="BF79" i="11"/>
  <c r="BG79" i="11" s="1"/>
  <c r="CL79" i="11" s="1"/>
  <c r="BX138" i="11"/>
  <c r="BW84" i="11"/>
  <c r="BW132" i="11"/>
  <c r="CC132" i="11" s="1"/>
  <c r="BX42" i="11"/>
  <c r="BX45" i="11"/>
  <c r="BF54" i="11"/>
  <c r="BG54" i="11" s="1"/>
  <c r="CL54" i="11" s="1"/>
  <c r="BX57" i="11"/>
  <c r="BF118" i="11"/>
  <c r="BG118" i="11" s="1"/>
  <c r="CL118" i="11" s="1"/>
  <c r="BY75" i="11"/>
  <c r="CB75" i="11" s="1"/>
  <c r="BF37" i="11"/>
  <c r="BG37" i="11" s="1"/>
  <c r="CL37" i="11" s="1"/>
  <c r="BY81" i="11"/>
  <c r="BF22" i="11"/>
  <c r="BG22" i="11" s="1"/>
  <c r="CL22" i="11" s="1"/>
  <c r="BF47" i="11"/>
  <c r="BG47" i="11" s="1"/>
  <c r="CL47" i="11" s="1"/>
  <c r="BY116" i="11"/>
  <c r="BF83" i="11"/>
  <c r="BG83" i="11" s="1"/>
  <c r="CL83" i="11" s="1"/>
  <c r="BW91" i="11"/>
  <c r="CC91" i="11" s="1"/>
  <c r="BF138" i="11"/>
  <c r="BG138" i="11" s="1"/>
  <c r="CL138" i="11" s="1"/>
  <c r="BF41" i="11"/>
  <c r="BG41" i="11" s="1"/>
  <c r="CL41" i="11" s="1"/>
  <c r="BY135" i="11"/>
  <c r="BW44" i="11"/>
  <c r="BF62" i="11"/>
  <c r="BG62" i="11" s="1"/>
  <c r="CL62" i="11" s="1"/>
  <c r="BF130" i="11"/>
  <c r="BG130" i="11" s="1"/>
  <c r="CL130" i="11" s="1"/>
  <c r="BY23" i="11"/>
  <c r="BF70" i="11"/>
  <c r="BG70" i="11" s="1"/>
  <c r="CL70" i="11" s="1"/>
  <c r="BF80" i="11"/>
  <c r="BG80" i="11" s="1"/>
  <c r="CL80" i="11" s="1"/>
  <c r="BW31" i="11"/>
  <c r="BF45" i="11"/>
  <c r="BG45" i="11" s="1"/>
  <c r="CL45" i="11" s="1"/>
  <c r="BY84" i="11"/>
  <c r="BY66" i="11"/>
  <c r="BY72" i="11"/>
  <c r="BY55" i="11"/>
  <c r="BY110" i="11"/>
  <c r="BF30" i="11"/>
  <c r="BG30" i="11" s="1"/>
  <c r="CL30" i="11" s="1"/>
  <c r="BF64" i="11"/>
  <c r="BG64" i="11" s="1"/>
  <c r="CL64" i="11" s="1"/>
  <c r="BW34" i="11"/>
  <c r="BF21" i="11"/>
  <c r="BG21" i="11" s="1"/>
  <c r="CL21" i="11" s="1"/>
  <c r="BW18" i="11"/>
  <c r="BY123" i="11"/>
  <c r="BY91" i="11"/>
  <c r="BY117" i="11"/>
  <c r="BY127" i="11"/>
  <c r="BX116" i="11"/>
  <c r="BW76" i="11"/>
  <c r="BF92" i="11"/>
  <c r="BG92" i="11" s="1"/>
  <c r="CL92" i="11" s="1"/>
  <c r="BY97" i="11"/>
  <c r="BY61" i="11"/>
  <c r="CE61" i="11" s="1"/>
  <c r="BF32" i="11"/>
  <c r="BG32" i="11" s="1"/>
  <c r="CL32" i="11" s="1"/>
  <c r="BY98" i="11"/>
  <c r="BW10" i="11"/>
  <c r="BY131" i="11"/>
  <c r="BF8" i="11"/>
  <c r="BG8" i="11" s="1"/>
  <c r="CL8" i="11" s="1"/>
  <c r="BY113" i="11"/>
  <c r="BW39" i="11"/>
  <c r="BY83" i="11"/>
  <c r="BF35" i="11"/>
  <c r="BG35" i="11" s="1"/>
  <c r="CL35" i="11" s="1"/>
  <c r="BY136" i="11"/>
  <c r="BF99" i="11"/>
  <c r="BG99" i="11" s="1"/>
  <c r="CL99" i="11" s="1"/>
  <c r="BF103" i="11"/>
  <c r="BG103" i="11" s="1"/>
  <c r="CL103" i="11" s="1"/>
  <c r="BF88" i="11"/>
  <c r="BG88" i="11" s="1"/>
  <c r="CL88" i="11" s="1"/>
  <c r="BF125" i="11"/>
  <c r="BG125" i="11" s="1"/>
  <c r="CL125" i="11" s="1"/>
  <c r="BF18" i="11"/>
  <c r="BG18" i="11" s="1"/>
  <c r="CL18" i="11" s="1"/>
  <c r="BY62" i="11"/>
  <c r="BF116" i="11"/>
  <c r="BG116" i="11" s="1"/>
  <c r="CL116" i="11" s="1"/>
  <c r="BY31" i="11"/>
  <c r="CC31" i="11" s="1"/>
  <c r="BW133" i="11"/>
  <c r="BW50" i="11"/>
  <c r="BW102" i="11"/>
  <c r="BW52" i="11"/>
  <c r="CB52" i="11" s="1"/>
  <c r="BF31" i="11"/>
  <c r="BG31" i="11" s="1"/>
  <c r="CL31" i="11" s="1"/>
  <c r="BF119" i="11"/>
  <c r="BG119" i="11" s="1"/>
  <c r="CL119" i="11" s="1"/>
  <c r="BF74" i="11"/>
  <c r="BG74" i="11" s="1"/>
  <c r="CL74" i="11" s="1"/>
  <c r="BF115" i="11"/>
  <c r="BG115" i="11" s="1"/>
  <c r="CL115" i="11" s="1"/>
  <c r="BY76" i="11"/>
  <c r="BF13" i="11"/>
  <c r="BG13" i="11" s="1"/>
  <c r="CL13" i="11" s="1"/>
  <c r="BY46" i="11"/>
  <c r="BW78" i="11"/>
  <c r="CC78" i="11" s="1"/>
  <c r="BW20" i="11"/>
  <c r="BW118" i="10"/>
  <c r="BW28" i="10"/>
  <c r="BW103" i="10"/>
  <c r="BW136" i="10"/>
  <c r="BW119" i="10"/>
  <c r="BW110" i="10"/>
  <c r="BW128" i="10"/>
  <c r="BW120" i="10"/>
  <c r="BW85" i="10"/>
  <c r="BW131" i="10"/>
  <c r="BW117" i="10"/>
  <c r="BW81" i="10"/>
  <c r="BW25" i="10"/>
  <c r="BW54" i="10"/>
  <c r="BW107" i="10"/>
  <c r="BW9" i="10"/>
  <c r="CF9" i="10" s="1"/>
  <c r="BW116" i="10"/>
  <c r="BW89" i="10"/>
  <c r="BX42" i="10"/>
  <c r="BF14" i="10"/>
  <c r="BG14" i="10" s="1"/>
  <c r="CM14" i="10" s="1"/>
  <c r="BF54" i="10"/>
  <c r="BG54" i="10" s="1"/>
  <c r="CM54" i="10" s="1"/>
  <c r="BF115" i="10"/>
  <c r="BG115" i="10" s="1"/>
  <c r="CM115" i="10" s="1"/>
  <c r="BF64" i="10"/>
  <c r="BG64" i="10" s="1"/>
  <c r="CM64" i="10" s="1"/>
  <c r="BF93" i="10"/>
  <c r="BG93" i="10" s="1"/>
  <c r="CM93" i="10" s="1"/>
  <c r="BF75" i="10"/>
  <c r="BG75" i="10" s="1"/>
  <c r="CM75" i="10" s="1"/>
  <c r="BF47" i="10"/>
  <c r="BG47" i="10" s="1"/>
  <c r="CM47" i="10" s="1"/>
  <c r="BY81" i="10"/>
  <c r="BX78" i="10"/>
  <c r="BF42" i="10"/>
  <c r="BG42" i="10" s="1"/>
  <c r="CM42" i="10" s="1"/>
  <c r="BF36" i="10"/>
  <c r="BG36" i="10" s="1"/>
  <c r="CM36" i="10" s="1"/>
  <c r="BF57" i="10"/>
  <c r="BG57" i="10" s="1"/>
  <c r="CM57" i="10" s="1"/>
  <c r="BF129" i="10"/>
  <c r="BG129" i="10" s="1"/>
  <c r="CM129" i="10" s="1"/>
  <c r="BF55" i="10"/>
  <c r="BG55" i="10" s="1"/>
  <c r="CM55" i="10" s="1"/>
  <c r="BF122" i="10"/>
  <c r="BG122" i="10" s="1"/>
  <c r="CM122" i="10" s="1"/>
  <c r="BF59" i="10"/>
  <c r="BG59" i="10" s="1"/>
  <c r="CM59" i="10" s="1"/>
  <c r="BF128" i="10"/>
  <c r="BG128" i="10" s="1"/>
  <c r="CM128" i="10" s="1"/>
  <c r="BF33" i="10"/>
  <c r="BG33" i="10" s="1"/>
  <c r="CM33" i="10" s="1"/>
  <c r="BF15" i="10"/>
  <c r="BG15" i="10" s="1"/>
  <c r="CM15" i="10" s="1"/>
  <c r="BF85" i="10"/>
  <c r="BG85" i="10" s="1"/>
  <c r="CM85" i="10" s="1"/>
  <c r="BF82" i="10"/>
  <c r="BG82" i="10" s="1"/>
  <c r="CM82" i="10" s="1"/>
  <c r="BW20" i="10"/>
  <c r="BW48" i="10"/>
  <c r="BF10" i="10"/>
  <c r="BG10" i="10" s="1"/>
  <c r="BY51" i="10"/>
  <c r="BF50" i="10"/>
  <c r="BG50" i="10" s="1"/>
  <c r="CM50" i="10" s="1"/>
  <c r="BF73" i="10"/>
  <c r="BG73" i="10" s="1"/>
  <c r="CM73" i="10" s="1"/>
  <c r="BF52" i="10"/>
  <c r="BG52" i="10" s="1"/>
  <c r="CM52" i="10" s="1"/>
  <c r="BW124" i="10"/>
  <c r="BF77" i="10"/>
  <c r="BG77" i="10" s="1"/>
  <c r="CM77" i="10" s="1"/>
  <c r="BW132" i="10"/>
  <c r="BW35" i="10"/>
  <c r="BW17" i="10"/>
  <c r="CE17" i="10" s="1"/>
  <c r="BW38" i="10"/>
  <c r="BW42" i="10"/>
  <c r="BW22" i="10"/>
  <c r="BX82" i="10"/>
  <c r="BX123" i="10"/>
  <c r="BF94" i="10"/>
  <c r="BG94" i="10" s="1"/>
  <c r="CM94" i="10" s="1"/>
  <c r="BW73" i="10"/>
  <c r="BX12" i="10"/>
  <c r="BW133" i="10"/>
  <c r="BF104" i="10"/>
  <c r="BG104" i="10" s="1"/>
  <c r="CM104" i="10" s="1"/>
  <c r="BW30" i="10"/>
  <c r="BW125" i="10"/>
  <c r="BF105" i="10"/>
  <c r="BG105" i="10" s="1"/>
  <c r="CM105" i="10" s="1"/>
  <c r="BF120" i="10"/>
  <c r="BG120" i="10" s="1"/>
  <c r="CM120" i="10" s="1"/>
  <c r="BW59" i="10"/>
  <c r="BW88" i="10"/>
  <c r="BX32" i="10"/>
  <c r="BF81" i="10"/>
  <c r="BG81" i="10" s="1"/>
  <c r="CM81" i="10" s="1"/>
  <c r="BF60" i="10"/>
  <c r="BG60" i="10" s="1"/>
  <c r="CM60" i="10" s="1"/>
  <c r="BW45" i="10"/>
  <c r="BX70" i="10"/>
  <c r="BY64" i="10"/>
  <c r="BW112" i="10"/>
  <c r="BY9" i="10"/>
  <c r="BF132" i="10"/>
  <c r="BG132" i="10" s="1"/>
  <c r="CM132" i="10" s="1"/>
  <c r="BW75" i="10"/>
  <c r="BY104" i="10"/>
  <c r="BW80" i="10"/>
  <c r="BW29" i="10"/>
  <c r="BW53" i="10"/>
  <c r="BW32" i="10"/>
  <c r="BW34" i="10"/>
  <c r="BW60" i="10"/>
  <c r="BW21" i="10"/>
  <c r="BX125" i="10"/>
  <c r="BX67" i="10"/>
  <c r="BX8" i="10"/>
  <c r="BW137" i="10"/>
  <c r="BW24" i="10"/>
  <c r="BW114" i="10"/>
  <c r="BW14" i="10"/>
  <c r="BW123" i="10"/>
  <c r="BW19" i="10"/>
  <c r="BX135" i="10"/>
  <c r="BW94" i="10"/>
  <c r="BW43" i="10"/>
  <c r="BW86" i="10"/>
  <c r="BF45" i="10"/>
  <c r="BG45" i="10" s="1"/>
  <c r="CM45" i="10" s="1"/>
  <c r="BW93" i="10"/>
  <c r="BW105" i="10"/>
  <c r="BX22" i="10"/>
  <c r="BF38" i="10"/>
  <c r="BG38" i="10" s="1"/>
  <c r="CM38" i="10" s="1"/>
  <c r="BW37" i="10"/>
  <c r="BW58" i="10"/>
  <c r="BW129" i="10"/>
  <c r="BW13" i="10"/>
  <c r="BW33" i="10"/>
  <c r="BW31" i="10"/>
  <c r="BW77" i="10"/>
  <c r="BX136" i="10"/>
  <c r="BW50" i="10"/>
  <c r="BY53" i="10"/>
  <c r="BX113" i="10"/>
  <c r="BY60" i="10"/>
  <c r="BW87" i="10"/>
  <c r="BX134" i="10"/>
  <c r="CF134" i="10" s="1"/>
  <c r="BY128" i="10"/>
  <c r="BF108" i="10"/>
  <c r="BG108" i="10" s="1"/>
  <c r="CM108" i="10" s="1"/>
  <c r="BW74" i="10"/>
  <c r="BW66" i="10"/>
  <c r="BW126" i="10"/>
  <c r="BW95" i="10"/>
  <c r="BW61" i="10"/>
  <c r="BY16" i="10"/>
  <c r="BW16" i="10"/>
  <c r="BY112" i="10"/>
  <c r="BF96" i="10"/>
  <c r="BG96" i="10" s="1"/>
  <c r="CM96" i="10" s="1"/>
  <c r="BY35" i="10"/>
  <c r="BF109" i="10"/>
  <c r="BG109" i="10" s="1"/>
  <c r="CM109" i="10" s="1"/>
  <c r="BX93" i="10"/>
  <c r="BW84" i="10"/>
  <c r="BX35" i="10"/>
  <c r="BY37" i="10"/>
  <c r="BF16" i="10"/>
  <c r="BG16" i="10" s="1"/>
  <c r="CM16" i="10" s="1"/>
  <c r="BX115" i="10"/>
  <c r="BX90" i="10"/>
  <c r="BX20" i="10"/>
  <c r="BW62" i="10"/>
  <c r="CF62" i="10" s="1"/>
  <c r="BW10" i="10"/>
  <c r="BX58" i="10"/>
  <c r="BY10" i="10"/>
  <c r="BY31" i="10"/>
  <c r="BY29" i="10"/>
  <c r="BF78" i="10"/>
  <c r="BG78" i="10" s="1"/>
  <c r="CM78" i="10" s="1"/>
  <c r="BW92" i="10"/>
  <c r="BW99" i="10"/>
  <c r="BW26" i="10"/>
  <c r="BF25" i="10"/>
  <c r="BG25" i="10" s="1"/>
  <c r="CM25" i="10" s="1"/>
  <c r="BW108" i="10"/>
  <c r="BW104" i="10"/>
  <c r="BW44" i="10"/>
  <c r="BW83" i="10"/>
  <c r="BW72" i="10"/>
  <c r="BW106" i="10"/>
  <c r="BX104" i="10"/>
  <c r="BW41" i="10"/>
  <c r="BW111" i="10"/>
  <c r="BW36" i="10"/>
  <c r="BW15" i="10"/>
  <c r="BW64" i="10"/>
  <c r="BW69" i="10"/>
  <c r="BW102" i="10"/>
  <c r="BW76" i="10"/>
  <c r="BW113" i="10"/>
  <c r="BX23" i="10"/>
  <c r="BX18" i="10"/>
  <c r="BX9" i="10"/>
  <c r="BX95" i="10"/>
  <c r="BX80" i="10"/>
  <c r="BX28" i="10"/>
  <c r="BX34" i="10"/>
  <c r="BW47" i="10"/>
  <c r="BW67" i="10"/>
  <c r="BW109" i="10"/>
  <c r="BX114" i="10"/>
  <c r="BX69" i="10"/>
  <c r="CD69" i="10" s="1"/>
  <c r="BW40" i="10"/>
  <c r="BW98" i="10"/>
  <c r="BF20" i="10"/>
  <c r="BG20" i="10" s="1"/>
  <c r="CM20" i="10" s="1"/>
  <c r="BX84" i="10"/>
  <c r="BX59" i="10"/>
  <c r="BW71" i="10"/>
  <c r="BF8" i="10"/>
  <c r="BG8" i="10" s="1"/>
  <c r="CM8" i="10" s="1"/>
  <c r="BY70" i="10"/>
  <c r="BX89" i="10"/>
  <c r="BF121" i="10"/>
  <c r="BG121" i="10" s="1"/>
  <c r="CM121" i="10" s="1"/>
  <c r="BW12" i="10"/>
  <c r="BW27" i="10"/>
  <c r="BF63" i="10"/>
  <c r="BG63" i="10" s="1"/>
  <c r="CM63" i="10" s="1"/>
  <c r="BX15" i="10"/>
  <c r="BW79" i="10"/>
  <c r="BY105" i="10"/>
  <c r="BW55" i="10"/>
  <c r="BW127" i="10"/>
  <c r="BW70" i="10"/>
  <c r="BW52" i="10"/>
  <c r="BW78" i="10"/>
  <c r="BW82" i="10"/>
  <c r="BW100" i="10"/>
  <c r="BW65" i="10"/>
  <c r="BX131" i="10"/>
  <c r="BX110" i="10"/>
  <c r="BX62" i="10"/>
  <c r="BF137" i="10"/>
  <c r="BG137" i="10" s="1"/>
  <c r="CM137" i="10" s="1"/>
  <c r="BW23" i="10"/>
  <c r="BX94" i="10"/>
  <c r="CC94" i="10" s="1"/>
  <c r="BW97" i="10"/>
  <c r="BX137" i="10"/>
  <c r="BF24" i="10"/>
  <c r="BG24" i="10" s="1"/>
  <c r="CM24" i="10" s="1"/>
  <c r="BX92" i="10"/>
  <c r="CE92" i="10" s="1"/>
  <c r="BY103" i="10"/>
  <c r="BX47" i="10"/>
  <c r="BF71" i="10"/>
  <c r="BG71" i="10" s="1"/>
  <c r="CM71" i="10" s="1"/>
  <c r="BY36" i="10"/>
  <c r="BW49" i="10"/>
  <c r="BW63" i="10"/>
  <c r="BF53" i="10"/>
  <c r="BG53" i="10" s="1"/>
  <c r="CM53" i="10" s="1"/>
  <c r="BW51" i="10"/>
  <c r="BW91" i="10"/>
  <c r="BF51" i="10"/>
  <c r="BG51" i="10" s="1"/>
  <c r="CM51" i="10" s="1"/>
  <c r="BW134" i="10"/>
  <c r="BW101" i="10"/>
  <c r="BW115" i="10"/>
  <c r="BW122" i="10"/>
  <c r="BW46" i="10"/>
  <c r="BW18" i="10"/>
  <c r="BW139" i="10"/>
  <c r="BW121" i="10"/>
  <c r="BX118" i="10"/>
  <c r="CE118" i="10" s="1"/>
  <c r="BX109" i="10"/>
  <c r="BF125" i="10"/>
  <c r="BG125" i="10" s="1"/>
  <c r="CM125" i="10" s="1"/>
  <c r="BX61" i="10"/>
  <c r="BF44" i="10"/>
  <c r="BG44" i="10" s="1"/>
  <c r="CM44" i="10" s="1"/>
  <c r="BX24" i="10"/>
  <c r="BW130" i="10"/>
  <c r="BX127" i="10"/>
  <c r="BW57" i="10"/>
  <c r="BF113" i="10"/>
  <c r="BG113" i="10" s="1"/>
  <c r="CM113" i="10" s="1"/>
  <c r="BF58" i="10"/>
  <c r="BG58" i="10" s="1"/>
  <c r="CM58" i="10" s="1"/>
  <c r="BY33" i="10"/>
  <c r="BX77" i="10"/>
  <c r="CD77" i="10" s="1"/>
  <c r="BF80" i="10"/>
  <c r="BG80" i="10" s="1"/>
  <c r="CM80" i="10" s="1"/>
  <c r="BW11" i="10"/>
  <c r="BW56" i="10"/>
  <c r="BW68" i="10"/>
  <c r="CE68" i="10" s="1"/>
  <c r="BW135" i="10"/>
  <c r="BW90" i="10"/>
  <c r="BW96" i="10"/>
  <c r="BW138" i="10"/>
  <c r="BW39" i="10"/>
  <c r="BF121" i="1"/>
  <c r="BG121" i="1" s="1"/>
  <c r="BF131" i="1"/>
  <c r="BG131" i="1" s="1"/>
  <c r="BF45" i="1"/>
  <c r="BG45" i="1" s="1"/>
  <c r="BF99" i="1"/>
  <c r="BG99" i="1" s="1"/>
  <c r="BF69" i="1"/>
  <c r="BG69" i="1" s="1"/>
  <c r="BF56" i="1"/>
  <c r="BG56" i="1" s="1"/>
  <c r="BF74" i="1"/>
  <c r="BG74" i="1" s="1"/>
  <c r="BF20" i="1"/>
  <c r="BG20" i="1" s="1"/>
  <c r="BF108" i="1"/>
  <c r="BG108" i="1" s="1"/>
  <c r="BF29" i="1"/>
  <c r="BG29" i="1" s="1"/>
  <c r="BF53" i="1"/>
  <c r="BG53" i="1" s="1"/>
  <c r="BF88" i="1"/>
  <c r="BG88" i="1" s="1"/>
  <c r="BF47" i="1"/>
  <c r="BG47" i="1" s="1"/>
  <c r="BF40" i="1"/>
  <c r="BG40" i="1" s="1"/>
  <c r="BF42" i="1"/>
  <c r="BG42" i="1" s="1"/>
  <c r="BF38" i="1"/>
  <c r="BG38" i="1" s="1"/>
  <c r="BF18" i="1"/>
  <c r="BG18" i="1" s="1"/>
  <c r="BF129" i="1"/>
  <c r="BG129" i="1" s="1"/>
  <c r="BF93" i="1"/>
  <c r="BG93" i="1" s="1"/>
  <c r="BF55" i="1"/>
  <c r="BG55" i="1" s="1"/>
  <c r="BF32" i="1"/>
  <c r="BG32" i="1" s="1"/>
  <c r="BF107" i="1"/>
  <c r="BG107" i="1" s="1"/>
  <c r="BF111" i="1"/>
  <c r="BG111" i="1" s="1"/>
  <c r="BF101" i="1"/>
  <c r="BG101" i="1" s="1"/>
  <c r="BF26" i="1"/>
  <c r="BG26" i="1" s="1"/>
  <c r="BF64" i="1"/>
  <c r="BG64" i="1" s="1"/>
  <c r="BF114" i="1"/>
  <c r="BG114" i="1" s="1"/>
  <c r="BF33" i="1"/>
  <c r="BG33" i="1" s="1"/>
  <c r="BF97" i="1"/>
  <c r="BG97" i="1" s="1"/>
  <c r="BF34" i="1"/>
  <c r="BG34" i="1" s="1"/>
  <c r="BF89" i="1"/>
  <c r="BG89" i="1" s="1"/>
  <c r="BF126" i="1"/>
  <c r="BG126" i="1" s="1"/>
  <c r="BF13" i="1"/>
  <c r="BG13" i="1" s="1"/>
  <c r="BF27" i="1"/>
  <c r="BG27" i="1" s="1"/>
  <c r="BF59" i="1"/>
  <c r="BG59" i="1" s="1"/>
  <c r="BF137" i="1"/>
  <c r="BG137" i="1" s="1"/>
  <c r="BF86" i="1"/>
  <c r="BG86" i="1" s="1"/>
  <c r="BF30" i="1"/>
  <c r="BG30" i="1" s="1"/>
  <c r="BF132" i="1"/>
  <c r="BG132" i="1" s="1"/>
  <c r="BF80" i="1"/>
  <c r="BG80" i="1" s="1"/>
  <c r="BF9" i="1"/>
  <c r="BG9" i="1" s="1"/>
  <c r="BF36" i="1"/>
  <c r="BG36" i="1" s="1"/>
  <c r="BF119" i="1"/>
  <c r="BG119" i="1" s="1"/>
  <c r="BF102" i="1"/>
  <c r="BG102" i="1" s="1"/>
  <c r="BF81" i="1"/>
  <c r="BG81" i="1" s="1"/>
  <c r="BF11" i="1"/>
  <c r="BG11" i="1" s="1"/>
  <c r="BF100" i="1"/>
  <c r="BG100" i="1" s="1"/>
  <c r="BF105" i="1"/>
  <c r="BG105" i="1" s="1"/>
  <c r="BF73" i="1"/>
  <c r="BG73" i="1" s="1"/>
  <c r="BF118" i="1"/>
  <c r="BG118" i="1" s="1"/>
  <c r="BF46" i="1"/>
  <c r="BG46" i="1" s="1"/>
  <c r="BF120" i="1"/>
  <c r="BG120" i="1" s="1"/>
  <c r="BF51" i="1"/>
  <c r="BG51" i="1" s="1"/>
  <c r="BF128" i="1"/>
  <c r="BG128" i="1" s="1"/>
  <c r="BF65" i="1"/>
  <c r="BG65" i="1" s="1"/>
  <c r="BF22" i="1"/>
  <c r="BG22" i="1" s="1"/>
  <c r="BF44" i="1"/>
  <c r="BG44" i="1" s="1"/>
  <c r="BF52" i="1"/>
  <c r="BG52" i="1" s="1"/>
  <c r="BF123" i="1"/>
  <c r="BG123" i="1" s="1"/>
  <c r="BF124" i="1"/>
  <c r="BG124" i="1" s="1"/>
  <c r="BF61" i="1"/>
  <c r="BG61" i="1" s="1"/>
  <c r="BF92" i="1"/>
  <c r="BG92" i="1" s="1"/>
  <c r="BF17" i="1"/>
  <c r="BG17" i="1" s="1"/>
  <c r="BF110" i="1"/>
  <c r="BG110" i="1" s="1"/>
  <c r="BF112" i="1"/>
  <c r="BG112" i="1" s="1"/>
  <c r="BF91" i="1"/>
  <c r="BG91" i="1" s="1"/>
  <c r="BF49" i="1"/>
  <c r="BG49" i="1" s="1"/>
  <c r="BF117" i="1"/>
  <c r="BG117" i="1" s="1"/>
  <c r="BF133" i="1"/>
  <c r="BG133" i="1" s="1"/>
  <c r="BF139" i="1"/>
  <c r="BG139" i="1" s="1"/>
  <c r="BF77" i="1"/>
  <c r="BG77" i="1" s="1"/>
  <c r="BF42" i="11"/>
  <c r="BG42" i="11" s="1"/>
  <c r="CL42" i="11" s="1"/>
  <c r="BF136" i="1"/>
  <c r="BG136" i="1" s="1"/>
  <c r="BB7" i="9"/>
  <c r="BF139" i="10"/>
  <c r="BG139" i="10" s="1"/>
  <c r="CM139" i="10" s="1"/>
  <c r="BF16" i="11"/>
  <c r="BG16" i="11" s="1"/>
  <c r="CL16" i="11" s="1"/>
  <c r="BB16" i="9"/>
  <c r="BX21" i="11"/>
  <c r="M14" i="7"/>
  <c r="BX13" i="11"/>
  <c r="BX97" i="11"/>
  <c r="BF122" i="11"/>
  <c r="BG122" i="11" s="1"/>
  <c r="CL122" i="11" s="1"/>
  <c r="BX8" i="11"/>
  <c r="BX115" i="11"/>
  <c r="BX122" i="10"/>
  <c r="BX13" i="10"/>
  <c r="BX46" i="10"/>
  <c r="BF100" i="10"/>
  <c r="BG100" i="10" s="1"/>
  <c r="CM100" i="10" s="1"/>
  <c r="BX100" i="10"/>
  <c r="BF58" i="1"/>
  <c r="BG58" i="1" s="1"/>
  <c r="BX113" i="11"/>
  <c r="AP9" i="8" a="1"/>
  <c r="AP9" i="8" s="1"/>
  <c r="AQ9" i="8" s="1" a="1"/>
  <c r="AQ9" i="8" s="1"/>
  <c r="L20" i="2"/>
  <c r="W20" i="2"/>
  <c r="I22" i="2"/>
  <c r="O20" i="2"/>
  <c r="BC15" i="9"/>
  <c r="BF106" i="11"/>
  <c r="BG106" i="11" s="1"/>
  <c r="CL106" i="11" s="1"/>
  <c r="CD135" i="11"/>
  <c r="CC135" i="11"/>
  <c r="BF90" i="1"/>
  <c r="BG90" i="1" s="1"/>
  <c r="X22" i="2"/>
  <c r="BX68" i="10"/>
  <c r="BY63" i="10"/>
  <c r="BX105" i="10"/>
  <c r="BX50" i="10"/>
  <c r="BF82" i="1"/>
  <c r="BG82" i="1" s="1"/>
  <c r="BY110" i="10"/>
  <c r="BY47" i="10"/>
  <c r="BX82" i="11"/>
  <c r="BF39" i="1"/>
  <c r="BG39" i="1" s="1"/>
  <c r="BF48" i="11"/>
  <c r="BG48" i="11" s="1"/>
  <c r="CL48" i="11" s="1"/>
  <c r="AM24" i="8"/>
  <c r="AP24" i="8" s="1" a="1"/>
  <c r="AP24" i="8" s="1"/>
  <c r="AQ24" i="8" s="1" a="1"/>
  <c r="AQ24" i="8" s="1"/>
  <c r="BF118" i="10"/>
  <c r="BG118" i="10" s="1"/>
  <c r="CM118" i="10" s="1"/>
  <c r="BY101" i="10"/>
  <c r="BD22" i="9"/>
  <c r="BX25" i="10"/>
  <c r="CC25" i="10" s="1"/>
  <c r="BY45" i="11"/>
  <c r="BX41" i="10"/>
  <c r="BX66" i="11"/>
  <c r="BX38" i="10"/>
  <c r="CD38" i="10" s="1"/>
  <c r="BX75" i="10"/>
  <c r="BX96" i="10"/>
  <c r="BX76" i="11"/>
  <c r="CB76" i="11" s="1"/>
  <c r="BF84" i="1"/>
  <c r="BG84" i="1" s="1"/>
  <c r="W21" i="2"/>
  <c r="O21" i="2"/>
  <c r="L21" i="2"/>
  <c r="BW139" i="11"/>
  <c r="BW94" i="11"/>
  <c r="BW47" i="11"/>
  <c r="BW38" i="11"/>
  <c r="BW43" i="11"/>
  <c r="BW111" i="11"/>
  <c r="BW65" i="11"/>
  <c r="BW72" i="11"/>
  <c r="BW24" i="11"/>
  <c r="BW96" i="11"/>
  <c r="BW70" i="11"/>
  <c r="BW108" i="11"/>
  <c r="BW26" i="11"/>
  <c r="BW59" i="11"/>
  <c r="BW30" i="11"/>
  <c r="BW29" i="11"/>
  <c r="BW41" i="11"/>
  <c r="BW120" i="11"/>
  <c r="BW113" i="11"/>
  <c r="BW40" i="11"/>
  <c r="BW83" i="11"/>
  <c r="BW130" i="11"/>
  <c r="BW105" i="11"/>
  <c r="BW93" i="11"/>
  <c r="BW97" i="11"/>
  <c r="BW45" i="11"/>
  <c r="BW58" i="11"/>
  <c r="BW114" i="11"/>
  <c r="BW36" i="11"/>
  <c r="BW99" i="11"/>
  <c r="BW9" i="11"/>
  <c r="BW117" i="11"/>
  <c r="BW23" i="11"/>
  <c r="BW134" i="11"/>
  <c r="BW100" i="11"/>
  <c r="BW48" i="11"/>
  <c r="BW64" i="11"/>
  <c r="BW136" i="11"/>
  <c r="BW42" i="11"/>
  <c r="BW131" i="11"/>
  <c r="BW37" i="11"/>
  <c r="BW67" i="11"/>
  <c r="BW123" i="11"/>
  <c r="BW35" i="11"/>
  <c r="BW106" i="11"/>
  <c r="BW74" i="11"/>
  <c r="BW21" i="11"/>
  <c r="BW137" i="11"/>
  <c r="BW126" i="11"/>
  <c r="BW53" i="11"/>
  <c r="BW12" i="11"/>
  <c r="BW32" i="11"/>
  <c r="BW62" i="11"/>
  <c r="BW127" i="11"/>
  <c r="BW121" i="11"/>
  <c r="BW28" i="11"/>
  <c r="BW46" i="11"/>
  <c r="BW73" i="11"/>
  <c r="BW81" i="11"/>
  <c r="BW49" i="11"/>
  <c r="BW63" i="11"/>
  <c r="BW129" i="11"/>
  <c r="BW125" i="11"/>
  <c r="BW14" i="11"/>
  <c r="BW85" i="11"/>
  <c r="BW138" i="11"/>
  <c r="BW11" i="11"/>
  <c r="BW60" i="11"/>
  <c r="BW8" i="11"/>
  <c r="BW89" i="11"/>
  <c r="BW69" i="11"/>
  <c r="BW103" i="11"/>
  <c r="BW54" i="11"/>
  <c r="BW25" i="11"/>
  <c r="BW90" i="11"/>
  <c r="BW86" i="11"/>
  <c r="BW112" i="11"/>
  <c r="BW98" i="11"/>
  <c r="BX56" i="10"/>
  <c r="BC13" i="9"/>
  <c r="BF13" i="9" s="1" a="1"/>
  <c r="BF13" i="9" s="1"/>
  <c r="BG13" i="9" s="1" a="1"/>
  <c r="BG13" i="9" s="1"/>
  <c r="CK13" i="9" s="1"/>
  <c r="BF65" i="11"/>
  <c r="BG65" i="11" s="1"/>
  <c r="CL65" i="11" s="1"/>
  <c r="BF34" i="10"/>
  <c r="BG34" i="10" s="1"/>
  <c r="CM34" i="10" s="1"/>
  <c r="CE77" i="11"/>
  <c r="CD77" i="11"/>
  <c r="CC77" i="11"/>
  <c r="CB77" i="11"/>
  <c r="M15" i="7"/>
  <c r="M17" i="7" s="1"/>
  <c r="BX101" i="11"/>
  <c r="BF20" i="11"/>
  <c r="BG20" i="11" s="1"/>
  <c r="CL20" i="11" s="1"/>
  <c r="BB14" i="9"/>
  <c r="BX26" i="10"/>
  <c r="BF23" i="10"/>
  <c r="BG23" i="10" s="1"/>
  <c r="CM23" i="10" s="1"/>
  <c r="BX133" i="10"/>
  <c r="BF76" i="10"/>
  <c r="BG76" i="10" s="1"/>
  <c r="CM76" i="10" s="1"/>
  <c r="BX15" i="11"/>
  <c r="BW118" i="11"/>
  <c r="BX106" i="10"/>
  <c r="CD106" i="10" s="1"/>
  <c r="BX54" i="10"/>
  <c r="BW124" i="11"/>
  <c r="BF28" i="10"/>
  <c r="BG28" i="10" s="1"/>
  <c r="CM28" i="10" s="1"/>
  <c r="BV2" i="9"/>
  <c r="BV3" i="9"/>
  <c r="BV7" i="9" s="1"/>
  <c r="BV4" i="9"/>
  <c r="BV1" i="9"/>
  <c r="BF113" i="1"/>
  <c r="BG113" i="1" s="1"/>
  <c r="BF37" i="1"/>
  <c r="BG37" i="1" s="1"/>
  <c r="BF128" i="11"/>
  <c r="BG128" i="11" s="1"/>
  <c r="CL128" i="11" s="1"/>
  <c r="BF94" i="1"/>
  <c r="BG94" i="1" s="1"/>
  <c r="BF43" i="10"/>
  <c r="BG43" i="10" s="1"/>
  <c r="CM43" i="10" s="1"/>
  <c r="BC8" i="9"/>
  <c r="BX103" i="10"/>
  <c r="CE103" i="10" s="1"/>
  <c r="BF116" i="10"/>
  <c r="BG116" i="10" s="1"/>
  <c r="CM116" i="10" s="1"/>
  <c r="BD11" i="9"/>
  <c r="BF134" i="1"/>
  <c r="BG134" i="1" s="1"/>
  <c r="BX86" i="10"/>
  <c r="BX47" i="11"/>
  <c r="BX120" i="11"/>
  <c r="BX59" i="11"/>
  <c r="BX94" i="11"/>
  <c r="BX132" i="11"/>
  <c r="CB132" i="11" s="1"/>
  <c r="BX49" i="11"/>
  <c r="BX112" i="11"/>
  <c r="BX43" i="11"/>
  <c r="BX136" i="11"/>
  <c r="BX70" i="11"/>
  <c r="BX65" i="11"/>
  <c r="BX56" i="11"/>
  <c r="CD56" i="11" s="1"/>
  <c r="BX122" i="11"/>
  <c r="CB122" i="11" s="1"/>
  <c r="BX139" i="11"/>
  <c r="BX88" i="11"/>
  <c r="BX96" i="11"/>
  <c r="BX134" i="11"/>
  <c r="BX64" i="11"/>
  <c r="BX46" i="11"/>
  <c r="BX121" i="11"/>
  <c r="BX91" i="11"/>
  <c r="BX129" i="11"/>
  <c r="BD21" i="9"/>
  <c r="AM13" i="8"/>
  <c r="AP13" i="8" s="1" a="1"/>
  <c r="AP13" i="8" s="1"/>
  <c r="AQ13" i="8" s="1" a="1"/>
  <c r="AQ13" i="8" s="1"/>
  <c r="BF107" i="11"/>
  <c r="BG107" i="11" s="1"/>
  <c r="CL107" i="11" s="1"/>
  <c r="BX60" i="10"/>
  <c r="BX132" i="10"/>
  <c r="CE132" i="10" s="1"/>
  <c r="BY48" i="11"/>
  <c r="BD14" i="9"/>
  <c r="BX88" i="10"/>
  <c r="BF83" i="10"/>
  <c r="BG83" i="10" s="1"/>
  <c r="CM83" i="10" s="1"/>
  <c r="BF92" i="10"/>
  <c r="BG92" i="10" s="1"/>
  <c r="CM92" i="10" s="1"/>
  <c r="BC11" i="9"/>
  <c r="BF11" i="9" s="1" a="1"/>
  <c r="BF11" i="9" s="1"/>
  <c r="BG11" i="9" s="1" a="1"/>
  <c r="BG11" i="9" s="1"/>
  <c r="CK11" i="9" s="1"/>
  <c r="BX3" i="9"/>
  <c r="BX7" i="9" s="1"/>
  <c r="BX4" i="9"/>
  <c r="BX1" i="9"/>
  <c r="BX2" i="9"/>
  <c r="BB20" i="9"/>
  <c r="AM18" i="8"/>
  <c r="AP18" i="8" s="1" a="1"/>
  <c r="AP18" i="8" s="1"/>
  <c r="AQ18" i="8" s="1" a="1"/>
  <c r="AQ18" i="8" s="1"/>
  <c r="BY58" i="10"/>
  <c r="BY21" i="10"/>
  <c r="BY32" i="10"/>
  <c r="BY134" i="10"/>
  <c r="BY74" i="10"/>
  <c r="BY68" i="10"/>
  <c r="BY48" i="10"/>
  <c r="BY44" i="10"/>
  <c r="BY91" i="10"/>
  <c r="BY41" i="10"/>
  <c r="BY13" i="10"/>
  <c r="BY97" i="10"/>
  <c r="BY52" i="10"/>
  <c r="BY8" i="10"/>
  <c r="BY136" i="10"/>
  <c r="BY40" i="10"/>
  <c r="BY98" i="10"/>
  <c r="BY83" i="10"/>
  <c r="BY130" i="10"/>
  <c r="BY129" i="10"/>
  <c r="BY38" i="10"/>
  <c r="CF38" i="10" s="1"/>
  <c r="BY102" i="10"/>
  <c r="BY107" i="10"/>
  <c r="BY24" i="10"/>
  <c r="BY93" i="10"/>
  <c r="BY116" i="10"/>
  <c r="BY114" i="10"/>
  <c r="BY77" i="10"/>
  <c r="BY121" i="10"/>
  <c r="BY62" i="10"/>
  <c r="BY82" i="10"/>
  <c r="BY78" i="10"/>
  <c r="BY135" i="10"/>
  <c r="BY30" i="10"/>
  <c r="BY109" i="10"/>
  <c r="BY43" i="10"/>
  <c r="BY137" i="10"/>
  <c r="BY95" i="10"/>
  <c r="CB95" i="10" s="1"/>
  <c r="BY49" i="10"/>
  <c r="BY23" i="10"/>
  <c r="BY96" i="10"/>
  <c r="BY106" i="10"/>
  <c r="BY12" i="10"/>
  <c r="BY76" i="10"/>
  <c r="BY90" i="10"/>
  <c r="BY99" i="10"/>
  <c r="BY50" i="10"/>
  <c r="BY126" i="10"/>
  <c r="BY34" i="10"/>
  <c r="BY127" i="10"/>
  <c r="BY86" i="10"/>
  <c r="BY100" i="10"/>
  <c r="BY66" i="10"/>
  <c r="BY42" i="10"/>
  <c r="BY79" i="10"/>
  <c r="BY123" i="10"/>
  <c r="BY22" i="10"/>
  <c r="BY92" i="10"/>
  <c r="BY75" i="10"/>
  <c r="BY133" i="10"/>
  <c r="BY54" i="10"/>
  <c r="BY56" i="10"/>
  <c r="BY39" i="10"/>
  <c r="BY108" i="10"/>
  <c r="BY111" i="10"/>
  <c r="BY139" i="10"/>
  <c r="BY17" i="10"/>
  <c r="BY26" i="10"/>
  <c r="BY85" i="10"/>
  <c r="BY122" i="10"/>
  <c r="BY20" i="10"/>
  <c r="CF20" i="10" s="1"/>
  <c r="BY15" i="10"/>
  <c r="BY88" i="10"/>
  <c r="BY45" i="10"/>
  <c r="BY55" i="10"/>
  <c r="BY18" i="10"/>
  <c r="CF18" i="10" s="1"/>
  <c r="BY25" i="10"/>
  <c r="BY124" i="10"/>
  <c r="BY72" i="10"/>
  <c r="BY80" i="10"/>
  <c r="CD80" i="10" s="1"/>
  <c r="BY73" i="10"/>
  <c r="BY65" i="10"/>
  <c r="BY61" i="10"/>
  <c r="BY11" i="10"/>
  <c r="BY115" i="10"/>
  <c r="BY28" i="10"/>
  <c r="BF17" i="10"/>
  <c r="BG17" i="10" s="1"/>
  <c r="CM17" i="10" s="1"/>
  <c r="BX55" i="10"/>
  <c r="BX17" i="9"/>
  <c r="BC18" i="9"/>
  <c r="BF18" i="9" s="1" a="1"/>
  <c r="BF18" i="9" s="1"/>
  <c r="BG18" i="9" s="1" a="1"/>
  <c r="BG18" i="9" s="1"/>
  <c r="CK18" i="9" s="1"/>
  <c r="BF87" i="10"/>
  <c r="BG87" i="10" s="1"/>
  <c r="CM87" i="10" s="1"/>
  <c r="BF70" i="1"/>
  <c r="BG70" i="1" s="1"/>
  <c r="BF26" i="11"/>
  <c r="BG26" i="11" s="1"/>
  <c r="CL26" i="11" s="1"/>
  <c r="BF110" i="11"/>
  <c r="BG110" i="11" s="1"/>
  <c r="CL110" i="11" s="1"/>
  <c r="BX65" i="10"/>
  <c r="AM16" i="8"/>
  <c r="AP16" i="8" s="1" a="1"/>
  <c r="AP16" i="8" s="1"/>
  <c r="AQ16" i="8" s="1" a="1"/>
  <c r="AQ16" i="8" s="1"/>
  <c r="BX137" i="11"/>
  <c r="BF79" i="10"/>
  <c r="BG79" i="10" s="1"/>
  <c r="CM79" i="10" s="1"/>
  <c r="BX128" i="10"/>
  <c r="BC19" i="9"/>
  <c r="BX37" i="10"/>
  <c r="BY94" i="10"/>
  <c r="BX98" i="11"/>
  <c r="BC12" i="9"/>
  <c r="BX120" i="10"/>
  <c r="CB120" i="10" s="1"/>
  <c r="AM15" i="8"/>
  <c r="AP15" i="8" s="1" a="1"/>
  <c r="AP15" i="8" s="1"/>
  <c r="AQ15" i="8" s="1" a="1"/>
  <c r="AQ15" i="8" s="1"/>
  <c r="BF72" i="10"/>
  <c r="BG72" i="10" s="1"/>
  <c r="CM72" i="10" s="1"/>
  <c r="BX97" i="10"/>
  <c r="BX114" i="11"/>
  <c r="BF71" i="1"/>
  <c r="BG71" i="1" s="1"/>
  <c r="BF109" i="1"/>
  <c r="BG109" i="1" s="1"/>
  <c r="BF46" i="10"/>
  <c r="BG46" i="10" s="1"/>
  <c r="CM46" i="10" s="1"/>
  <c r="BY120" i="10"/>
  <c r="CD68" i="10"/>
  <c r="AM10" i="8"/>
  <c r="AP10" i="8" s="1" a="1"/>
  <c r="AP10" i="8" s="1"/>
  <c r="AQ10" i="8" s="1" a="1"/>
  <c r="AQ10" i="8" s="1"/>
  <c r="BF43" i="1"/>
  <c r="BG43" i="1" s="1"/>
  <c r="BC10" i="9"/>
  <c r="BF62" i="1"/>
  <c r="BG62" i="1" s="1"/>
  <c r="BF68" i="11"/>
  <c r="BG68" i="11" s="1"/>
  <c r="CL68" i="11" s="1"/>
  <c r="BX81" i="10"/>
  <c r="CB81" i="10" s="1"/>
  <c r="BX130" i="10"/>
  <c r="CD130" i="10" s="1"/>
  <c r="BX14" i="10"/>
  <c r="BX29" i="10"/>
  <c r="BX57" i="10"/>
  <c r="BX48" i="10"/>
  <c r="BX53" i="10"/>
  <c r="BX71" i="10"/>
  <c r="BX138" i="10"/>
  <c r="BX52" i="10"/>
  <c r="BX44" i="10"/>
  <c r="BX112" i="10"/>
  <c r="BX63" i="10"/>
  <c r="CB63" i="10" s="1"/>
  <c r="BX111" i="10"/>
  <c r="CE111" i="10" s="1"/>
  <c r="BX107" i="10"/>
  <c r="BX27" i="10"/>
  <c r="BX40" i="10"/>
  <c r="BX85" i="10"/>
  <c r="BX108" i="10"/>
  <c r="CF108" i="10" s="1"/>
  <c r="BX36" i="10"/>
  <c r="CB36" i="10" s="1"/>
  <c r="BX126" i="10"/>
  <c r="BX31" i="10"/>
  <c r="BX102" i="10"/>
  <c r="BX91" i="10"/>
  <c r="BX66" i="10"/>
  <c r="CC66" i="10" s="1"/>
  <c r="BX19" i="10"/>
  <c r="BF82" i="11"/>
  <c r="BG82" i="11" s="1"/>
  <c r="CL82" i="11" s="1"/>
  <c r="BF90" i="10"/>
  <c r="BG90" i="10" s="1"/>
  <c r="CM90" i="10" s="1"/>
  <c r="BF52" i="11"/>
  <c r="BG52" i="11" s="1"/>
  <c r="CL52" i="11" s="1"/>
  <c r="BX124" i="10"/>
  <c r="CC54" i="10"/>
  <c r="BX73" i="10"/>
  <c r="AP14" i="8" a="1"/>
  <c r="AP14" i="8" s="1"/>
  <c r="AQ14" i="8" s="1" a="1"/>
  <c r="AQ14" i="8" s="1"/>
  <c r="BF19" i="11"/>
  <c r="BG19" i="11" s="1"/>
  <c r="CL19" i="11" s="1"/>
  <c r="BX11" i="10"/>
  <c r="BF115" i="1"/>
  <c r="BG115" i="1" s="1"/>
  <c r="BY117" i="10"/>
  <c r="BX36" i="11"/>
  <c r="BY125" i="10"/>
  <c r="BF89" i="11"/>
  <c r="BG89" i="11" s="1"/>
  <c r="CL89" i="11" s="1"/>
  <c r="AN19" i="8"/>
  <c r="AP19" i="8" s="1" a="1"/>
  <c r="AP19" i="8" s="1"/>
  <c r="AQ19" i="8" s="1" a="1"/>
  <c r="AQ19" i="8" s="1"/>
  <c r="AM17" i="8"/>
  <c r="AP17" i="8" s="1" a="1"/>
  <c r="AP17" i="8" s="1"/>
  <c r="AQ17" i="8" s="1" a="1"/>
  <c r="AQ17" i="8" s="1"/>
  <c r="BX125" i="11"/>
  <c r="BY69" i="10"/>
  <c r="BX12" i="11"/>
  <c r="BX71" i="11"/>
  <c r="BX105" i="11"/>
  <c r="BF56" i="10"/>
  <c r="BG56" i="10" s="1"/>
  <c r="CM56" i="10" s="1"/>
  <c r="BF107" i="10"/>
  <c r="BG107" i="10" s="1"/>
  <c r="CM107" i="10" s="1"/>
  <c r="BB21" i="9"/>
  <c r="BF21" i="9" s="1" a="1"/>
  <c r="BF21" i="9" s="1"/>
  <c r="BG21" i="9" s="1" a="1"/>
  <c r="BG21" i="9" s="1"/>
  <c r="CK21" i="9" s="1"/>
  <c r="BV13" i="9"/>
  <c r="BF39" i="10"/>
  <c r="BG39" i="10" s="1"/>
  <c r="CM39" i="10" s="1"/>
  <c r="BF98" i="10"/>
  <c r="BG98" i="10" s="1"/>
  <c r="CM98" i="10" s="1"/>
  <c r="BF18" i="10"/>
  <c r="BG18" i="10" s="1"/>
  <c r="CM18" i="10" s="1"/>
  <c r="BF10" i="11"/>
  <c r="BG10" i="11" s="1"/>
  <c r="CL10" i="11" s="1"/>
  <c r="BF133" i="11"/>
  <c r="BG133" i="11" s="1"/>
  <c r="CL133" i="11" s="1"/>
  <c r="CC103" i="10"/>
  <c r="CB103" i="10"/>
  <c r="BF9" i="11"/>
  <c r="BG9" i="11" s="1"/>
  <c r="CL9" i="11" s="1"/>
  <c r="BB22" i="9"/>
  <c r="BF22" i="9" s="1" a="1"/>
  <c r="BF22" i="9" s="1"/>
  <c r="BG22" i="9" s="1" a="1"/>
  <c r="BG22" i="9" s="1"/>
  <c r="CK22" i="9" s="1"/>
  <c r="BF27" i="10"/>
  <c r="BG27" i="10" s="1"/>
  <c r="CM27" i="10" s="1"/>
  <c r="BX32" i="11"/>
  <c r="BB23" i="9"/>
  <c r="BF23" i="9" s="1" a="1"/>
  <c r="BF23" i="9" s="1"/>
  <c r="BG23" i="9" s="1" a="1"/>
  <c r="BG23" i="9" s="1"/>
  <c r="CK23" i="9" s="1"/>
  <c r="BX17" i="10"/>
  <c r="BF104" i="1"/>
  <c r="BG104" i="1" s="1"/>
  <c r="BX84" i="11"/>
  <c r="BX109" i="11"/>
  <c r="BX98" i="10"/>
  <c r="R4" i="2"/>
  <c r="O7" i="2"/>
  <c r="R7" i="2" s="1"/>
  <c r="T4" i="2" s="1"/>
  <c r="BB12" i="9"/>
  <c r="BX19" i="9"/>
  <c r="BX33" i="10"/>
  <c r="CD33" i="10" s="1"/>
  <c r="BF94" i="11"/>
  <c r="BG94" i="11" s="1"/>
  <c r="CL94" i="11" s="1"/>
  <c r="BY84" i="10"/>
  <c r="CE84" i="10" s="1"/>
  <c r="BX74" i="10"/>
  <c r="BF116" i="1"/>
  <c r="BG116" i="1" s="1"/>
  <c r="BF62" i="10"/>
  <c r="BG62" i="10" s="1"/>
  <c r="CM62" i="10" s="1"/>
  <c r="BF84" i="10"/>
  <c r="BG84" i="10" s="1"/>
  <c r="CM84" i="10" s="1"/>
  <c r="BX37" i="11"/>
  <c r="BX106" i="11"/>
  <c r="BF61" i="11"/>
  <c r="BG61" i="11" s="1"/>
  <c r="CL61" i="11" s="1"/>
  <c r="BY101" i="11"/>
  <c r="BF132" i="11"/>
  <c r="BG132" i="11" s="1"/>
  <c r="CL132" i="11" s="1"/>
  <c r="BF12" i="1"/>
  <c r="BG12" i="1" s="1"/>
  <c r="BF75" i="1"/>
  <c r="BG75" i="1" s="1"/>
  <c r="AN14" i="8"/>
  <c r="BX87" i="10"/>
  <c r="CB87" i="10" s="1"/>
  <c r="BF81" i="11"/>
  <c r="BG81" i="11" s="1"/>
  <c r="CL81" i="11" s="1"/>
  <c r="BX35" i="11"/>
  <c r="BF63" i="1"/>
  <c r="BG63" i="1" s="1"/>
  <c r="BF91" i="10"/>
  <c r="BG91" i="10" s="1"/>
  <c r="CM91" i="10" s="1"/>
  <c r="BF88" i="10"/>
  <c r="BG88" i="10" s="1"/>
  <c r="CM88" i="10" s="1"/>
  <c r="BC16" i="9"/>
  <c r="BB19" i="9"/>
  <c r="BF19" i="9" s="1" a="1"/>
  <c r="BF19" i="9" s="1"/>
  <c r="BG19" i="9" s="1" a="1"/>
  <c r="BG19" i="9" s="1"/>
  <c r="CK19" i="9" s="1"/>
  <c r="BX139" i="10"/>
  <c r="CC9" i="10"/>
  <c r="CB9" i="10"/>
  <c r="AP20" i="8" a="1"/>
  <c r="AP20" i="8" s="1"/>
  <c r="AQ20" i="8" s="1" a="1"/>
  <c r="AQ20" i="8" s="1"/>
  <c r="AN6" i="8"/>
  <c r="AP6" i="8" s="1"/>
  <c r="BY87" i="10"/>
  <c r="BX117" i="10"/>
  <c r="BC26" i="9"/>
  <c r="BF26" i="9" s="1" a="1"/>
  <c r="BF26" i="9" s="1"/>
  <c r="BG26" i="9" s="1" a="1"/>
  <c r="BG26" i="9" s="1"/>
  <c r="CK26" i="9" s="1"/>
  <c r="CD122" i="11"/>
  <c r="BX99" i="10"/>
  <c r="CB99" i="10" s="1"/>
  <c r="BX30" i="10"/>
  <c r="CF30" i="10" s="1"/>
  <c r="BY119" i="10"/>
  <c r="BF130" i="1"/>
  <c r="BG130" i="1" s="1"/>
  <c r="CE78" i="11"/>
  <c r="BY89" i="10"/>
  <c r="CF89" i="10" s="1"/>
  <c r="BF99" i="10"/>
  <c r="BG99" i="10" s="1"/>
  <c r="CM99" i="10" s="1"/>
  <c r="BF66" i="10"/>
  <c r="BG66" i="10" s="1"/>
  <c r="CM66" i="10" s="1"/>
  <c r="BY46" i="10"/>
  <c r="BY57" i="10"/>
  <c r="BX62" i="11"/>
  <c r="BX29" i="11"/>
  <c r="BX80" i="11"/>
  <c r="BX64" i="10"/>
  <c r="BF113" i="11"/>
  <c r="BG113" i="11" s="1"/>
  <c r="CL113" i="11" s="1"/>
  <c r="BF13" i="10"/>
  <c r="BG13" i="10" s="1"/>
  <c r="CM13" i="10" s="1"/>
  <c r="BY96" i="11"/>
  <c r="BY42" i="11"/>
  <c r="BY73" i="11"/>
  <c r="BY95" i="11"/>
  <c r="CD95" i="11" s="1"/>
  <c r="BY9" i="11"/>
  <c r="BY28" i="11"/>
  <c r="BY41" i="11"/>
  <c r="BY39" i="11"/>
  <c r="BY86" i="11"/>
  <c r="BY43" i="11"/>
  <c r="BY124" i="11"/>
  <c r="BY22" i="11"/>
  <c r="BY10" i="11"/>
  <c r="BY63" i="11"/>
  <c r="BY74" i="11"/>
  <c r="BY107" i="11"/>
  <c r="BY27" i="11"/>
  <c r="BY108" i="11"/>
  <c r="BY125" i="11"/>
  <c r="BY129" i="11"/>
  <c r="BY79" i="11"/>
  <c r="CB79" i="11" s="1"/>
  <c r="BY50" i="11"/>
  <c r="CB50" i="11" s="1"/>
  <c r="BY53" i="11"/>
  <c r="BY32" i="11"/>
  <c r="BY93" i="11"/>
  <c r="BY18" i="11"/>
  <c r="CE18" i="11" s="1"/>
  <c r="BY37" i="11"/>
  <c r="BY11" i="11"/>
  <c r="BY47" i="11"/>
  <c r="BY128" i="11"/>
  <c r="CC128" i="11" s="1"/>
  <c r="BY82" i="11"/>
  <c r="BY40" i="11"/>
  <c r="BY16" i="11"/>
  <c r="BY87" i="11"/>
  <c r="CD87" i="11" s="1"/>
  <c r="BY92" i="11"/>
  <c r="CE92" i="11" s="1"/>
  <c r="BY105" i="11"/>
  <c r="BY34" i="11"/>
  <c r="BY54" i="11"/>
  <c r="BY103" i="11"/>
  <c r="BY51" i="11"/>
  <c r="BY49" i="11"/>
  <c r="BY115" i="11"/>
  <c r="CE115" i="11" s="1"/>
  <c r="BY118" i="11"/>
  <c r="BY85" i="11"/>
  <c r="BY102" i="11"/>
  <c r="BY137" i="11"/>
  <c r="BY120" i="11"/>
  <c r="BY60" i="11"/>
  <c r="BY139" i="11"/>
  <c r="BY80" i="11"/>
  <c r="BY57" i="11"/>
  <c r="CD57" i="11" s="1"/>
  <c r="BY35" i="11"/>
  <c r="BY33" i="11"/>
  <c r="BY12" i="11"/>
  <c r="BY109" i="11"/>
  <c r="BY17" i="11"/>
  <c r="BY68" i="11"/>
  <c r="BY19" i="11"/>
  <c r="BY20" i="11"/>
  <c r="CC20" i="11" s="1"/>
  <c r="BY119" i="11"/>
  <c r="CD119" i="11" s="1"/>
  <c r="BY8" i="11"/>
  <c r="BY121" i="11"/>
  <c r="BY21" i="11"/>
  <c r="BY94" i="11"/>
  <c r="BY133" i="11"/>
  <c r="BY25" i="11"/>
  <c r="BY44" i="11"/>
  <c r="BY36" i="11"/>
  <c r="BY111" i="11"/>
  <c r="BY65" i="11"/>
  <c r="BY13" i="11"/>
  <c r="CB13" i="11" s="1"/>
  <c r="BY100" i="11"/>
  <c r="BY26" i="11"/>
  <c r="BY15" i="11"/>
  <c r="BY126" i="11"/>
  <c r="BY29" i="11"/>
  <c r="BY112" i="11"/>
  <c r="BY30" i="11"/>
  <c r="BF86" i="10"/>
  <c r="BG86" i="10" s="1"/>
  <c r="CM86" i="10" s="1"/>
  <c r="AN11" i="8"/>
  <c r="AP11" i="8" s="1" a="1"/>
  <c r="AP11" i="8" s="1"/>
  <c r="AQ11" i="8" s="1" a="1"/>
  <c r="AQ11" i="8" s="1"/>
  <c r="BY131" i="10"/>
  <c r="CF131" i="10" s="1"/>
  <c r="F10" i="7"/>
  <c r="BF136" i="10"/>
  <c r="BG136" i="10" s="1"/>
  <c r="CM136" i="10" s="1"/>
  <c r="BV20" i="9"/>
  <c r="BF104" i="11"/>
  <c r="BG104" i="11" s="1"/>
  <c r="CL104" i="11" s="1"/>
  <c r="BX15" i="9"/>
  <c r="AN8" i="8"/>
  <c r="AP8" i="8" s="1" a="1"/>
  <c r="AP8" i="8" s="1"/>
  <c r="AQ8" i="8" s="1" a="1"/>
  <c r="AQ8" i="8" s="1"/>
  <c r="BD10" i="9"/>
  <c r="BF10" i="9" s="1" a="1"/>
  <c r="BF10" i="9" s="1"/>
  <c r="BG10" i="9" s="1" a="1"/>
  <c r="BG10" i="9" s="1"/>
  <c r="CK10" i="9" s="1"/>
  <c r="BV8" i="9"/>
  <c r="BF127" i="10"/>
  <c r="BG127" i="10" s="1"/>
  <c r="CM127" i="10" s="1"/>
  <c r="BF26" i="10"/>
  <c r="BG26" i="10" s="1"/>
  <c r="CM26" i="10" s="1"/>
  <c r="BX16" i="10"/>
  <c r="CF16" i="10" s="1"/>
  <c r="BY132" i="10"/>
  <c r="BF134" i="11"/>
  <c r="BG134" i="11" s="1"/>
  <c r="CL134" i="11" s="1"/>
  <c r="BY59" i="10"/>
  <c r="BB9" i="9"/>
  <c r="BF57" i="11"/>
  <c r="BG57" i="11" s="1"/>
  <c r="CL57" i="11" s="1"/>
  <c r="BX26" i="11"/>
  <c r="CE57" i="11"/>
  <c r="BF30" i="10"/>
  <c r="BG30" i="10" s="1"/>
  <c r="CM30" i="10" s="1"/>
  <c r="BX51" i="11"/>
  <c r="BX14" i="11"/>
  <c r="CD92" i="10"/>
  <c r="CC92" i="10"/>
  <c r="BF131" i="10"/>
  <c r="BG131" i="10" s="1"/>
  <c r="CM131" i="10" s="1"/>
  <c r="BX9" i="9"/>
  <c r="BX58" i="11"/>
  <c r="BF12" i="10"/>
  <c r="BG12" i="10" s="1"/>
  <c r="CM12" i="10" s="1"/>
  <c r="BV22" i="9"/>
  <c r="BF138" i="1"/>
  <c r="BG138" i="1" s="1"/>
  <c r="BX72" i="10"/>
  <c r="BX104" i="11"/>
  <c r="BY64" i="11"/>
  <c r="BF125" i="1"/>
  <c r="BG125" i="1" s="1"/>
  <c r="BY14" i="11"/>
  <c r="BF76" i="11"/>
  <c r="BG76" i="11" s="1"/>
  <c r="CL76" i="11" s="1"/>
  <c r="BX107" i="11"/>
  <c r="BY134" i="11"/>
  <c r="BX129" i="10"/>
  <c r="BF127" i="1"/>
  <c r="BG127" i="1" s="1"/>
  <c r="BX101" i="10"/>
  <c r="BY104" i="11"/>
  <c r="AN7" i="8"/>
  <c r="BX133" i="11"/>
  <c r="CB133" i="11" s="1"/>
  <c r="CF15" i="10"/>
  <c r="BX72" i="11"/>
  <c r="BD23" i="9"/>
  <c r="BF123" i="10"/>
  <c r="BG123" i="10" s="1"/>
  <c r="CM123" i="10" s="1"/>
  <c r="BX10" i="10"/>
  <c r="BX118" i="11"/>
  <c r="AM23" i="8"/>
  <c r="AP23" i="8" s="1" a="1"/>
  <c r="AP23" i="8" s="1"/>
  <c r="AQ23" i="8" s="1" a="1"/>
  <c r="AQ23" i="8" s="1"/>
  <c r="BY69" i="11"/>
  <c r="BF57" i="1"/>
  <c r="BG57" i="1" s="1"/>
  <c r="AM25" i="8"/>
  <c r="AP25" i="8" s="1" a="1"/>
  <c r="AP25" i="8" s="1"/>
  <c r="AQ25" i="8" s="1" a="1"/>
  <c r="AQ25" i="8" s="1"/>
  <c r="BY27" i="10"/>
  <c r="BF131" i="11"/>
  <c r="BG131" i="11" s="1"/>
  <c r="CL131" i="11" s="1"/>
  <c r="BX16" i="11"/>
  <c r="BX51" i="10"/>
  <c r="CF51" i="10" s="1"/>
  <c r="F13" i="7"/>
  <c r="F15" i="7" s="1"/>
  <c r="F17" i="7" s="1"/>
  <c r="CB31" i="10"/>
  <c r="AM22" i="8"/>
  <c r="AP22" i="8" s="1" a="1"/>
  <c r="AP22" i="8" s="1"/>
  <c r="AQ22" i="8" s="1" a="1"/>
  <c r="AQ22" i="8" s="1"/>
  <c r="BB8" i="9"/>
  <c r="BF8" i="9" s="1" a="1"/>
  <c r="BF8" i="9" s="1"/>
  <c r="BG8" i="9" s="1" a="1"/>
  <c r="BG8" i="9" s="1"/>
  <c r="CK8" i="9" s="1"/>
  <c r="BF56" i="11"/>
  <c r="BG56" i="11" s="1"/>
  <c r="CL56" i="11" s="1"/>
  <c r="F14" i="7"/>
  <c r="BX116" i="10"/>
  <c r="CE116" i="10" s="1"/>
  <c r="BF108" i="11"/>
  <c r="BG108" i="11" s="1"/>
  <c r="CL108" i="11" s="1"/>
  <c r="BX76" i="10"/>
  <c r="BY71" i="10"/>
  <c r="BX130" i="11"/>
  <c r="BY67" i="10"/>
  <c r="CB67" i="10" s="1"/>
  <c r="BX19" i="11"/>
  <c r="BX121" i="10"/>
  <c r="CF121" i="10" s="1"/>
  <c r="BX45" i="10"/>
  <c r="BY19" i="10"/>
  <c r="K22" i="2"/>
  <c r="Y20" i="2"/>
  <c r="Y22" i="2" s="1"/>
  <c r="Q20" i="2"/>
  <c r="BX13" i="9"/>
  <c r="BD24" i="9"/>
  <c r="BX68" i="11"/>
  <c r="CF118" i="10"/>
  <c r="CD118" i="10"/>
  <c r="CC118" i="10"/>
  <c r="CB118" i="10"/>
  <c r="AN20" i="8"/>
  <c r="BV12" i="9"/>
  <c r="BD18" i="9"/>
  <c r="BB25" i="9"/>
  <c r="BX54" i="11"/>
  <c r="BX49" i="10"/>
  <c r="CD49" i="10" s="1"/>
  <c r="BD26" i="9"/>
  <c r="BF32" i="10"/>
  <c r="BG32" i="10" s="1"/>
  <c r="CM32" i="10" s="1"/>
  <c r="BF53" i="11"/>
  <c r="BG53" i="11" s="1"/>
  <c r="CL53" i="11" s="1"/>
  <c r="AM12" i="8"/>
  <c r="AP12" i="8" s="1" a="1"/>
  <c r="AP12" i="8" s="1"/>
  <c r="AQ12" i="8" s="1" a="1"/>
  <c r="AQ12" i="8" s="1"/>
  <c r="BF37" i="10"/>
  <c r="BG37" i="10" s="1"/>
  <c r="CM37" i="10" s="1"/>
  <c r="BX25" i="11"/>
  <c r="BX124" i="11"/>
  <c r="BD20" i="9"/>
  <c r="AN21" i="8"/>
  <c r="AP21" i="8" s="1" a="1"/>
  <c r="AP21" i="8" s="1"/>
  <c r="AQ21" i="8" s="1" a="1"/>
  <c r="AQ21" i="8" s="1"/>
  <c r="BX21" i="10"/>
  <c r="CE21" i="10" s="1"/>
  <c r="BX39" i="10"/>
  <c r="BF120" i="11"/>
  <c r="BG120" i="11" s="1"/>
  <c r="CL120" i="11" s="1"/>
  <c r="BC17" i="9"/>
  <c r="BF17" i="9" s="1" a="1"/>
  <c r="BF17" i="9" s="1"/>
  <c r="BG17" i="9" s="1" a="1"/>
  <c r="BG17" i="9" s="1"/>
  <c r="CK17" i="9" s="1"/>
  <c r="BX99" i="11"/>
  <c r="CD75" i="11"/>
  <c r="AP7" i="8" a="1"/>
  <c r="AP7" i="8" s="1"/>
  <c r="AQ7" i="8" s="1" a="1"/>
  <c r="AQ7" i="8" s="1"/>
  <c r="Y21" i="2"/>
  <c r="Q21" i="2"/>
  <c r="BC7" i="9"/>
  <c r="BX10" i="9"/>
  <c r="BF98" i="1"/>
  <c r="BG98" i="1" s="1"/>
  <c r="BW2" i="9"/>
  <c r="BW3" i="9"/>
  <c r="BW4" i="9"/>
  <c r="BW15" i="9" s="1"/>
  <c r="BW1" i="9"/>
  <c r="CD116" i="11"/>
  <c r="CC116" i="11"/>
  <c r="CB116" i="11"/>
  <c r="CE116" i="11"/>
  <c r="BF22" i="10"/>
  <c r="BG22" i="10" s="1"/>
  <c r="CM22" i="10" s="1"/>
  <c r="BC24" i="9"/>
  <c r="BF24" i="9" s="1" a="1"/>
  <c r="BF24" i="9" s="1"/>
  <c r="BG24" i="9" s="1" a="1"/>
  <c r="BG24" i="9" s="1"/>
  <c r="CK24" i="9" s="1"/>
  <c r="BF51" i="11"/>
  <c r="BG51" i="11" s="1"/>
  <c r="CL51" i="11" s="1"/>
  <c r="BF35" i="10"/>
  <c r="BG35" i="10" s="1"/>
  <c r="CM35" i="10" s="1"/>
  <c r="CD62" i="10"/>
  <c r="BY113" i="10"/>
  <c r="BF114" i="10"/>
  <c r="BG114" i="10" s="1"/>
  <c r="CM114" i="10" s="1"/>
  <c r="BX12" i="9"/>
  <c r="BX55" i="11"/>
  <c r="CB55" i="11" s="1"/>
  <c r="BD13" i="9"/>
  <c r="BX119" i="10"/>
  <c r="BF49" i="10"/>
  <c r="BG49" i="10" s="1"/>
  <c r="CM49" i="10" s="1"/>
  <c r="BC9" i="9"/>
  <c r="BX43" i="10"/>
  <c r="BX79" i="10"/>
  <c r="BX83" i="10"/>
  <c r="BF10" i="1"/>
  <c r="BG10" i="1" s="1"/>
  <c r="BX90" i="11"/>
  <c r="BD25" i="9"/>
  <c r="BX27" i="11"/>
  <c r="CE27" i="11" s="1"/>
  <c r="BY59" i="11"/>
  <c r="BF117" i="10"/>
  <c r="BG117" i="10" s="1"/>
  <c r="CM117" i="10" s="1"/>
  <c r="BY24" i="11"/>
  <c r="BX89" i="11"/>
  <c r="BB15" i="9"/>
  <c r="BF15" i="9" s="1" a="1"/>
  <c r="BF15" i="9" s="1"/>
  <c r="BG15" i="9" s="1" a="1"/>
  <c r="BG15" i="9" s="1"/>
  <c r="CK15" i="9" s="1"/>
  <c r="CB134" i="10"/>
  <c r="BF135" i="1"/>
  <c r="BG135" i="1" s="1"/>
  <c r="BF126" i="11"/>
  <c r="BG126" i="11" s="1"/>
  <c r="CL126" i="11" s="1"/>
  <c r="CE88" i="11" l="1"/>
  <c r="CD78" i="11"/>
  <c r="CE71" i="11"/>
  <c r="CB33" i="11"/>
  <c r="CD61" i="11"/>
  <c r="CC34" i="11"/>
  <c r="CD15" i="11"/>
  <c r="CC80" i="11"/>
  <c r="CC84" i="11"/>
  <c r="CB91" i="11"/>
  <c r="CE82" i="11"/>
  <c r="CD110" i="11"/>
  <c r="CE31" i="11"/>
  <c r="CB31" i="11"/>
  <c r="CE135" i="11"/>
  <c r="CJ135" i="11" s="1"/>
  <c r="CK135" i="11" s="1"/>
  <c r="CM135" i="11" s="1"/>
  <c r="CD22" i="11"/>
  <c r="CB22" i="11"/>
  <c r="CB78" i="11"/>
  <c r="CB107" i="11"/>
  <c r="CE91" i="11"/>
  <c r="CD91" i="11"/>
  <c r="CD19" i="11"/>
  <c r="CE68" i="11"/>
  <c r="CB34" i="11"/>
  <c r="CJ34" i="11" s="1"/>
  <c r="CK34" i="11" s="1"/>
  <c r="CM34" i="11" s="1"/>
  <c r="CE110" i="11"/>
  <c r="CE17" i="11"/>
  <c r="CE39" i="11"/>
  <c r="CD31" i="11"/>
  <c r="CC76" i="11"/>
  <c r="CC44" i="11"/>
  <c r="CC82" i="11"/>
  <c r="CE66" i="11"/>
  <c r="CB101" i="11"/>
  <c r="CC22" i="11"/>
  <c r="CF22" i="11" s="1"/>
  <c r="CE10" i="11"/>
  <c r="CE34" i="11"/>
  <c r="CE95" i="11"/>
  <c r="CE102" i="11"/>
  <c r="CD84" i="11"/>
  <c r="CC95" i="11"/>
  <c r="CB135" i="11"/>
  <c r="CD34" i="11"/>
  <c r="CB80" i="11"/>
  <c r="CB95" i="11"/>
  <c r="CJ95" i="11" s="1"/>
  <c r="CK95" i="11" s="1"/>
  <c r="CM95" i="11" s="1"/>
  <c r="CE51" i="11"/>
  <c r="CC133" i="11"/>
  <c r="CE52" i="11"/>
  <c r="CE76" i="11"/>
  <c r="CJ76" i="11" s="1"/>
  <c r="CK76" i="11" s="1"/>
  <c r="CM76" i="11" s="1"/>
  <c r="CB57" i="11"/>
  <c r="CB84" i="11"/>
  <c r="CF84" i="11" s="1"/>
  <c r="CB110" i="11"/>
  <c r="CJ110" i="11" s="1"/>
  <c r="CK110" i="11" s="1"/>
  <c r="CM110" i="11" s="1"/>
  <c r="CE75" i="11"/>
  <c r="CC66" i="11"/>
  <c r="CC57" i="11"/>
  <c r="CE84" i="11"/>
  <c r="CD76" i="11"/>
  <c r="CF76" i="11" s="1"/>
  <c r="CB68" i="11"/>
  <c r="CD68" i="11"/>
  <c r="CE80" i="11"/>
  <c r="CC110" i="11"/>
  <c r="CF110" i="11" s="1"/>
  <c r="CC75" i="11"/>
  <c r="CB66" i="11"/>
  <c r="CJ66" i="11" s="1"/>
  <c r="CK66" i="11" s="1"/>
  <c r="CM66" i="11" s="1"/>
  <c r="CD66" i="11"/>
  <c r="CE109" i="11"/>
  <c r="CC61" i="11"/>
  <c r="CE16" i="11"/>
  <c r="CD82" i="11"/>
  <c r="CE104" i="11"/>
  <c r="CC122" i="11"/>
  <c r="CC52" i="11"/>
  <c r="CB61" i="11"/>
  <c r="CJ61" i="11" s="1"/>
  <c r="CK61" i="11" s="1"/>
  <c r="CM61" i="11" s="1"/>
  <c r="CC107" i="11"/>
  <c r="CC68" i="11"/>
  <c r="CB82" i="11"/>
  <c r="CE19" i="11"/>
  <c r="CD107" i="11"/>
  <c r="CD52" i="11"/>
  <c r="CC13" i="11"/>
  <c r="CC102" i="11"/>
  <c r="CE132" i="11"/>
  <c r="CF132" i="11" s="1"/>
  <c r="CD132" i="11"/>
  <c r="CF96" i="10"/>
  <c r="CF113" i="10"/>
  <c r="CB100" i="10"/>
  <c r="CE42" i="10"/>
  <c r="CC34" i="10"/>
  <c r="CC68" i="10"/>
  <c r="CF78" i="10"/>
  <c r="CC136" i="10"/>
  <c r="CD73" i="10"/>
  <c r="CB62" i="10"/>
  <c r="CG62" i="10" s="1"/>
  <c r="CC62" i="10"/>
  <c r="CC124" i="10"/>
  <c r="CE62" i="10"/>
  <c r="CE9" i="10"/>
  <c r="CB29" i="10"/>
  <c r="CF74" i="10"/>
  <c r="CF125" i="10"/>
  <c r="CF97" i="10"/>
  <c r="CF65" i="10"/>
  <c r="CC22" i="10"/>
  <c r="CE48" i="10"/>
  <c r="CB45" i="10"/>
  <c r="CF82" i="10"/>
  <c r="CF68" i="10"/>
  <c r="CK68" i="10" s="1"/>
  <c r="CL68" i="10" s="1"/>
  <c r="CN68" i="10" s="1"/>
  <c r="CE83" i="10"/>
  <c r="CB101" i="10"/>
  <c r="CF14" i="10"/>
  <c r="CD9" i="10"/>
  <c r="CE25" i="10"/>
  <c r="CF42" i="10"/>
  <c r="CB94" i="10"/>
  <c r="CF21" i="10"/>
  <c r="CB42" i="10"/>
  <c r="CC42" i="10"/>
  <c r="CD42" i="10"/>
  <c r="CK42" i="10" s="1"/>
  <c r="CL42" i="10" s="1"/>
  <c r="CN42" i="10" s="1"/>
  <c r="CF112" i="10"/>
  <c r="CF101" i="10"/>
  <c r="CF94" i="10"/>
  <c r="CD29" i="10"/>
  <c r="CD36" i="10"/>
  <c r="CE29" i="10"/>
  <c r="CF92" i="10"/>
  <c r="CF35" i="10"/>
  <c r="CB30" i="10"/>
  <c r="CB92" i="10"/>
  <c r="CG92" i="10" s="1"/>
  <c r="CD25" i="10"/>
  <c r="CE101" i="10"/>
  <c r="CF109" i="10"/>
  <c r="CC70" i="10"/>
  <c r="CF47" i="10"/>
  <c r="CB53" i="10"/>
  <c r="CE105" i="10"/>
  <c r="CB24" i="10"/>
  <c r="CC104" i="10"/>
  <c r="CE38" i="10"/>
  <c r="CB46" i="10"/>
  <c r="CD34" i="10"/>
  <c r="CB132" i="10"/>
  <c r="CF25" i="10"/>
  <c r="CD103" i="10"/>
  <c r="CF91" i="10"/>
  <c r="CE112" i="10"/>
  <c r="CD111" i="10"/>
  <c r="CF80" i="10"/>
  <c r="CD117" i="10"/>
  <c r="CB25" i="10"/>
  <c r="CB68" i="10"/>
  <c r="CC132" i="10"/>
  <c r="CF33" i="10"/>
  <c r="CC33" i="10"/>
  <c r="CB91" i="10"/>
  <c r="CF132" i="10"/>
  <c r="CB111" i="10"/>
  <c r="CF126" i="10"/>
  <c r="CF55" i="10"/>
  <c r="CD86" i="10"/>
  <c r="CD114" i="10"/>
  <c r="CF136" i="10"/>
  <c r="CE18" i="10"/>
  <c r="CE110" i="10"/>
  <c r="CE31" i="10"/>
  <c r="CB73" i="10"/>
  <c r="CB79" i="10"/>
  <c r="CC111" i="10"/>
  <c r="CD17" i="10"/>
  <c r="CC81" i="10"/>
  <c r="CB28" i="10"/>
  <c r="CF127" i="10"/>
  <c r="CD21" i="10"/>
  <c r="CF87" i="10"/>
  <c r="CD96" i="10"/>
  <c r="CF73" i="10"/>
  <c r="CE129" i="10"/>
  <c r="CF85" i="10"/>
  <c r="CF48" i="10"/>
  <c r="CE54" i="10"/>
  <c r="CF130" i="10"/>
  <c r="CD115" i="10"/>
  <c r="CF103" i="10"/>
  <c r="CE22" i="10"/>
  <c r="CE76" i="10"/>
  <c r="CB61" i="10"/>
  <c r="CC38" i="10"/>
  <c r="CE20" i="10"/>
  <c r="CD54" i="10"/>
  <c r="CB71" i="10"/>
  <c r="CB105" i="10"/>
  <c r="CE70" i="10"/>
  <c r="CF129" i="10"/>
  <c r="CC53" i="10"/>
  <c r="CC105" i="10"/>
  <c r="CE104" i="10"/>
  <c r="CF105" i="10"/>
  <c r="CE109" i="10"/>
  <c r="CE36" i="10"/>
  <c r="CD20" i="10"/>
  <c r="CD116" i="10"/>
  <c r="CD105" i="10"/>
  <c r="CF104" i="10"/>
  <c r="CB48" i="10"/>
  <c r="CB17" i="10"/>
  <c r="CD104" i="10"/>
  <c r="CC120" i="10"/>
  <c r="CF24" i="10"/>
  <c r="CB104" i="10"/>
  <c r="CF17" i="10"/>
  <c r="CC119" i="10"/>
  <c r="CF59" i="10"/>
  <c r="CB119" i="10"/>
  <c r="CB38" i="10"/>
  <c r="CG38" i="10" s="1"/>
  <c r="CD132" i="10"/>
  <c r="CF139" i="10"/>
  <c r="CB96" i="10"/>
  <c r="CF36" i="10"/>
  <c r="CE15" i="10"/>
  <c r="CC13" i="10"/>
  <c r="CF135" i="10"/>
  <c r="CF60" i="10"/>
  <c r="CD70" i="10"/>
  <c r="CF133" i="10"/>
  <c r="CF79" i="10"/>
  <c r="CB22" i="10"/>
  <c r="CC86" i="10"/>
  <c r="CB80" i="10"/>
  <c r="CC16" i="10"/>
  <c r="CC96" i="10"/>
  <c r="CF111" i="10"/>
  <c r="CD101" i="10"/>
  <c r="CB108" i="10"/>
  <c r="CE100" i="10"/>
  <c r="CF77" i="10"/>
  <c r="CC40" i="10"/>
  <c r="CC134" i="10"/>
  <c r="CF86" i="10"/>
  <c r="CF56" i="10"/>
  <c r="CD138" i="10"/>
  <c r="CE46" i="10"/>
  <c r="CF40" i="10"/>
  <c r="CD23" i="10"/>
  <c r="CD128" i="10"/>
  <c r="CD129" i="10"/>
  <c r="CF19" i="10"/>
  <c r="CB34" i="10"/>
  <c r="CC122" i="10"/>
  <c r="CB47" i="10"/>
  <c r="CE58" i="10"/>
  <c r="CE123" i="10"/>
  <c r="CB32" i="10"/>
  <c r="CE90" i="10"/>
  <c r="CF114" i="10"/>
  <c r="CC87" i="10"/>
  <c r="CD37" i="10"/>
  <c r="CF8" i="10"/>
  <c r="CF53" i="10"/>
  <c r="CD22" i="10"/>
  <c r="CC100" i="10"/>
  <c r="CC21" i="10"/>
  <c r="CC17" i="10"/>
  <c r="CE64" i="10"/>
  <c r="CB20" i="10"/>
  <c r="CD102" i="10"/>
  <c r="CD120" i="10"/>
  <c r="CC101" i="10"/>
  <c r="CG118" i="10"/>
  <c r="CD56" i="10"/>
  <c r="CB136" i="10"/>
  <c r="CF22" i="10"/>
  <c r="CB21" i="10"/>
  <c r="CE91" i="10"/>
  <c r="CB112" i="10"/>
  <c r="CD30" i="10"/>
  <c r="CB54" i="10"/>
  <c r="CB137" i="10"/>
  <c r="CE88" i="10"/>
  <c r="CC112" i="10"/>
  <c r="CE30" i="10"/>
  <c r="CD16" i="10"/>
  <c r="CC20" i="10"/>
  <c r="CB33" i="10"/>
  <c r="CC24" i="10"/>
  <c r="CB41" i="10"/>
  <c r="CF88" i="10"/>
  <c r="CF69" i="10"/>
  <c r="CE65" i="10"/>
  <c r="CF128" i="10"/>
  <c r="CC31" i="10"/>
  <c r="CE34" i="10"/>
  <c r="CE86" i="10"/>
  <c r="CB122" i="10"/>
  <c r="CE128" i="10"/>
  <c r="CF119" i="10"/>
  <c r="CC88" i="10"/>
  <c r="CE8" i="10"/>
  <c r="CC48" i="10"/>
  <c r="CB60" i="10"/>
  <c r="CE33" i="10"/>
  <c r="CE80" i="10"/>
  <c r="CD97" i="10"/>
  <c r="CD48" i="10"/>
  <c r="CC90" i="10"/>
  <c r="CB40" i="10"/>
  <c r="CF27" i="10"/>
  <c r="CD122" i="10"/>
  <c r="CE120" i="10"/>
  <c r="CE50" i="10"/>
  <c r="CC109" i="10"/>
  <c r="CF13" i="10"/>
  <c r="CB82" i="10"/>
  <c r="CC137" i="10"/>
  <c r="CB77" i="10"/>
  <c r="CD134" i="10"/>
  <c r="CC77" i="10"/>
  <c r="CE40" i="10"/>
  <c r="CD136" i="10"/>
  <c r="CE77" i="10"/>
  <c r="CD40" i="10"/>
  <c r="CF93" i="10"/>
  <c r="CC35" i="10"/>
  <c r="CE23" i="10"/>
  <c r="CC80" i="10"/>
  <c r="CB90" i="10"/>
  <c r="CB57" i="10"/>
  <c r="CE79" i="10"/>
  <c r="CE35" i="10"/>
  <c r="CC125" i="10"/>
  <c r="CE60" i="10"/>
  <c r="CF32" i="10"/>
  <c r="CC58" i="10"/>
  <c r="CD43" i="10"/>
  <c r="CD79" i="10"/>
  <c r="CC41" i="10"/>
  <c r="CD35" i="10"/>
  <c r="CC55" i="10"/>
  <c r="CB23" i="10"/>
  <c r="CE24" i="10"/>
  <c r="CD109" i="10"/>
  <c r="CB114" i="10"/>
  <c r="CD46" i="10"/>
  <c r="CD124" i="10"/>
  <c r="CD121" i="10"/>
  <c r="CB97" i="10"/>
  <c r="CD90" i="10"/>
  <c r="CE11" i="10"/>
  <c r="CF107" i="10"/>
  <c r="CB115" i="10"/>
  <c r="CF122" i="10"/>
  <c r="CE82" i="10"/>
  <c r="CE137" i="10"/>
  <c r="CB102" i="10"/>
  <c r="CE136" i="10"/>
  <c r="CD108" i="10"/>
  <c r="CB86" i="10"/>
  <c r="CC32" i="10"/>
  <c r="CD8" i="10"/>
  <c r="CE32" i="10"/>
  <c r="CF58" i="10"/>
  <c r="CF39" i="10"/>
  <c r="CC116" i="10"/>
  <c r="CD94" i="10"/>
  <c r="CD32" i="10"/>
  <c r="CB58" i="10"/>
  <c r="CF41" i="10"/>
  <c r="CB55" i="10"/>
  <c r="CF23" i="10"/>
  <c r="CD88" i="10"/>
  <c r="CE94" i="10"/>
  <c r="CG94" i="10" s="1"/>
  <c r="CC60" i="10"/>
  <c r="CD58" i="10"/>
  <c r="CC79" i="10"/>
  <c r="CD41" i="10"/>
  <c r="CB35" i="10"/>
  <c r="CE55" i="10"/>
  <c r="CC23" i="10"/>
  <c r="CB13" i="10"/>
  <c r="CD24" i="10"/>
  <c r="CC114" i="10"/>
  <c r="CE124" i="10"/>
  <c r="CC97" i="10"/>
  <c r="CE138" i="10"/>
  <c r="CD19" i="10"/>
  <c r="CC130" i="10"/>
  <c r="CE139" i="10"/>
  <c r="CC115" i="10"/>
  <c r="CB133" i="10"/>
  <c r="CD55" i="10"/>
  <c r="CE73" i="10"/>
  <c r="CF90" i="10"/>
  <c r="CE135" i="10"/>
  <c r="CD91" i="10"/>
  <c r="CC78" i="10"/>
  <c r="CF137" i="10"/>
  <c r="CC102" i="10"/>
  <c r="CC37" i="10"/>
  <c r="CC108" i="10"/>
  <c r="CF98" i="10"/>
  <c r="CF100" i="10"/>
  <c r="CD60" i="10"/>
  <c r="CE41" i="10"/>
  <c r="CF124" i="10"/>
  <c r="CF138" i="10"/>
  <c r="CB18" i="10"/>
  <c r="CC133" i="10"/>
  <c r="CC47" i="10"/>
  <c r="CF123" i="10"/>
  <c r="CB129" i="10"/>
  <c r="CF70" i="10"/>
  <c r="CD137" i="10"/>
  <c r="CC69" i="10"/>
  <c r="CB110" i="10"/>
  <c r="CE115" i="10"/>
  <c r="CF37" i="10"/>
  <c r="CD133" i="10"/>
  <c r="CD47" i="10"/>
  <c r="CE12" i="10"/>
  <c r="CB70" i="10"/>
  <c r="CE26" i="10"/>
  <c r="CC110" i="10"/>
  <c r="CF110" i="10"/>
  <c r="CD119" i="10"/>
  <c r="CB15" i="10"/>
  <c r="CE97" i="10"/>
  <c r="CD87" i="10"/>
  <c r="CK87" i="10" s="1"/>
  <c r="CL87" i="10" s="1"/>
  <c r="CN87" i="10" s="1"/>
  <c r="CD31" i="10"/>
  <c r="CD13" i="10"/>
  <c r="CC15" i="10"/>
  <c r="CC123" i="10"/>
  <c r="CE114" i="10"/>
  <c r="CB124" i="10"/>
  <c r="CE81" i="10"/>
  <c r="CB138" i="10"/>
  <c r="CE53" i="10"/>
  <c r="CD112" i="10"/>
  <c r="CE87" i="10"/>
  <c r="CF31" i="10"/>
  <c r="CE13" i="10"/>
  <c r="CC30" i="10"/>
  <c r="CD15" i="10"/>
  <c r="CC129" i="10"/>
  <c r="CD123" i="10"/>
  <c r="CF81" i="10"/>
  <c r="CC138" i="10"/>
  <c r="CC36" i="10"/>
  <c r="CF54" i="10"/>
  <c r="CB44" i="10"/>
  <c r="CD18" i="10"/>
  <c r="CF115" i="10"/>
  <c r="CE133" i="10"/>
  <c r="CE47" i="10"/>
  <c r="CB75" i="10"/>
  <c r="CD110" i="10"/>
  <c r="CD131" i="10"/>
  <c r="CE119" i="10"/>
  <c r="CB49" i="10"/>
  <c r="CB88" i="10"/>
  <c r="CB123" i="10"/>
  <c r="CD53" i="10"/>
  <c r="CB130" i="10"/>
  <c r="CF10" i="10"/>
  <c r="CC18" i="10"/>
  <c r="CF34" i="10"/>
  <c r="CE134" i="10"/>
  <c r="CE130" i="10"/>
  <c r="CC91" i="10"/>
  <c r="CE108" i="10"/>
  <c r="CE72" i="10"/>
  <c r="CF116" i="10"/>
  <c r="CF52" i="10"/>
  <c r="CC128" i="10"/>
  <c r="CE96" i="10"/>
  <c r="AU6" i="8"/>
  <c r="AU11" i="8"/>
  <c r="AQ6" i="8"/>
  <c r="AU8" i="8"/>
  <c r="AU7" i="8"/>
  <c r="AU12" i="8"/>
  <c r="CB14" i="10"/>
  <c r="CC29" i="10"/>
  <c r="CC55" i="11"/>
  <c r="BW24" i="9"/>
  <c r="CD20" i="11"/>
  <c r="CB125" i="10"/>
  <c r="CE43" i="10"/>
  <c r="CC49" i="10"/>
  <c r="CC14" i="10"/>
  <c r="CB17" i="11"/>
  <c r="CB116" i="10"/>
  <c r="CB107" i="10"/>
  <c r="CC50" i="11"/>
  <c r="CB121" i="10"/>
  <c r="BW11" i="9"/>
  <c r="CD101" i="11"/>
  <c r="CE122" i="10"/>
  <c r="CB128" i="10"/>
  <c r="CB104" i="11"/>
  <c r="CC33" i="11"/>
  <c r="CD100" i="10"/>
  <c r="CE52" i="10"/>
  <c r="CB59" i="10"/>
  <c r="CE15" i="11"/>
  <c r="CF76" i="10"/>
  <c r="CE69" i="10"/>
  <c r="CE37" i="10"/>
  <c r="CB10" i="10"/>
  <c r="CB106" i="10"/>
  <c r="CC83" i="10"/>
  <c r="CE60" i="11"/>
  <c r="CD60" i="11"/>
  <c r="CC60" i="11"/>
  <c r="CB60" i="11"/>
  <c r="CE28" i="11"/>
  <c r="CD28" i="11"/>
  <c r="CC28" i="11"/>
  <c r="CB28" i="11"/>
  <c r="CE35" i="11"/>
  <c r="CD35" i="11"/>
  <c r="CB35" i="11"/>
  <c r="CC35" i="11"/>
  <c r="CE117" i="11"/>
  <c r="CD117" i="11"/>
  <c r="CC117" i="11"/>
  <c r="CB117" i="11"/>
  <c r="CE40" i="11"/>
  <c r="CD40" i="11"/>
  <c r="CC40" i="11"/>
  <c r="CB40" i="11"/>
  <c r="CD72" i="11"/>
  <c r="CE72" i="11"/>
  <c r="CC72" i="11"/>
  <c r="CB72" i="11"/>
  <c r="CC26" i="10"/>
  <c r="CC28" i="10"/>
  <c r="CB117" i="10"/>
  <c r="CF12" i="10"/>
  <c r="CE56" i="11"/>
  <c r="CB88" i="11"/>
  <c r="CB16" i="11"/>
  <c r="CD95" i="10"/>
  <c r="CD66" i="10"/>
  <c r="CC92" i="11"/>
  <c r="CD85" i="10"/>
  <c r="CC71" i="10"/>
  <c r="CD128" i="11"/>
  <c r="CC79" i="11"/>
  <c r="CE55" i="11"/>
  <c r="CJ116" i="11"/>
  <c r="CK116" i="11" s="1"/>
  <c r="CM116" i="11" s="1"/>
  <c r="CF116" i="11"/>
  <c r="CE20" i="11"/>
  <c r="CB98" i="10"/>
  <c r="CB51" i="10"/>
  <c r="CB43" i="10"/>
  <c r="CC17" i="11"/>
  <c r="CC107" i="10"/>
  <c r="CD50" i="11"/>
  <c r="CB50" i="10"/>
  <c r="CC121" i="10"/>
  <c r="CD89" i="10"/>
  <c r="CB135" i="10"/>
  <c r="CB39" i="11"/>
  <c r="CC101" i="11"/>
  <c r="BX14" i="9"/>
  <c r="CD33" i="11"/>
  <c r="CB52" i="10"/>
  <c r="CD59" i="10"/>
  <c r="CB76" i="10"/>
  <c r="CB69" i="10"/>
  <c r="CB37" i="10"/>
  <c r="CJ77" i="11"/>
  <c r="CK77" i="11" s="1"/>
  <c r="CM77" i="11" s="1"/>
  <c r="CF77" i="11"/>
  <c r="CC10" i="10"/>
  <c r="CE106" i="10"/>
  <c r="CF83" i="10"/>
  <c r="CE11" i="11"/>
  <c r="CC11" i="11"/>
  <c r="CB11" i="11"/>
  <c r="CD11" i="11"/>
  <c r="CB121" i="11"/>
  <c r="CE121" i="11"/>
  <c r="CD121" i="11"/>
  <c r="CC121" i="11"/>
  <c r="CE123" i="11"/>
  <c r="CD123" i="11"/>
  <c r="CC123" i="11"/>
  <c r="CB123" i="11"/>
  <c r="CE9" i="11"/>
  <c r="CD9" i="11"/>
  <c r="CC9" i="11"/>
  <c r="CB9" i="11"/>
  <c r="CD113" i="11"/>
  <c r="CB113" i="11"/>
  <c r="CE113" i="11"/>
  <c r="CC113" i="11"/>
  <c r="CE65" i="11"/>
  <c r="CD65" i="11"/>
  <c r="CC65" i="11"/>
  <c r="CB65" i="11"/>
  <c r="CD26" i="10"/>
  <c r="CE28" i="10"/>
  <c r="CC117" i="10"/>
  <c r="BM10" i="10"/>
  <c r="CF45" i="10"/>
  <c r="CC88" i="11"/>
  <c r="CC16" i="11"/>
  <c r="CE95" i="10"/>
  <c r="CE66" i="10"/>
  <c r="CD92" i="11"/>
  <c r="CB85" i="10"/>
  <c r="CD71" i="10"/>
  <c r="CD93" i="10"/>
  <c r="CE128" i="11"/>
  <c r="CD79" i="11"/>
  <c r="CF29" i="10"/>
  <c r="BW26" i="9"/>
  <c r="CC98" i="10"/>
  <c r="CE14" i="10"/>
  <c r="CD17" i="11"/>
  <c r="CK9" i="10"/>
  <c r="CL9" i="10" s="1"/>
  <c r="CN9" i="10" s="1"/>
  <c r="CG9" i="10"/>
  <c r="CE107" i="10"/>
  <c r="CB11" i="10"/>
  <c r="CF50" i="10"/>
  <c r="CE121" i="10"/>
  <c r="CB89" i="10"/>
  <c r="CC135" i="10"/>
  <c r="CC39" i="11"/>
  <c r="BW19" i="9"/>
  <c r="CE101" i="11"/>
  <c r="CE33" i="11"/>
  <c r="CC52" i="10"/>
  <c r="CB127" i="10"/>
  <c r="CC59" i="10"/>
  <c r="BV9" i="9"/>
  <c r="BV26" i="9"/>
  <c r="BV11" i="9"/>
  <c r="BV14" i="9"/>
  <c r="BV17" i="9"/>
  <c r="BV21" i="9"/>
  <c r="BV25" i="9"/>
  <c r="BV19" i="9"/>
  <c r="BV23" i="9"/>
  <c r="BV24" i="9"/>
  <c r="BV18" i="9"/>
  <c r="CB87" i="11"/>
  <c r="CC76" i="10"/>
  <c r="CD10" i="10"/>
  <c r="CF106" i="10"/>
  <c r="CB83" i="10"/>
  <c r="CD98" i="11"/>
  <c r="CC98" i="11"/>
  <c r="CB98" i="11"/>
  <c r="CE98" i="11"/>
  <c r="CE138" i="11"/>
  <c r="CD138" i="11"/>
  <c r="CC138" i="11"/>
  <c r="CB138" i="11"/>
  <c r="CE127" i="11"/>
  <c r="CD127" i="11"/>
  <c r="CC127" i="11"/>
  <c r="CB127" i="11"/>
  <c r="CE67" i="11"/>
  <c r="CD67" i="11"/>
  <c r="CB67" i="11"/>
  <c r="CC67" i="11"/>
  <c r="CD99" i="11"/>
  <c r="CC99" i="11"/>
  <c r="CB99" i="11"/>
  <c r="CE99" i="11"/>
  <c r="CE120" i="11"/>
  <c r="CC120" i="11"/>
  <c r="CB120" i="11"/>
  <c r="CD120" i="11"/>
  <c r="CE111" i="11"/>
  <c r="CB111" i="11"/>
  <c r="CD111" i="11"/>
  <c r="CC111" i="11"/>
  <c r="CF26" i="10"/>
  <c r="CD28" i="10"/>
  <c r="CE117" i="10"/>
  <c r="BM11" i="10"/>
  <c r="CC45" i="10"/>
  <c r="CD16" i="11"/>
  <c r="CC95" i="10"/>
  <c r="CF66" i="10"/>
  <c r="CE119" i="11"/>
  <c r="BX24" i="9"/>
  <c r="CC85" i="10"/>
  <c r="CE71" i="10"/>
  <c r="CB93" i="10"/>
  <c r="CB71" i="11"/>
  <c r="CE79" i="11"/>
  <c r="CB19" i="11"/>
  <c r="BW7" i="9"/>
  <c r="CB7" i="9" s="1"/>
  <c r="CD14" i="10"/>
  <c r="CD55" i="11"/>
  <c r="CC67" i="10"/>
  <c r="CD51" i="10"/>
  <c r="CD125" i="10"/>
  <c r="CF43" i="10"/>
  <c r="CB51" i="11"/>
  <c r="CE49" i="10"/>
  <c r="CD67" i="10"/>
  <c r="CD98" i="10"/>
  <c r="BW17" i="9"/>
  <c r="CE51" i="10"/>
  <c r="CE125" i="10"/>
  <c r="CD80" i="11"/>
  <c r="CF80" i="11" s="1"/>
  <c r="CK92" i="10"/>
  <c r="CL92" i="10" s="1"/>
  <c r="CN92" i="10" s="1"/>
  <c r="CD51" i="11"/>
  <c r="CF49" i="10"/>
  <c r="CB19" i="10"/>
  <c r="CC73" i="10"/>
  <c r="CD107" i="10"/>
  <c r="CC11" i="10"/>
  <c r="CC50" i="10"/>
  <c r="CC89" i="10"/>
  <c r="CD135" i="10"/>
  <c r="CD39" i="11"/>
  <c r="BX21" i="9"/>
  <c r="CB27" i="10"/>
  <c r="CC82" i="10"/>
  <c r="CD52" i="10"/>
  <c r="CC127" i="10"/>
  <c r="CE59" i="10"/>
  <c r="CE87" i="11"/>
  <c r="CD76" i="10"/>
  <c r="CB64" i="10"/>
  <c r="BF14" i="9" a="1"/>
  <c r="BF14" i="9" s="1"/>
  <c r="BG14" i="9" s="1" a="1"/>
  <c r="BG14" i="9" s="1"/>
  <c r="CK14" i="9" s="1"/>
  <c r="CE10" i="10"/>
  <c r="CC106" i="10"/>
  <c r="CC44" i="10"/>
  <c r="CD112" i="11"/>
  <c r="CC112" i="11"/>
  <c r="CB112" i="11"/>
  <c r="CE112" i="11"/>
  <c r="CE85" i="11"/>
  <c r="CD85" i="11"/>
  <c r="CC85" i="11"/>
  <c r="CB85" i="11"/>
  <c r="CE62" i="11"/>
  <c r="CD62" i="11"/>
  <c r="CC62" i="11"/>
  <c r="CB62" i="11"/>
  <c r="CE37" i="11"/>
  <c r="CD37" i="11"/>
  <c r="CB37" i="11"/>
  <c r="CC37" i="11"/>
  <c r="CE36" i="11"/>
  <c r="CD36" i="11"/>
  <c r="CC36" i="11"/>
  <c r="CB36" i="11"/>
  <c r="CB41" i="11"/>
  <c r="CE41" i="11"/>
  <c r="CD41" i="11"/>
  <c r="CC41" i="11"/>
  <c r="CE43" i="11"/>
  <c r="CD43" i="11"/>
  <c r="CC43" i="11"/>
  <c r="CB43" i="11"/>
  <c r="CB26" i="10"/>
  <c r="CF28" i="10"/>
  <c r="CF117" i="10"/>
  <c r="BM12" i="10"/>
  <c r="CD45" i="10"/>
  <c r="CF95" i="10"/>
  <c r="CB74" i="10"/>
  <c r="CB119" i="11"/>
  <c r="CB10" i="11"/>
  <c r="CE85" i="10"/>
  <c r="CF71" i="10"/>
  <c r="CC93" i="10"/>
  <c r="CC71" i="11"/>
  <c r="BM14" i="11"/>
  <c r="CE67" i="10"/>
  <c r="BF25" i="9" a="1"/>
  <c r="BF25" i="9" s="1"/>
  <c r="BG25" i="9" s="1" a="1"/>
  <c r="BG25" i="9" s="1"/>
  <c r="CK25" i="9" s="1"/>
  <c r="Q22" i="2"/>
  <c r="CJ91" i="11"/>
  <c r="CK91" i="11" s="1"/>
  <c r="CM91" i="11" s="1"/>
  <c r="BW23" i="9"/>
  <c r="CE98" i="10"/>
  <c r="CC51" i="10"/>
  <c r="CF95" i="11"/>
  <c r="CC51" i="11"/>
  <c r="CE19" i="10"/>
  <c r="CD11" i="10"/>
  <c r="BW14" i="9"/>
  <c r="CD50" i="10"/>
  <c r="CE89" i="10"/>
  <c r="CF46" i="10"/>
  <c r="CC27" i="10"/>
  <c r="CB65" i="10"/>
  <c r="CD82" i="10"/>
  <c r="CD127" i="10"/>
  <c r="BW21" i="9"/>
  <c r="CC87" i="11"/>
  <c r="CF64" i="10"/>
  <c r="CC56" i="10"/>
  <c r="CD99" i="10"/>
  <c r="BM10" i="1"/>
  <c r="CD44" i="10"/>
  <c r="CD86" i="11"/>
  <c r="CB86" i="11"/>
  <c r="CE86" i="11"/>
  <c r="CC86" i="11"/>
  <c r="CE14" i="11"/>
  <c r="CD14" i="11"/>
  <c r="CC14" i="11"/>
  <c r="CB14" i="11"/>
  <c r="CE32" i="11"/>
  <c r="CD32" i="11"/>
  <c r="CB32" i="11"/>
  <c r="CC32" i="11"/>
  <c r="CE131" i="11"/>
  <c r="CD131" i="11"/>
  <c r="CC131" i="11"/>
  <c r="CB131" i="11"/>
  <c r="CE114" i="11"/>
  <c r="CD114" i="11"/>
  <c r="CC114" i="11"/>
  <c r="CB114" i="11"/>
  <c r="CE29" i="11"/>
  <c r="CD29" i="11"/>
  <c r="CB29" i="11"/>
  <c r="CC29" i="11"/>
  <c r="CB38" i="11"/>
  <c r="CE38" i="11"/>
  <c r="CD38" i="11"/>
  <c r="CC38" i="11"/>
  <c r="CD44" i="11"/>
  <c r="CC57" i="10"/>
  <c r="CE45" i="10"/>
  <c r="BW20" i="9"/>
  <c r="CE20" i="9" s="1"/>
  <c r="CE74" i="10"/>
  <c r="CC119" i="11"/>
  <c r="CC10" i="11"/>
  <c r="CE93" i="10"/>
  <c r="CD71" i="11"/>
  <c r="CK118" i="10"/>
  <c r="CL118" i="10" s="1"/>
  <c r="CN118" i="10" s="1"/>
  <c r="CB20" i="11"/>
  <c r="CE16" i="10"/>
  <c r="BW10" i="9"/>
  <c r="CC39" i="10"/>
  <c r="CD27" i="10"/>
  <c r="BX20" i="9"/>
  <c r="CD20" i="9" s="1"/>
  <c r="BX23" i="9"/>
  <c r="BX22" i="9"/>
  <c r="CB22" i="9" s="1"/>
  <c r="BX8" i="9"/>
  <c r="CC65" i="10"/>
  <c r="CE127" i="10"/>
  <c r="CC64" i="10"/>
  <c r="CE56" i="10"/>
  <c r="CE99" i="10"/>
  <c r="BM12" i="1"/>
  <c r="CF72" i="10"/>
  <c r="CE44" i="10"/>
  <c r="CD90" i="11"/>
  <c r="CC90" i="11"/>
  <c r="CE90" i="11"/>
  <c r="CB90" i="11"/>
  <c r="CE125" i="11"/>
  <c r="CD125" i="11"/>
  <c r="CC125" i="11"/>
  <c r="CB125" i="11"/>
  <c r="CE12" i="11"/>
  <c r="CD12" i="11"/>
  <c r="CC12" i="11"/>
  <c r="CB12" i="11"/>
  <c r="CE42" i="11"/>
  <c r="CD42" i="11"/>
  <c r="CC42" i="11"/>
  <c r="CB42" i="11"/>
  <c r="CE58" i="11"/>
  <c r="CD58" i="11"/>
  <c r="CB58" i="11"/>
  <c r="CC58" i="11"/>
  <c r="CE30" i="11"/>
  <c r="CD30" i="11"/>
  <c r="CC30" i="11"/>
  <c r="CB30" i="11"/>
  <c r="CC47" i="11"/>
  <c r="CB47" i="11"/>
  <c r="CE47" i="11"/>
  <c r="CD47" i="11"/>
  <c r="CE44" i="11"/>
  <c r="BV10" i="9"/>
  <c r="CD57" i="10"/>
  <c r="CB126" i="10"/>
  <c r="CC74" i="10"/>
  <c r="CD10" i="11"/>
  <c r="CE63" i="10"/>
  <c r="BF7" i="9" a="1"/>
  <c r="BF7" i="9" s="1"/>
  <c r="BM12" i="11"/>
  <c r="CJ57" i="11"/>
  <c r="CK57" i="11" s="1"/>
  <c r="CM57" i="11" s="1"/>
  <c r="CF57" i="11"/>
  <c r="CF75" i="11"/>
  <c r="CF67" i="10"/>
  <c r="CB109" i="10"/>
  <c r="CC19" i="10"/>
  <c r="CE122" i="11"/>
  <c r="CF122" i="11" s="1"/>
  <c r="CB16" i="10"/>
  <c r="BW12" i="9"/>
  <c r="CD12" i="9" s="1"/>
  <c r="CF11" i="10"/>
  <c r="CE107" i="11"/>
  <c r="BF12" i="9" a="1"/>
  <c r="BF12" i="9" s="1"/>
  <c r="BG12" i="9" s="1" a="1"/>
  <c r="BG12" i="9" s="1"/>
  <c r="CK12" i="9" s="1"/>
  <c r="CB27" i="11"/>
  <c r="CD81" i="10"/>
  <c r="CD13" i="11"/>
  <c r="CE39" i="10"/>
  <c r="CB139" i="10"/>
  <c r="CC46" i="10"/>
  <c r="BX11" i="9"/>
  <c r="CD133" i="11"/>
  <c r="CE27" i="10"/>
  <c r="CD65" i="10"/>
  <c r="BW22" i="9"/>
  <c r="CC22" i="9" s="1"/>
  <c r="CE102" i="10"/>
  <c r="CD64" i="10"/>
  <c r="CB56" i="10"/>
  <c r="CC99" i="10"/>
  <c r="CB72" i="10"/>
  <c r="CF44" i="10"/>
  <c r="CE25" i="11"/>
  <c r="CD25" i="11"/>
  <c r="CC25" i="11"/>
  <c r="CB25" i="11"/>
  <c r="CD129" i="11"/>
  <c r="CB129" i="11"/>
  <c r="CE129" i="11"/>
  <c r="CC129" i="11"/>
  <c r="CD53" i="11"/>
  <c r="CC53" i="11"/>
  <c r="CE53" i="11"/>
  <c r="CB53" i="11"/>
  <c r="CC136" i="11"/>
  <c r="CB136" i="11"/>
  <c r="CE136" i="11"/>
  <c r="CD136" i="11"/>
  <c r="CE45" i="11"/>
  <c r="CC45" i="11"/>
  <c r="CD45" i="11"/>
  <c r="CB45" i="11"/>
  <c r="CE59" i="11"/>
  <c r="CD59" i="11"/>
  <c r="CC59" i="11"/>
  <c r="CB59" i="11"/>
  <c r="CC94" i="11"/>
  <c r="CB94" i="11"/>
  <c r="CE94" i="11"/>
  <c r="CD94" i="11"/>
  <c r="CB44" i="11"/>
  <c r="CE57" i="10"/>
  <c r="CC126" i="10"/>
  <c r="CD74" i="10"/>
  <c r="BX26" i="9"/>
  <c r="CC63" i="10"/>
  <c r="CB115" i="11"/>
  <c r="CD109" i="11"/>
  <c r="BM16" i="11"/>
  <c r="BW18" i="9"/>
  <c r="CC27" i="11"/>
  <c r="CE13" i="11"/>
  <c r="CD39" i="10"/>
  <c r="BW16" i="9"/>
  <c r="CB131" i="10"/>
  <c r="CC139" i="10"/>
  <c r="CE133" i="11"/>
  <c r="BW25" i="9"/>
  <c r="CB78" i="10"/>
  <c r="BV16" i="9"/>
  <c r="CD113" i="10"/>
  <c r="CF102" i="10"/>
  <c r="CF99" i="10"/>
  <c r="CF120" i="10"/>
  <c r="CF84" i="10"/>
  <c r="CC72" i="10"/>
  <c r="CE54" i="11"/>
  <c r="CC54" i="11"/>
  <c r="CD54" i="11"/>
  <c r="CB54" i="11"/>
  <c r="CE63" i="11"/>
  <c r="CB63" i="11"/>
  <c r="CD63" i="11"/>
  <c r="CC63" i="11"/>
  <c r="CE126" i="11"/>
  <c r="CD126" i="11"/>
  <c r="CC126" i="11"/>
  <c r="CB126" i="11"/>
  <c r="CE64" i="11"/>
  <c r="CD64" i="11"/>
  <c r="CB64" i="11"/>
  <c r="CC64" i="11"/>
  <c r="CC97" i="11"/>
  <c r="CB97" i="11"/>
  <c r="CD97" i="11"/>
  <c r="CE97" i="11"/>
  <c r="CE26" i="11"/>
  <c r="CD26" i="11"/>
  <c r="CB26" i="11"/>
  <c r="CC26" i="11"/>
  <c r="CC139" i="11"/>
  <c r="CB139" i="11"/>
  <c r="CE139" i="11"/>
  <c r="CD139" i="11"/>
  <c r="BW9" i="9"/>
  <c r="CB18" i="11"/>
  <c r="BM16" i="10"/>
  <c r="CF57" i="10"/>
  <c r="CC61" i="10"/>
  <c r="CD126" i="10"/>
  <c r="CD75" i="10"/>
  <c r="CD63" i="10"/>
  <c r="CC115" i="11"/>
  <c r="CB109" i="11"/>
  <c r="BM11" i="11"/>
  <c r="CK111" i="10"/>
  <c r="CL111" i="10" s="1"/>
  <c r="CN111" i="10" s="1"/>
  <c r="CK94" i="10"/>
  <c r="CL94" i="10" s="1"/>
  <c r="CN94" i="10" s="1"/>
  <c r="BF9" i="9" a="1"/>
  <c r="BF9" i="9" s="1"/>
  <c r="BG9" i="9" s="1" a="1"/>
  <c r="BG9" i="9" s="1"/>
  <c r="CK9" i="9" s="1"/>
  <c r="CA8" i="9"/>
  <c r="CE8" i="9"/>
  <c r="CD8" i="9"/>
  <c r="CC8" i="9"/>
  <c r="CJ84" i="11"/>
  <c r="CK84" i="11" s="1"/>
  <c r="CM84" i="11" s="1"/>
  <c r="CD27" i="11"/>
  <c r="CB39" i="10"/>
  <c r="CC131" i="10"/>
  <c r="CD139" i="10"/>
  <c r="BF20" i="9" a="1"/>
  <c r="BF20" i="9" s="1"/>
  <c r="BG20" i="9" s="1" a="1"/>
  <c r="BG20" i="9" s="1"/>
  <c r="CK20" i="9" s="1"/>
  <c r="CB113" i="10"/>
  <c r="CB124" i="11"/>
  <c r="CE124" i="11"/>
  <c r="CD124" i="11"/>
  <c r="CC124" i="11"/>
  <c r="CJ31" i="11"/>
  <c r="CK31" i="11" s="1"/>
  <c r="CM31" i="11" s="1"/>
  <c r="CF31" i="11"/>
  <c r="CB84" i="10"/>
  <c r="CD72" i="10"/>
  <c r="CE103" i="11"/>
  <c r="CD103" i="11"/>
  <c r="CC103" i="11"/>
  <c r="CB103" i="11"/>
  <c r="CB49" i="11"/>
  <c r="CE49" i="11"/>
  <c r="CD49" i="11"/>
  <c r="CC49" i="11"/>
  <c r="CE137" i="11"/>
  <c r="CD137" i="11"/>
  <c r="CC137" i="11"/>
  <c r="CB137" i="11"/>
  <c r="CE48" i="11"/>
  <c r="CC48" i="11"/>
  <c r="CD48" i="11"/>
  <c r="CB48" i="11"/>
  <c r="CD93" i="11"/>
  <c r="CC93" i="11"/>
  <c r="CE93" i="11"/>
  <c r="CB93" i="11"/>
  <c r="CE108" i="11"/>
  <c r="CD108" i="11"/>
  <c r="CC108" i="11"/>
  <c r="CB108" i="11"/>
  <c r="BX25" i="9"/>
  <c r="CC18" i="11"/>
  <c r="CB12" i="10"/>
  <c r="CD61" i="10"/>
  <c r="CE126" i="10"/>
  <c r="O22" i="2"/>
  <c r="R22" i="2" s="1"/>
  <c r="T20" i="2" s="1"/>
  <c r="R20" i="2"/>
  <c r="BF16" i="9" a="1"/>
  <c r="BF16" i="9" s="1"/>
  <c r="BG16" i="9" s="1" a="1"/>
  <c r="BG16" i="9" s="1"/>
  <c r="CK16" i="9" s="1"/>
  <c r="CE75" i="10"/>
  <c r="CF63" i="10"/>
  <c r="CK110" i="10"/>
  <c r="CL110" i="10" s="1"/>
  <c r="CN110" i="10" s="1"/>
  <c r="CD115" i="11"/>
  <c r="CC109" i="11"/>
  <c r="BM10" i="11"/>
  <c r="BW13" i="9"/>
  <c r="CC104" i="11"/>
  <c r="CD78" i="10"/>
  <c r="BX16" i="9"/>
  <c r="CB15" i="11"/>
  <c r="CC113" i="10"/>
  <c r="BM15" i="1"/>
  <c r="CC84" i="10"/>
  <c r="CE69" i="11"/>
  <c r="CB69" i="11"/>
  <c r="CD69" i="11"/>
  <c r="CC69" i="11"/>
  <c r="CE81" i="11"/>
  <c r="CD81" i="11"/>
  <c r="CC81" i="11"/>
  <c r="CB81" i="11"/>
  <c r="CE21" i="11"/>
  <c r="CD21" i="11"/>
  <c r="CC21" i="11"/>
  <c r="CB21" i="11"/>
  <c r="CE100" i="11"/>
  <c r="CD100" i="11"/>
  <c r="CC100" i="11"/>
  <c r="CB100" i="11"/>
  <c r="CE105" i="11"/>
  <c r="CD105" i="11"/>
  <c r="CC105" i="11"/>
  <c r="CB105" i="11"/>
  <c r="CE70" i="11"/>
  <c r="CD70" i="11"/>
  <c r="CC70" i="11"/>
  <c r="CB70" i="11"/>
  <c r="R21" i="2"/>
  <c r="CD18" i="11"/>
  <c r="BM15" i="10"/>
  <c r="CC12" i="10"/>
  <c r="CB56" i="11"/>
  <c r="BV15" i="9"/>
  <c r="CE61" i="10"/>
  <c r="L22" i="2"/>
  <c r="BX18" i="9"/>
  <c r="CC75" i="10"/>
  <c r="BM8" i="11"/>
  <c r="CJ68" i="11"/>
  <c r="CK68" i="11" s="1"/>
  <c r="CM68" i="11" s="1"/>
  <c r="CF68" i="11"/>
  <c r="CC43" i="10"/>
  <c r="CD102" i="11"/>
  <c r="CJ78" i="11"/>
  <c r="CK78" i="11" s="1"/>
  <c r="CM78" i="11" s="1"/>
  <c r="CF78" i="11"/>
  <c r="CE50" i="11"/>
  <c r="CE13" i="9"/>
  <c r="CB13" i="9"/>
  <c r="CA13" i="9"/>
  <c r="CD13" i="9"/>
  <c r="CC13" i="9"/>
  <c r="CE131" i="10"/>
  <c r="CC19" i="11"/>
  <c r="CD104" i="11"/>
  <c r="CE78" i="10"/>
  <c r="CC15" i="11"/>
  <c r="CE113" i="10"/>
  <c r="BM11" i="1"/>
  <c r="CD84" i="10"/>
  <c r="CD83" i="10"/>
  <c r="CD89" i="11"/>
  <c r="CE89" i="11"/>
  <c r="CC89" i="11"/>
  <c r="CB89" i="11"/>
  <c r="CE73" i="11"/>
  <c r="CD73" i="11"/>
  <c r="CC73" i="11"/>
  <c r="CB73" i="11"/>
  <c r="CE74" i="11"/>
  <c r="CD74" i="11"/>
  <c r="CC74" i="11"/>
  <c r="CB74" i="11"/>
  <c r="CE134" i="11"/>
  <c r="CC134" i="11"/>
  <c r="CB134" i="11"/>
  <c r="CD134" i="11"/>
  <c r="CB130" i="11"/>
  <c r="CE130" i="11"/>
  <c r="CD130" i="11"/>
  <c r="CC130" i="11"/>
  <c r="CD96" i="11"/>
  <c r="CC96" i="11"/>
  <c r="CE96" i="11"/>
  <c r="CB96" i="11"/>
  <c r="Z21" i="2"/>
  <c r="BW8" i="9"/>
  <c r="CB8" i="9" s="1"/>
  <c r="BM14" i="10"/>
  <c r="CD12" i="10"/>
  <c r="CC56" i="11"/>
  <c r="CD88" i="11"/>
  <c r="CF61" i="10"/>
  <c r="CB66" i="10"/>
  <c r="W22" i="2"/>
  <c r="Z22" i="2" s="1"/>
  <c r="Z20" i="2"/>
  <c r="CB92" i="11"/>
  <c r="CF75" i="10"/>
  <c r="CB128" i="11"/>
  <c r="BM9" i="11"/>
  <c r="CK25" i="10"/>
  <c r="CL25" i="10" s="1"/>
  <c r="CN25" i="10" s="1"/>
  <c r="CE118" i="11"/>
  <c r="CD118" i="11"/>
  <c r="CC118" i="11"/>
  <c r="CB118" i="11"/>
  <c r="CE8" i="11"/>
  <c r="CD8" i="11"/>
  <c r="CC8" i="11"/>
  <c r="CB8" i="11"/>
  <c r="CD46" i="11"/>
  <c r="CC46" i="11"/>
  <c r="CB46" i="11"/>
  <c r="CE46" i="11"/>
  <c r="CE106" i="11"/>
  <c r="CD106" i="11"/>
  <c r="CC106" i="11"/>
  <c r="CB106" i="11"/>
  <c r="CE23" i="11"/>
  <c r="CD23" i="11"/>
  <c r="CB23" i="11"/>
  <c r="CC23" i="11"/>
  <c r="CD83" i="11"/>
  <c r="CE83" i="11"/>
  <c r="CC83" i="11"/>
  <c r="CB83" i="11"/>
  <c r="CE24" i="11"/>
  <c r="CD24" i="11"/>
  <c r="CC24" i="11"/>
  <c r="CB24" i="11"/>
  <c r="BM8" i="10"/>
  <c r="BM15" i="11"/>
  <c r="CF91" i="11" l="1"/>
  <c r="CF52" i="11"/>
  <c r="CF61" i="11"/>
  <c r="CF34" i="11"/>
  <c r="CJ22" i="11"/>
  <c r="CK22" i="11" s="1"/>
  <c r="CM22" i="11" s="1"/>
  <c r="CJ107" i="11"/>
  <c r="CK107" i="11" s="1"/>
  <c r="CM107" i="11" s="1"/>
  <c r="CF135" i="11"/>
  <c r="CF82" i="11"/>
  <c r="CF102" i="11"/>
  <c r="CJ132" i="11"/>
  <c r="CK132" i="11" s="1"/>
  <c r="CM132" i="11" s="1"/>
  <c r="CJ133" i="11"/>
  <c r="CK133" i="11" s="1"/>
  <c r="CM133" i="11" s="1"/>
  <c r="CJ82" i="11"/>
  <c r="CK82" i="11" s="1"/>
  <c r="CM82" i="11" s="1"/>
  <c r="CJ52" i="11"/>
  <c r="CK52" i="11" s="1"/>
  <c r="CM52" i="11" s="1"/>
  <c r="CJ75" i="11"/>
  <c r="CK75" i="11" s="1"/>
  <c r="CM75" i="11" s="1"/>
  <c r="CJ13" i="11"/>
  <c r="CK13" i="11" s="1"/>
  <c r="CM13" i="11" s="1"/>
  <c r="CJ102" i="11"/>
  <c r="CK102" i="11" s="1"/>
  <c r="CM102" i="11" s="1"/>
  <c r="CF66" i="11"/>
  <c r="CF50" i="11"/>
  <c r="CJ79" i="11"/>
  <c r="CK79" i="11" s="1"/>
  <c r="CM79" i="11" s="1"/>
  <c r="CF33" i="11"/>
  <c r="CF13" i="11"/>
  <c r="CF79" i="11"/>
  <c r="CJ80" i="11"/>
  <c r="CK80" i="11" s="1"/>
  <c r="CM80" i="11" s="1"/>
  <c r="CJ101" i="11"/>
  <c r="CK101" i="11" s="1"/>
  <c r="CM101" i="11" s="1"/>
  <c r="CJ55" i="11"/>
  <c r="CK55" i="11" s="1"/>
  <c r="CM55" i="11" s="1"/>
  <c r="CJ50" i="11"/>
  <c r="CK50" i="11" s="1"/>
  <c r="CM50" i="11" s="1"/>
  <c r="CK62" i="10"/>
  <c r="CL62" i="10" s="1"/>
  <c r="CN62" i="10" s="1"/>
  <c r="CK90" i="10"/>
  <c r="CL90" i="10" s="1"/>
  <c r="CN90" i="10" s="1"/>
  <c r="CK33" i="10"/>
  <c r="CL33" i="10" s="1"/>
  <c r="CN33" i="10" s="1"/>
  <c r="CG42" i="10"/>
  <c r="CK34" i="10"/>
  <c r="CL34" i="10" s="1"/>
  <c r="CN34" i="10" s="1"/>
  <c r="CK31" i="10"/>
  <c r="CL31" i="10" s="1"/>
  <c r="CN31" i="10" s="1"/>
  <c r="CG68" i="10"/>
  <c r="CK45" i="10"/>
  <c r="CL45" i="10" s="1"/>
  <c r="CN45" i="10" s="1"/>
  <c r="CK112" i="10"/>
  <c r="CL112" i="10" s="1"/>
  <c r="CN112" i="10" s="1"/>
  <c r="CK22" i="10"/>
  <c r="CL22" i="10" s="1"/>
  <c r="CN22" i="10" s="1"/>
  <c r="CK91" i="10"/>
  <c r="CL91" i="10" s="1"/>
  <c r="CN91" i="10" s="1"/>
  <c r="CG24" i="10"/>
  <c r="CK48" i="10"/>
  <c r="CL48" i="10" s="1"/>
  <c r="CN48" i="10" s="1"/>
  <c r="CK103" i="10"/>
  <c r="CL103" i="10" s="1"/>
  <c r="CN103" i="10" s="1"/>
  <c r="CG79" i="10"/>
  <c r="CK20" i="10"/>
  <c r="CL20" i="10" s="1"/>
  <c r="CN20" i="10" s="1"/>
  <c r="CK96" i="10"/>
  <c r="CL96" i="10" s="1"/>
  <c r="CN96" i="10" s="1"/>
  <c r="CK130" i="10"/>
  <c r="CL130" i="10" s="1"/>
  <c r="CN130" i="10" s="1"/>
  <c r="CK114" i="10"/>
  <c r="CL114" i="10" s="1"/>
  <c r="CN114" i="10" s="1"/>
  <c r="CK40" i="10"/>
  <c r="CL40" i="10" s="1"/>
  <c r="CN40" i="10" s="1"/>
  <c r="CG104" i="10"/>
  <c r="CK53" i="10"/>
  <c r="CL53" i="10" s="1"/>
  <c r="CN53" i="10" s="1"/>
  <c r="CK101" i="10"/>
  <c r="CL101" i="10" s="1"/>
  <c r="CN101" i="10" s="1"/>
  <c r="CG81" i="10"/>
  <c r="CG67" i="10"/>
  <c r="CK80" i="10"/>
  <c r="CL80" i="10" s="1"/>
  <c r="CN80" i="10" s="1"/>
  <c r="CG101" i="10"/>
  <c r="CG14" i="10"/>
  <c r="CK95" i="10"/>
  <c r="CL95" i="10" s="1"/>
  <c r="CN95" i="10" s="1"/>
  <c r="CG36" i="10"/>
  <c r="CK77" i="10"/>
  <c r="CL77" i="10" s="1"/>
  <c r="CN77" i="10" s="1"/>
  <c r="CK129" i="10"/>
  <c r="CL129" i="10" s="1"/>
  <c r="CN129" i="10" s="1"/>
  <c r="CG109" i="10"/>
  <c r="CG61" i="10"/>
  <c r="CG63" i="10"/>
  <c r="CK38" i="10"/>
  <c r="CL38" i="10" s="1"/>
  <c r="CN38" i="10" s="1"/>
  <c r="CG126" i="10"/>
  <c r="CG17" i="10"/>
  <c r="CK105" i="10"/>
  <c r="CL105" i="10" s="1"/>
  <c r="CN105" i="10" s="1"/>
  <c r="CG25" i="10"/>
  <c r="CG132" i="10"/>
  <c r="CG53" i="10"/>
  <c r="CK134" i="10"/>
  <c r="CL134" i="10" s="1"/>
  <c r="CN134" i="10" s="1"/>
  <c r="CG103" i="10"/>
  <c r="CG30" i="10"/>
  <c r="CK133" i="10"/>
  <c r="CL133" i="10" s="1"/>
  <c r="CN133" i="10" s="1"/>
  <c r="CK23" i="10"/>
  <c r="CL23" i="10" s="1"/>
  <c r="CN23" i="10" s="1"/>
  <c r="CG100" i="10"/>
  <c r="CG55" i="10"/>
  <c r="CG121" i="10"/>
  <c r="CG29" i="10"/>
  <c r="CG99" i="10"/>
  <c r="CG21" i="10"/>
  <c r="CG47" i="10"/>
  <c r="CG59" i="10"/>
  <c r="CK115" i="10"/>
  <c r="CL115" i="10" s="1"/>
  <c r="CN115" i="10" s="1"/>
  <c r="CK24" i="10"/>
  <c r="CL24" i="10" s="1"/>
  <c r="CN24" i="10" s="1"/>
  <c r="CK100" i="10"/>
  <c r="CL100" i="10" s="1"/>
  <c r="CN100" i="10" s="1"/>
  <c r="CG56" i="10"/>
  <c r="CK132" i="10"/>
  <c r="CL132" i="10" s="1"/>
  <c r="CN132" i="10" s="1"/>
  <c r="CK17" i="10"/>
  <c r="CL17" i="10" s="1"/>
  <c r="CN17" i="10" s="1"/>
  <c r="CG87" i="10"/>
  <c r="CG37" i="10"/>
  <c r="CK108" i="10"/>
  <c r="CL108" i="10" s="1"/>
  <c r="CN108" i="10" s="1"/>
  <c r="CK119" i="10"/>
  <c r="CL119" i="10" s="1"/>
  <c r="CN119" i="10" s="1"/>
  <c r="CG124" i="10"/>
  <c r="CK58" i="10"/>
  <c r="CL58" i="10" s="1"/>
  <c r="CN58" i="10" s="1"/>
  <c r="CK35" i="10"/>
  <c r="CL35" i="10" s="1"/>
  <c r="CN35" i="10" s="1"/>
  <c r="CG82" i="10"/>
  <c r="CG54" i="10"/>
  <c r="CK15" i="10"/>
  <c r="CL15" i="10" s="1"/>
  <c r="CN15" i="10" s="1"/>
  <c r="CK36" i="10"/>
  <c r="CL36" i="10" s="1"/>
  <c r="CN36" i="10" s="1"/>
  <c r="CG13" i="10"/>
  <c r="CG31" i="10"/>
  <c r="CG111" i="10"/>
  <c r="CK21" i="10"/>
  <c r="CL21" i="10" s="1"/>
  <c r="CN21" i="10" s="1"/>
  <c r="CG91" i="10"/>
  <c r="CK123" i="10"/>
  <c r="CL123" i="10" s="1"/>
  <c r="CN123" i="10" s="1"/>
  <c r="CG70" i="10"/>
  <c r="CK137" i="10"/>
  <c r="CL137" i="10" s="1"/>
  <c r="CN137" i="10" s="1"/>
  <c r="CK32" i="10"/>
  <c r="CL32" i="10" s="1"/>
  <c r="CN32" i="10" s="1"/>
  <c r="CK41" i="10"/>
  <c r="CL41" i="10" s="1"/>
  <c r="CN41" i="10" s="1"/>
  <c r="CK30" i="10"/>
  <c r="CL30" i="10" s="1"/>
  <c r="CN30" i="10" s="1"/>
  <c r="CK136" i="10"/>
  <c r="CL136" i="10" s="1"/>
  <c r="CN136" i="10" s="1"/>
  <c r="CK79" i="10"/>
  <c r="CL79" i="10" s="1"/>
  <c r="CN79" i="10" s="1"/>
  <c r="CG112" i="10"/>
  <c r="CG96" i="10"/>
  <c r="CG120" i="10"/>
  <c r="CG60" i="10"/>
  <c r="CG45" i="10"/>
  <c r="CG51" i="10"/>
  <c r="CG117" i="10"/>
  <c r="CG105" i="10"/>
  <c r="CG107" i="10"/>
  <c r="CG39" i="10"/>
  <c r="CG83" i="10"/>
  <c r="CG135" i="10"/>
  <c r="CG98" i="10"/>
  <c r="CK28" i="10"/>
  <c r="CN28" i="10" s="1"/>
  <c r="CG116" i="10"/>
  <c r="CG75" i="10"/>
  <c r="CG18" i="10"/>
  <c r="CG97" i="10"/>
  <c r="CG41" i="10"/>
  <c r="CG34" i="10"/>
  <c r="CG134" i="10"/>
  <c r="CG71" i="10"/>
  <c r="CG43" i="10"/>
  <c r="CG84" i="10"/>
  <c r="CK102" i="10"/>
  <c r="CL102" i="10" s="1"/>
  <c r="CN102" i="10" s="1"/>
  <c r="CG26" i="10"/>
  <c r="CK73" i="10"/>
  <c r="CL73" i="10" s="1"/>
  <c r="CN73" i="10" s="1"/>
  <c r="CK54" i="10"/>
  <c r="CL54" i="10" s="1"/>
  <c r="CN54" i="10" s="1"/>
  <c r="CK71" i="10"/>
  <c r="CL71" i="10" s="1"/>
  <c r="CN71" i="10" s="1"/>
  <c r="CG86" i="10"/>
  <c r="CG73" i="10"/>
  <c r="CG22" i="10"/>
  <c r="CG131" i="10"/>
  <c r="CG65" i="10"/>
  <c r="CG19" i="10"/>
  <c r="CG128" i="10"/>
  <c r="CG33" i="10"/>
  <c r="CG20" i="10"/>
  <c r="CG108" i="10"/>
  <c r="CG64" i="10"/>
  <c r="CG85" i="10"/>
  <c r="CG16" i="10"/>
  <c r="CG106" i="10"/>
  <c r="CK49" i="10"/>
  <c r="CL49" i="10" s="1"/>
  <c r="CN49" i="10" s="1"/>
  <c r="CG130" i="10"/>
  <c r="CG110" i="10"/>
  <c r="CG58" i="10"/>
  <c r="CG102" i="10"/>
  <c r="CG114" i="10"/>
  <c r="CG40" i="10"/>
  <c r="CG122" i="10"/>
  <c r="CG95" i="10"/>
  <c r="CG119" i="10"/>
  <c r="CG48" i="10"/>
  <c r="CG125" i="10"/>
  <c r="CG44" i="10"/>
  <c r="CG15" i="10"/>
  <c r="CG133" i="10"/>
  <c r="CK46" i="10"/>
  <c r="CL46" i="10" s="1"/>
  <c r="CN46" i="10" s="1"/>
  <c r="CG27" i="10"/>
  <c r="CG127" i="10"/>
  <c r="CG89" i="10"/>
  <c r="CK29" i="10"/>
  <c r="CL29" i="10" s="1"/>
  <c r="CN29" i="10" s="1"/>
  <c r="CG66" i="10"/>
  <c r="CG113" i="10"/>
  <c r="CG139" i="10"/>
  <c r="CK44" i="10"/>
  <c r="CL44" i="10" s="1"/>
  <c r="CN44" i="10" s="1"/>
  <c r="CG52" i="10"/>
  <c r="CG50" i="10"/>
  <c r="CG123" i="10"/>
  <c r="CG35" i="10"/>
  <c r="CG28" i="10"/>
  <c r="CG32" i="10"/>
  <c r="CK13" i="10"/>
  <c r="CL13" i="10" s="1"/>
  <c r="CN13" i="10" s="1"/>
  <c r="CG78" i="10"/>
  <c r="CK124" i="10"/>
  <c r="CL124" i="10" s="1"/>
  <c r="CN124" i="10" s="1"/>
  <c r="CG72" i="10"/>
  <c r="CG74" i="10"/>
  <c r="CG93" i="10"/>
  <c r="CK81" i="10"/>
  <c r="CL81" i="10" s="1"/>
  <c r="CN81" i="10" s="1"/>
  <c r="CG88" i="10"/>
  <c r="CG138" i="10"/>
  <c r="CG23" i="10"/>
  <c r="CG57" i="10"/>
  <c r="CG77" i="10"/>
  <c r="CG80" i="10"/>
  <c r="CG69" i="10"/>
  <c r="CG136" i="10"/>
  <c r="CK104" i="10"/>
  <c r="CL104" i="10" s="1"/>
  <c r="CN104" i="10" s="1"/>
  <c r="CK82" i="10"/>
  <c r="CL82" i="10" s="1"/>
  <c r="CN82" i="10" s="1"/>
  <c r="CG76" i="10"/>
  <c r="CK63" i="10"/>
  <c r="CL63" i="10" s="1"/>
  <c r="CN63" i="10" s="1"/>
  <c r="CK99" i="10"/>
  <c r="CL99" i="10" s="1"/>
  <c r="CN99" i="10" s="1"/>
  <c r="CK67" i="10"/>
  <c r="CL67" i="10" s="1"/>
  <c r="CN67" i="10" s="1"/>
  <c r="CK47" i="10"/>
  <c r="CL47" i="10" s="1"/>
  <c r="CN47" i="10" s="1"/>
  <c r="CG49" i="10"/>
  <c r="CG129" i="10"/>
  <c r="CG115" i="10"/>
  <c r="CG90" i="10"/>
  <c r="CG137" i="10"/>
  <c r="CG46" i="10"/>
  <c r="CK97" i="10"/>
  <c r="CL97" i="10" s="1"/>
  <c r="CN97" i="10" s="1"/>
  <c r="CK86" i="10"/>
  <c r="CL86" i="10" s="1"/>
  <c r="CN86" i="10" s="1"/>
  <c r="CK18" i="10"/>
  <c r="CL18" i="10" s="1"/>
  <c r="CN18" i="10" s="1"/>
  <c r="CK88" i="10"/>
  <c r="CL88" i="10" s="1"/>
  <c r="CN88" i="10" s="1"/>
  <c r="CK138" i="10"/>
  <c r="CL138" i="10" s="1"/>
  <c r="CN138" i="10" s="1"/>
  <c r="CK70" i="10"/>
  <c r="CL70" i="10" s="1"/>
  <c r="CN70" i="10" s="1"/>
  <c r="CK75" i="10"/>
  <c r="CL75" i="10" s="1"/>
  <c r="CN75" i="10" s="1"/>
  <c r="CK60" i="10"/>
  <c r="CL60" i="10" s="1"/>
  <c r="CN60" i="10" s="1"/>
  <c r="CK55" i="10"/>
  <c r="CL55" i="10" s="1"/>
  <c r="CN55" i="10" s="1"/>
  <c r="CF18" i="11"/>
  <c r="CJ18" i="11"/>
  <c r="CK18" i="11" s="1"/>
  <c r="CM18" i="11" s="1"/>
  <c r="CJ97" i="11"/>
  <c r="CK97" i="11" s="1"/>
  <c r="CM97" i="11" s="1"/>
  <c r="CF97" i="11"/>
  <c r="CJ63" i="11"/>
  <c r="CK63" i="11" s="1"/>
  <c r="CM63" i="11" s="1"/>
  <c r="CF63" i="11"/>
  <c r="CC16" i="9"/>
  <c r="CE16" i="9"/>
  <c r="CD16" i="9"/>
  <c r="CB16" i="9"/>
  <c r="CA16" i="9"/>
  <c r="CJ45" i="11"/>
  <c r="CK45" i="11" s="1"/>
  <c r="CM45" i="11" s="1"/>
  <c r="CF45" i="11"/>
  <c r="CJ38" i="11"/>
  <c r="CK38" i="11" s="1"/>
  <c r="CM38" i="11" s="1"/>
  <c r="CF38" i="11"/>
  <c r="CK26" i="10"/>
  <c r="CL26" i="10" s="1"/>
  <c r="CN26" i="10" s="1"/>
  <c r="CA22" i="9"/>
  <c r="CJ19" i="11"/>
  <c r="CK19" i="11" s="1"/>
  <c r="CM19" i="11" s="1"/>
  <c r="CF19" i="11"/>
  <c r="CJ8" i="11"/>
  <c r="CK8" i="11" s="1"/>
  <c r="CF8" i="11"/>
  <c r="CF37" i="11"/>
  <c r="CJ37" i="11"/>
  <c r="CK37" i="11" s="1"/>
  <c r="CM37" i="11" s="1"/>
  <c r="CJ112" i="11"/>
  <c r="CK112" i="11" s="1"/>
  <c r="CM112" i="11" s="1"/>
  <c r="CF112" i="11"/>
  <c r="CK19" i="10"/>
  <c r="CL19" i="10" s="1"/>
  <c r="CN19" i="10" s="1"/>
  <c r="CD22" i="9"/>
  <c r="CJ71" i="11"/>
  <c r="CK71" i="11" s="1"/>
  <c r="CM71" i="11" s="1"/>
  <c r="CF71" i="11"/>
  <c r="CC18" i="9"/>
  <c r="CB18" i="9"/>
  <c r="CA18" i="9"/>
  <c r="CE18" i="9"/>
  <c r="CD18" i="9"/>
  <c r="CK127" i="10"/>
  <c r="CL127" i="10" s="1"/>
  <c r="CN127" i="10" s="1"/>
  <c r="CK52" i="10"/>
  <c r="CL52" i="10" s="1"/>
  <c r="CN52" i="10" s="1"/>
  <c r="CK98" i="10"/>
  <c r="CL98" i="10" s="1"/>
  <c r="CN98" i="10" s="1"/>
  <c r="CK125" i="10"/>
  <c r="CL125" i="10" s="1"/>
  <c r="CN125" i="10" s="1"/>
  <c r="CJ122" i="11"/>
  <c r="CK122" i="11" s="1"/>
  <c r="CM122" i="11" s="1"/>
  <c r="CF107" i="11"/>
  <c r="CK61" i="10"/>
  <c r="CL61" i="10" s="1"/>
  <c r="CN61" i="10" s="1"/>
  <c r="CJ130" i="11"/>
  <c r="CK130" i="11" s="1"/>
  <c r="CM130" i="11" s="1"/>
  <c r="CF130" i="11"/>
  <c r="CF64" i="11"/>
  <c r="CJ64" i="11"/>
  <c r="CK64" i="11" s="1"/>
  <c r="CM64" i="11" s="1"/>
  <c r="CJ44" i="11"/>
  <c r="CK44" i="11" s="1"/>
  <c r="CM44" i="11" s="1"/>
  <c r="CF44" i="11"/>
  <c r="CA12" i="9"/>
  <c r="CB10" i="9"/>
  <c r="CA10" i="9"/>
  <c r="CE10" i="9"/>
  <c r="CD10" i="9"/>
  <c r="CC10" i="9"/>
  <c r="CE22" i="9"/>
  <c r="CK93" i="10"/>
  <c r="CL93" i="10" s="1"/>
  <c r="CN93" i="10" s="1"/>
  <c r="CC24" i="9"/>
  <c r="CB24" i="9"/>
  <c r="CA24" i="9"/>
  <c r="CE24" i="9"/>
  <c r="CD24" i="9"/>
  <c r="CK59" i="10"/>
  <c r="CL59" i="10" s="1"/>
  <c r="CN59" i="10" s="1"/>
  <c r="CJ138" i="11"/>
  <c r="CK138" i="11" s="1"/>
  <c r="CM138" i="11" s="1"/>
  <c r="CF138" i="11"/>
  <c r="CA9" i="9"/>
  <c r="CC9" i="9"/>
  <c r="CE9" i="9"/>
  <c r="CD9" i="9"/>
  <c r="CB9" i="9"/>
  <c r="CK11" i="10"/>
  <c r="CL11" i="10" s="1"/>
  <c r="CN11" i="10" s="1"/>
  <c r="CG11" i="10"/>
  <c r="CF24" i="11"/>
  <c r="CJ24" i="11"/>
  <c r="CK24" i="11" s="1"/>
  <c r="CM24" i="11" s="1"/>
  <c r="CJ106" i="11"/>
  <c r="CK106" i="11" s="1"/>
  <c r="CM106" i="11" s="1"/>
  <c r="CF106" i="11"/>
  <c r="CK122" i="10"/>
  <c r="CL122" i="10" s="1"/>
  <c r="CN122" i="10" s="1"/>
  <c r="CJ15" i="11"/>
  <c r="CK15" i="11" s="1"/>
  <c r="CM15" i="11" s="1"/>
  <c r="CF15" i="11"/>
  <c r="CJ93" i="11"/>
  <c r="CK93" i="11" s="1"/>
  <c r="CM93" i="11" s="1"/>
  <c r="CF93" i="11"/>
  <c r="CK39" i="10"/>
  <c r="CL39" i="10" s="1"/>
  <c r="CN39" i="10" s="1"/>
  <c r="CJ117" i="11"/>
  <c r="CK117" i="11" s="1"/>
  <c r="CM117" i="11" s="1"/>
  <c r="CF117" i="11"/>
  <c r="CJ60" i="11"/>
  <c r="CK60" i="11" s="1"/>
  <c r="CM60" i="11" s="1"/>
  <c r="CF60" i="11"/>
  <c r="CF101" i="11"/>
  <c r="CK56" i="10"/>
  <c r="CL56" i="10" s="1"/>
  <c r="CN56" i="10" s="1"/>
  <c r="CL8" i="10"/>
  <c r="CK78" i="10"/>
  <c r="CL78" i="10" s="1"/>
  <c r="CN78" i="10" s="1"/>
  <c r="CK109" i="10"/>
  <c r="CL109" i="10" s="1"/>
  <c r="CN109" i="10" s="1"/>
  <c r="CK126" i="10"/>
  <c r="CL126" i="10" s="1"/>
  <c r="CN126" i="10" s="1"/>
  <c r="CJ125" i="11"/>
  <c r="CK125" i="11" s="1"/>
  <c r="CM125" i="11" s="1"/>
  <c r="CF125" i="11"/>
  <c r="CJ43" i="11"/>
  <c r="CK43" i="11" s="1"/>
  <c r="CM43" i="11" s="1"/>
  <c r="CF43" i="11"/>
  <c r="CJ99" i="11"/>
  <c r="CK99" i="11" s="1"/>
  <c r="CM99" i="11" s="1"/>
  <c r="CF99" i="11"/>
  <c r="CJ87" i="11"/>
  <c r="CK87" i="11" s="1"/>
  <c r="CM87" i="11" s="1"/>
  <c r="CF87" i="11"/>
  <c r="CJ11" i="11"/>
  <c r="CK11" i="11" s="1"/>
  <c r="CM11" i="11" s="1"/>
  <c r="CF11" i="11"/>
  <c r="CK51" i="10"/>
  <c r="CL51" i="10" s="1"/>
  <c r="CN51" i="10" s="1"/>
  <c r="CJ88" i="11"/>
  <c r="CK88" i="11" s="1"/>
  <c r="CM88" i="11" s="1"/>
  <c r="CF88" i="11"/>
  <c r="CJ105" i="11"/>
  <c r="CK105" i="11" s="1"/>
  <c r="CM105" i="11" s="1"/>
  <c r="CF105" i="11"/>
  <c r="CJ81" i="11"/>
  <c r="CK81" i="11" s="1"/>
  <c r="CM81" i="11" s="1"/>
  <c r="CF81" i="11"/>
  <c r="CI8" i="9" a="1"/>
  <c r="CI8" i="9" s="1"/>
  <c r="CJ8" i="9" s="1" a="1"/>
  <c r="CJ8" i="9" s="1"/>
  <c r="CL8" i="9" s="1"/>
  <c r="CF8" i="9"/>
  <c r="CF109" i="11"/>
  <c r="CJ109" i="11"/>
  <c r="CK109" i="11" s="1"/>
  <c r="CM109" i="11" s="1"/>
  <c r="CJ54" i="11"/>
  <c r="CK54" i="11" s="1"/>
  <c r="CM54" i="11" s="1"/>
  <c r="CF54" i="11"/>
  <c r="CJ129" i="11"/>
  <c r="CK129" i="11" s="1"/>
  <c r="CM129" i="11" s="1"/>
  <c r="CF129" i="11"/>
  <c r="CE12" i="9"/>
  <c r="CJ58" i="11"/>
  <c r="CK58" i="11" s="1"/>
  <c r="CM58" i="11" s="1"/>
  <c r="CF58" i="11"/>
  <c r="CJ29" i="11"/>
  <c r="CK29" i="11" s="1"/>
  <c r="CM29" i="11" s="1"/>
  <c r="CF29" i="11"/>
  <c r="CJ32" i="11"/>
  <c r="CK32" i="11" s="1"/>
  <c r="CM32" i="11" s="1"/>
  <c r="CF32" i="11"/>
  <c r="CJ118" i="11"/>
  <c r="CK118" i="11" s="1"/>
  <c r="CM118" i="11" s="1"/>
  <c r="CF118" i="11"/>
  <c r="CJ89" i="11"/>
  <c r="CK89" i="11" s="1"/>
  <c r="CM89" i="11" s="1"/>
  <c r="CF89" i="11"/>
  <c r="CD15" i="9"/>
  <c r="CC15" i="9"/>
  <c r="CB15" i="9"/>
  <c r="CA15" i="9"/>
  <c r="CE15" i="9"/>
  <c r="CJ49" i="11"/>
  <c r="CK49" i="11" s="1"/>
  <c r="CM49" i="11" s="1"/>
  <c r="CF49" i="11"/>
  <c r="CJ124" i="11"/>
  <c r="CK124" i="11" s="1"/>
  <c r="CM124" i="11" s="1"/>
  <c r="CF124" i="11"/>
  <c r="CJ139" i="11"/>
  <c r="CK139" i="11" s="1"/>
  <c r="CM139" i="11" s="1"/>
  <c r="CF139" i="11"/>
  <c r="CF25" i="11"/>
  <c r="CJ25" i="11"/>
  <c r="CK25" i="11" s="1"/>
  <c r="CM25" i="11" s="1"/>
  <c r="CF27" i="11"/>
  <c r="CJ27" i="11"/>
  <c r="CK27" i="11" s="1"/>
  <c r="CM27" i="11" s="1"/>
  <c r="CB12" i="9"/>
  <c r="CJ10" i="11"/>
  <c r="CK10" i="11" s="1"/>
  <c r="CM10" i="11" s="1"/>
  <c r="CF10" i="11"/>
  <c r="CE23" i="9"/>
  <c r="CD23" i="9"/>
  <c r="CC23" i="9"/>
  <c r="CB23" i="9"/>
  <c r="CA23" i="9"/>
  <c r="CF65" i="11"/>
  <c r="CJ65" i="11"/>
  <c r="CK65" i="11" s="1"/>
  <c r="CM65" i="11" s="1"/>
  <c r="CJ123" i="11"/>
  <c r="CK123" i="11" s="1"/>
  <c r="CM123" i="11" s="1"/>
  <c r="CF123" i="11"/>
  <c r="CF83" i="11"/>
  <c r="CJ83" i="11"/>
  <c r="CK83" i="11" s="1"/>
  <c r="CM83" i="11" s="1"/>
  <c r="CJ134" i="11"/>
  <c r="CK134" i="11" s="1"/>
  <c r="CM134" i="11" s="1"/>
  <c r="CF134" i="11"/>
  <c r="CF56" i="11"/>
  <c r="CJ56" i="11"/>
  <c r="CK56" i="11" s="1"/>
  <c r="CM56" i="11" s="1"/>
  <c r="CJ48" i="11"/>
  <c r="CK48" i="11" s="1"/>
  <c r="CM48" i="11" s="1"/>
  <c r="CF48" i="11"/>
  <c r="CJ103" i="11"/>
  <c r="CK103" i="11" s="1"/>
  <c r="CM103" i="11" s="1"/>
  <c r="CF103" i="11"/>
  <c r="CK113" i="10"/>
  <c r="CL113" i="10" s="1"/>
  <c r="CN113" i="10" s="1"/>
  <c r="CK131" i="10"/>
  <c r="CL131" i="10" s="1"/>
  <c r="CN131" i="10" s="1"/>
  <c r="CC12" i="9"/>
  <c r="CF42" i="11"/>
  <c r="CJ42" i="11"/>
  <c r="CK42" i="11" s="1"/>
  <c r="CM42" i="11" s="1"/>
  <c r="CJ90" i="11"/>
  <c r="CK90" i="11" s="1"/>
  <c r="CM90" i="11" s="1"/>
  <c r="CF90" i="11"/>
  <c r="CJ114" i="11"/>
  <c r="CK114" i="11" s="1"/>
  <c r="CM114" i="11" s="1"/>
  <c r="CF114" i="11"/>
  <c r="CF14" i="11"/>
  <c r="CJ14" i="11"/>
  <c r="CK14" i="11" s="1"/>
  <c r="CM14" i="11" s="1"/>
  <c r="CJ119" i="11"/>
  <c r="CK119" i="11" s="1"/>
  <c r="CM119" i="11" s="1"/>
  <c r="CF119" i="11"/>
  <c r="CF62" i="11"/>
  <c r="CJ62" i="11"/>
  <c r="CK62" i="11" s="1"/>
  <c r="CM62" i="11" s="1"/>
  <c r="CK27" i="10"/>
  <c r="CL27" i="10" s="1"/>
  <c r="CN27" i="10" s="1"/>
  <c r="CJ67" i="11"/>
  <c r="CK67" i="11" s="1"/>
  <c r="CM67" i="11" s="1"/>
  <c r="CF67" i="11"/>
  <c r="CJ98" i="11"/>
  <c r="CK98" i="11" s="1"/>
  <c r="CM98" i="11" s="1"/>
  <c r="CF98" i="11"/>
  <c r="CC19" i="9"/>
  <c r="CE19" i="9"/>
  <c r="CD19" i="9"/>
  <c r="CB19" i="9"/>
  <c r="CA19" i="9"/>
  <c r="CK85" i="10"/>
  <c r="CL85" i="10" s="1"/>
  <c r="CN85" i="10" s="1"/>
  <c r="CK117" i="10"/>
  <c r="CL117" i="10" s="1"/>
  <c r="CN117" i="10" s="1"/>
  <c r="CF55" i="11"/>
  <c r="CJ96" i="11"/>
  <c r="CK96" i="11" s="1"/>
  <c r="CM96" i="11" s="1"/>
  <c r="CF96" i="11"/>
  <c r="CF59" i="11"/>
  <c r="CJ59" i="11"/>
  <c r="CK59" i="11" s="1"/>
  <c r="CM59" i="11" s="1"/>
  <c r="CK72" i="10"/>
  <c r="CL72" i="10" s="1"/>
  <c r="CN72" i="10" s="1"/>
  <c r="CK120" i="10"/>
  <c r="CL120" i="10" s="1"/>
  <c r="CN120" i="10" s="1"/>
  <c r="CJ46" i="11"/>
  <c r="CK46" i="11" s="1"/>
  <c r="CM46" i="11" s="1"/>
  <c r="CF46" i="11"/>
  <c r="CK12" i="10"/>
  <c r="CL12" i="10" s="1"/>
  <c r="CN12" i="10" s="1"/>
  <c r="CG12" i="10"/>
  <c r="CJ126" i="11"/>
  <c r="CK126" i="11" s="1"/>
  <c r="CM126" i="11" s="1"/>
  <c r="CF126" i="11"/>
  <c r="CJ94" i="11"/>
  <c r="CK94" i="11" s="1"/>
  <c r="CM94" i="11" s="1"/>
  <c r="CF94" i="11"/>
  <c r="CJ136" i="11"/>
  <c r="CK136" i="11" s="1"/>
  <c r="CM136" i="11" s="1"/>
  <c r="CF136" i="11"/>
  <c r="CK74" i="10"/>
  <c r="CL74" i="10" s="1"/>
  <c r="CN74" i="10" s="1"/>
  <c r="CF111" i="11"/>
  <c r="CJ111" i="11"/>
  <c r="CK111" i="11" s="1"/>
  <c r="CM111" i="11" s="1"/>
  <c r="CC25" i="9"/>
  <c r="CE25" i="9"/>
  <c r="CD25" i="9"/>
  <c r="CB25" i="9"/>
  <c r="CA25" i="9"/>
  <c r="CK50" i="10"/>
  <c r="CL50" i="10" s="1"/>
  <c r="CN50" i="10" s="1"/>
  <c r="CK121" i="10"/>
  <c r="CL121" i="10" s="1"/>
  <c r="CN121" i="10" s="1"/>
  <c r="CF133" i="11"/>
  <c r="CK57" i="10"/>
  <c r="CL57" i="10" s="1"/>
  <c r="CN57" i="10" s="1"/>
  <c r="CJ33" i="11"/>
  <c r="CK33" i="11" s="1"/>
  <c r="CM33" i="11" s="1"/>
  <c r="CJ100" i="11"/>
  <c r="CK100" i="11" s="1"/>
  <c r="CM100" i="11" s="1"/>
  <c r="CF100" i="11"/>
  <c r="CF128" i="11"/>
  <c r="CJ128" i="11"/>
  <c r="CK128" i="11" s="1"/>
  <c r="CM128" i="11" s="1"/>
  <c r="CJ26" i="11"/>
  <c r="CK26" i="11" s="1"/>
  <c r="CM26" i="11" s="1"/>
  <c r="CF26" i="11"/>
  <c r="CJ47" i="11"/>
  <c r="CK47" i="11" s="1"/>
  <c r="CM47" i="11" s="1"/>
  <c r="CF47" i="11"/>
  <c r="CJ20" i="11"/>
  <c r="CK20" i="11" s="1"/>
  <c r="CM20" i="11" s="1"/>
  <c r="CF20" i="11"/>
  <c r="CA20" i="9"/>
  <c r="CC21" i="9"/>
  <c r="CB21" i="9"/>
  <c r="CA21" i="9"/>
  <c r="CE21" i="9"/>
  <c r="CD21" i="9"/>
  <c r="CJ104" i="11"/>
  <c r="CK104" i="11" s="1"/>
  <c r="CM104" i="11" s="1"/>
  <c r="CF104" i="11"/>
  <c r="CJ51" i="11"/>
  <c r="CK51" i="11" s="1"/>
  <c r="CM51" i="11" s="1"/>
  <c r="CF51" i="11"/>
  <c r="CB20" i="9"/>
  <c r="CJ127" i="11"/>
  <c r="CK127" i="11" s="1"/>
  <c r="CM127" i="11" s="1"/>
  <c r="CF127" i="11"/>
  <c r="CK83" i="10"/>
  <c r="CL83" i="10" s="1"/>
  <c r="CN83" i="10" s="1"/>
  <c r="CE17" i="9"/>
  <c r="CD17" i="9"/>
  <c r="CC17" i="9"/>
  <c r="CB17" i="9"/>
  <c r="CA17" i="9"/>
  <c r="CF39" i="11"/>
  <c r="CJ39" i="11"/>
  <c r="CK39" i="11" s="1"/>
  <c r="CM39" i="11" s="1"/>
  <c r="CJ72" i="11"/>
  <c r="CK72" i="11" s="1"/>
  <c r="CM72" i="11" s="1"/>
  <c r="CF72" i="11"/>
  <c r="CK128" i="10"/>
  <c r="CL128" i="10" s="1"/>
  <c r="CN128" i="10" s="1"/>
  <c r="CK107" i="10"/>
  <c r="CL107" i="10" s="1"/>
  <c r="CN107" i="10" s="1"/>
  <c r="CC7" i="9"/>
  <c r="CF36" i="11"/>
  <c r="CJ36" i="11"/>
  <c r="CK36" i="11" s="1"/>
  <c r="CM36" i="11" s="1"/>
  <c r="CJ85" i="11"/>
  <c r="CK85" i="11" s="1"/>
  <c r="CM85" i="11" s="1"/>
  <c r="CF85" i="11"/>
  <c r="CC20" i="9"/>
  <c r="CJ120" i="11"/>
  <c r="CK120" i="11" s="1"/>
  <c r="CM120" i="11" s="1"/>
  <c r="CF120" i="11"/>
  <c r="CA14" i="9"/>
  <c r="CE14" i="9"/>
  <c r="CD14" i="9"/>
  <c r="CC14" i="9"/>
  <c r="CB14" i="9"/>
  <c r="CK89" i="10"/>
  <c r="CL89" i="10" s="1"/>
  <c r="CN89" i="10" s="1"/>
  <c r="CK135" i="10"/>
  <c r="CL135" i="10" s="1"/>
  <c r="CN135" i="10" s="1"/>
  <c r="CJ35" i="11"/>
  <c r="CK35" i="11" s="1"/>
  <c r="CM35" i="11" s="1"/>
  <c r="CF35" i="11"/>
  <c r="CK106" i="10"/>
  <c r="CL106" i="10" s="1"/>
  <c r="CN106" i="10" s="1"/>
  <c r="CK116" i="10"/>
  <c r="CL116" i="10" s="1"/>
  <c r="CN116" i="10" s="1"/>
  <c r="CK14" i="10"/>
  <c r="CN14" i="10" s="1"/>
  <c r="CD7" i="9"/>
  <c r="CJ74" i="11"/>
  <c r="CK74" i="11" s="1"/>
  <c r="CM74" i="11" s="1"/>
  <c r="CF74" i="11"/>
  <c r="CJ69" i="11"/>
  <c r="CK69" i="11" s="1"/>
  <c r="CM69" i="11" s="1"/>
  <c r="CF69" i="11"/>
  <c r="CJ41" i="11"/>
  <c r="CK41" i="11" s="1"/>
  <c r="CM41" i="11" s="1"/>
  <c r="CF41" i="11"/>
  <c r="CJ92" i="11"/>
  <c r="CK92" i="11" s="1"/>
  <c r="CM92" i="11" s="1"/>
  <c r="CF92" i="11"/>
  <c r="CJ108" i="11"/>
  <c r="CK108" i="11" s="1"/>
  <c r="CM108" i="11" s="1"/>
  <c r="CF108" i="11"/>
  <c r="CJ115" i="11"/>
  <c r="CK115" i="11" s="1"/>
  <c r="CM115" i="11" s="1"/>
  <c r="CF115" i="11"/>
  <c r="CK16" i="10"/>
  <c r="CL16" i="10" s="1"/>
  <c r="CN16" i="10" s="1"/>
  <c r="BL14" i="9"/>
  <c r="BL11" i="9"/>
  <c r="BL16" i="9"/>
  <c r="BG7" i="9" a="1"/>
  <c r="BG7" i="9" s="1"/>
  <c r="CK7" i="9" s="1"/>
  <c r="BL15" i="9"/>
  <c r="BL10" i="9"/>
  <c r="BL9" i="9"/>
  <c r="CJ12" i="11"/>
  <c r="CK12" i="11" s="1"/>
  <c r="CM12" i="11" s="1"/>
  <c r="CF12" i="11"/>
  <c r="CJ131" i="11"/>
  <c r="CK131" i="11" s="1"/>
  <c r="CM131" i="11" s="1"/>
  <c r="CF131" i="11"/>
  <c r="CJ23" i="11"/>
  <c r="CK23" i="11" s="1"/>
  <c r="CM23" i="11" s="1"/>
  <c r="CF23" i="11"/>
  <c r="CJ70" i="11"/>
  <c r="CK70" i="11" s="1"/>
  <c r="CM70" i="11" s="1"/>
  <c r="CF70" i="11"/>
  <c r="CJ21" i="11"/>
  <c r="CK21" i="11" s="1"/>
  <c r="CM21" i="11" s="1"/>
  <c r="CF21" i="11"/>
  <c r="CK84" i="10"/>
  <c r="CL84" i="10" s="1"/>
  <c r="CN84" i="10" s="1"/>
  <c r="CK139" i="10"/>
  <c r="CL139" i="10" s="1"/>
  <c r="CN139" i="10" s="1"/>
  <c r="CK65" i="10"/>
  <c r="CL65" i="10" s="1"/>
  <c r="CN65" i="10" s="1"/>
  <c r="CK64" i="10"/>
  <c r="CL64" i="10" s="1"/>
  <c r="CN64" i="10" s="1"/>
  <c r="CB11" i="9"/>
  <c r="CD11" i="9"/>
  <c r="CE11" i="9"/>
  <c r="CC11" i="9"/>
  <c r="CA11" i="9"/>
  <c r="CJ113" i="11"/>
  <c r="CK113" i="11" s="1"/>
  <c r="CM113" i="11" s="1"/>
  <c r="CF113" i="11"/>
  <c r="CK37" i="10"/>
  <c r="CL37" i="10" s="1"/>
  <c r="CN37" i="10" s="1"/>
  <c r="CK10" i="10"/>
  <c r="CL10" i="10" s="1"/>
  <c r="CN10" i="10" s="1"/>
  <c r="CG10" i="10"/>
  <c r="CJ17" i="11"/>
  <c r="CK17" i="11" s="1"/>
  <c r="CM17" i="11" s="1"/>
  <c r="CF17" i="11"/>
  <c r="CE7" i="9"/>
  <c r="CJ53" i="11"/>
  <c r="CK53" i="11" s="1"/>
  <c r="CM53" i="11" s="1"/>
  <c r="CF53" i="11"/>
  <c r="CJ137" i="11"/>
  <c r="CK137" i="11" s="1"/>
  <c r="CM137" i="11" s="1"/>
  <c r="CF137" i="11"/>
  <c r="CF30" i="11"/>
  <c r="CJ30" i="11"/>
  <c r="CK30" i="11" s="1"/>
  <c r="CM30" i="11" s="1"/>
  <c r="CI13" i="9" a="1"/>
  <c r="CI13" i="9" s="1"/>
  <c r="CJ13" i="9" s="1"/>
  <c r="CL13" i="9" s="1"/>
  <c r="CF13" i="9"/>
  <c r="CJ86" i="11"/>
  <c r="CK86" i="11" s="1"/>
  <c r="CM86" i="11" s="1"/>
  <c r="CF86" i="11"/>
  <c r="CE26" i="9"/>
  <c r="CD26" i="9"/>
  <c r="CC26" i="9"/>
  <c r="CB26" i="9"/>
  <c r="CA26" i="9"/>
  <c r="CJ121" i="11"/>
  <c r="CK121" i="11" s="1"/>
  <c r="CM121" i="11" s="1"/>
  <c r="CF121" i="11"/>
  <c r="CK69" i="10"/>
  <c r="CL69" i="10" s="1"/>
  <c r="CN69" i="10" s="1"/>
  <c r="CA7" i="9"/>
  <c r="CK66" i="10"/>
  <c r="CL66" i="10" s="1"/>
  <c r="CN66" i="10" s="1"/>
  <c r="CJ73" i="11"/>
  <c r="CK73" i="11" s="1"/>
  <c r="CM73" i="11" s="1"/>
  <c r="CF73" i="11"/>
  <c r="CJ9" i="11"/>
  <c r="CK9" i="11" s="1"/>
  <c r="CM9" i="11" s="1"/>
  <c r="CF9" i="11"/>
  <c r="CK76" i="10"/>
  <c r="CL76" i="10" s="1"/>
  <c r="CN76" i="10" s="1"/>
  <c r="CK43" i="10"/>
  <c r="CL43" i="10" s="1"/>
  <c r="CN43" i="10" s="1"/>
  <c r="CJ16" i="11"/>
  <c r="CK16" i="11" s="1"/>
  <c r="CM16" i="11" s="1"/>
  <c r="CF16" i="11"/>
  <c r="CJ40" i="11"/>
  <c r="CK40" i="11" s="1"/>
  <c r="CM40" i="11" s="1"/>
  <c r="CF40" i="11"/>
  <c r="CJ28" i="11"/>
  <c r="CK28" i="11" s="1"/>
  <c r="CM28" i="11" s="1"/>
  <c r="CF28" i="11"/>
  <c r="BL8" i="9" l="1"/>
  <c r="CI14" i="9" a="1"/>
  <c r="CI14" i="9" s="1"/>
  <c r="CJ14" i="9" s="1" a="1"/>
  <c r="CJ14" i="9" s="1"/>
  <c r="CL14" i="9" s="1"/>
  <c r="CF14" i="9"/>
  <c r="CF20" i="9"/>
  <c r="CI20" i="9" a="1"/>
  <c r="CI20" i="9" s="1"/>
  <c r="CJ20" i="9" s="1" a="1"/>
  <c r="CJ20" i="9" s="1"/>
  <c r="CL20" i="9" s="1"/>
  <c r="CI18" i="9" a="1"/>
  <c r="CI18" i="9" s="1"/>
  <c r="CJ18" i="9" s="1" a="1"/>
  <c r="CJ18" i="9" s="1"/>
  <c r="CL18" i="9" s="1"/>
  <c r="CF18" i="9"/>
  <c r="CG8" i="11"/>
  <c r="CI16" i="9" a="1"/>
  <c r="CI16" i="9" s="1"/>
  <c r="CJ16" i="9" s="1" a="1"/>
  <c r="CJ16" i="9" s="1"/>
  <c r="CL16" i="9" s="1"/>
  <c r="CF16" i="9"/>
  <c r="CI10" i="9" a="1"/>
  <c r="CI10" i="9" s="1"/>
  <c r="CJ10" i="9" s="1"/>
  <c r="CL10" i="9" s="1"/>
  <c r="CF10" i="9"/>
  <c r="CQ11" i="11"/>
  <c r="CQ8" i="11"/>
  <c r="CQ10" i="11"/>
  <c r="CM8" i="11"/>
  <c r="CQ9" i="11"/>
  <c r="CI19" i="9" a="1"/>
  <c r="CI19" i="9" s="1"/>
  <c r="CJ19" i="9" s="1" a="1"/>
  <c r="CJ19" i="9" s="1"/>
  <c r="CL19" i="9" s="1"/>
  <c r="CF19" i="9"/>
  <c r="CI24" i="9" a="1"/>
  <c r="CI24" i="9" s="1"/>
  <c r="CJ24" i="9" s="1" a="1"/>
  <c r="CJ24" i="9" s="1"/>
  <c r="CL24" i="9" s="1"/>
  <c r="CF24" i="9"/>
  <c r="CF12" i="9"/>
  <c r="CI12" i="9" a="1"/>
  <c r="CI12" i="9" s="1"/>
  <c r="CJ12" i="9" s="1" a="1"/>
  <c r="CJ12" i="9" s="1"/>
  <c r="CL12" i="9" s="1"/>
  <c r="CI15" i="9" a="1"/>
  <c r="CI15" i="9" s="1"/>
  <c r="CJ15" i="9" s="1" a="1"/>
  <c r="CJ15" i="9" s="1"/>
  <c r="CL15" i="9" s="1"/>
  <c r="CF15" i="9"/>
  <c r="CR12" i="10"/>
  <c r="CR11" i="10"/>
  <c r="CR10" i="10"/>
  <c r="CR9" i="10"/>
  <c r="CN8" i="10"/>
  <c r="CI22" i="9" a="1"/>
  <c r="CI22" i="9" s="1"/>
  <c r="CJ22" i="9" s="1" a="1"/>
  <c r="CJ22" i="9" s="1"/>
  <c r="CL22" i="9" s="1"/>
  <c r="CF22" i="9"/>
  <c r="CI7" i="9"/>
  <c r="CJ7" i="9" s="1"/>
  <c r="CF7" i="9"/>
  <c r="CI25" i="9" a="1"/>
  <c r="CI25" i="9" s="1"/>
  <c r="CJ25" i="9" s="1" a="1"/>
  <c r="CJ25" i="9" s="1"/>
  <c r="CL25" i="9" s="1"/>
  <c r="CF25" i="9"/>
  <c r="CI9" i="9" a="1"/>
  <c r="CI9" i="9" s="1"/>
  <c r="CJ9" i="9" s="1" a="1"/>
  <c r="CJ9" i="9" s="1"/>
  <c r="CL9" i="9" s="1"/>
  <c r="CF9" i="9"/>
  <c r="CF17" i="9"/>
  <c r="CI17" i="9" a="1"/>
  <c r="CI17" i="9" s="1"/>
  <c r="CJ17" i="9" s="1" a="1"/>
  <c r="CJ17" i="9" s="1"/>
  <c r="CL17" i="9" s="1"/>
  <c r="CI26" i="9" a="1"/>
  <c r="CI26" i="9" s="1"/>
  <c r="CJ26" i="9" s="1" a="1"/>
  <c r="CJ26" i="9" s="1"/>
  <c r="CL26" i="9" s="1"/>
  <c r="CF26" i="9"/>
  <c r="CI11" i="9" a="1"/>
  <c r="CI11" i="9" s="1"/>
  <c r="CJ11" i="9" s="1" a="1"/>
  <c r="CJ11" i="9" s="1"/>
  <c r="CL11" i="9" s="1"/>
  <c r="CF11" i="9"/>
  <c r="BL7" i="9"/>
  <c r="CI21" i="9" a="1"/>
  <c r="CI21" i="9" s="1"/>
  <c r="CJ21" i="9" s="1" a="1"/>
  <c r="CJ21" i="9" s="1"/>
  <c r="CL21" i="9" s="1"/>
  <c r="CF21" i="9"/>
  <c r="CF23" i="9"/>
  <c r="CI23" i="9" a="1"/>
  <c r="CI23" i="9" s="1"/>
  <c r="CJ23" i="9" s="1" a="1"/>
  <c r="CJ23" i="9" s="1"/>
  <c r="CL23" i="9" s="1"/>
  <c r="CP9" i="9" l="1"/>
  <c r="CP8" i="9"/>
  <c r="CP11" i="9"/>
  <c r="CP7" i="9"/>
  <c r="CL7" i="9"/>
  <c r="CP10" i="9"/>
  <c r="CG7" i="9"/>
  <c r="CR13" i="10"/>
  <c r="CS8" i="10" s="1"/>
  <c r="CQ12" i="11"/>
  <c r="CR10" i="11" s="1"/>
  <c r="CR8" i="11"/>
  <c r="CS12" i="10" l="1"/>
  <c r="CS10" i="10"/>
  <c r="CS11" i="10"/>
  <c r="CS9" i="10"/>
  <c r="CR9" i="11"/>
  <c r="CR11" i="11"/>
</calcChain>
</file>

<file path=xl/sharedStrings.xml><?xml version="1.0" encoding="utf-8"?>
<sst xmlns="http://schemas.openxmlformats.org/spreadsheetml/2006/main" count="1117" uniqueCount="133">
  <si>
    <t>Age</t>
  </si>
  <si>
    <t>High PI</t>
  </si>
  <si>
    <t>Med PI</t>
  </si>
  <si>
    <t>Low PI</t>
  </si>
  <si>
    <t>Total</t>
  </si>
  <si>
    <t>df=</t>
  </si>
  <si>
    <t>&lt; 35</t>
  </si>
  <si>
    <t>p=</t>
  </si>
  <si>
    <t>35-54</t>
  </si>
  <si>
    <t>&gt; 54</t>
  </si>
  <si>
    <t>%</t>
  </si>
  <si>
    <t>Marital Status</t>
  </si>
  <si>
    <t>Married</t>
  </si>
  <si>
    <t>Never married</t>
  </si>
  <si>
    <t>Divorced</t>
  </si>
  <si>
    <t>Widowed</t>
  </si>
  <si>
    <t>Separated</t>
  </si>
  <si>
    <t>Gender</t>
  </si>
  <si>
    <t>Female</t>
  </si>
  <si>
    <t>Male</t>
  </si>
  <si>
    <t>OBSERVED</t>
  </si>
  <si>
    <t>Low</t>
  </si>
  <si>
    <t>Med</t>
  </si>
  <si>
    <t>High</t>
  </si>
  <si>
    <t>Low-Med</t>
  </si>
  <si>
    <t>% of Total</t>
  </si>
  <si>
    <t>EXPECTED</t>
  </si>
  <si>
    <t>CHI-SQ VALUES</t>
  </si>
  <si>
    <t xml:space="preserve"> = Chi-Square Factor</t>
  </si>
  <si>
    <t xml:space="preserve"> = Degree of Freedom</t>
  </si>
  <si>
    <t xml:space="preserve"> = p-Value</t>
  </si>
  <si>
    <t>DIFFERENCE</t>
  </si>
  <si>
    <t>Interpretation</t>
  </si>
  <si>
    <t xml:space="preserve"> = there is less than 5% chance the difference in purchase intent between the observed and expected is due to random chance</t>
  </si>
  <si>
    <t xml:space="preserve"> = respondents with higher purchase intent are more likely to be female than male</t>
  </si>
  <si>
    <t>Table 4 - Definition of Options, Attributes, and Levels</t>
  </si>
  <si>
    <t>Table 5 - Survey Results  (the values in this table represent ranking of preference;  where 1 = most preferred, 20 = least preferred)</t>
  </si>
  <si>
    <t>Price</t>
  </si>
  <si>
    <t>Brand</t>
  </si>
  <si>
    <t>Coke</t>
  </si>
  <si>
    <t>Pepsi</t>
  </si>
  <si>
    <t>Sugar</t>
  </si>
  <si>
    <t>Diet</t>
  </si>
  <si>
    <t>Regular</t>
  </si>
  <si>
    <t>Normalized</t>
  </si>
  <si>
    <t>Sum of Ranks across each Level</t>
  </si>
  <si>
    <t>Normalization of the Sum of Ranks</t>
  </si>
  <si>
    <t>Range of Attribute</t>
  </si>
  <si>
    <t>Summary of Importance (per respondent)</t>
  </si>
  <si>
    <t>Summary of Importance (all respondentents)</t>
  </si>
  <si>
    <t>Options</t>
  </si>
  <si>
    <t>Respondent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</si>
  <si>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</si>
  <si>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</si>
  <si>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</si>
  <si>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</si>
  <si>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</si>
  <si>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</si>
  <si>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</si>
  <si>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</si>
  <si>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</si>
  <si>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</si>
  <si>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</si>
  <si>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 12</t>
  </si>
  <si>
    <t>Option 13</t>
  </si>
  <si>
    <t>Option 14</t>
  </si>
  <si>
    <t>Option 15</t>
  </si>
  <si>
    <t>Option 16</t>
  </si>
  <si>
    <t>Option 17</t>
  </si>
  <si>
    <t>Option 18</t>
  </si>
  <si>
    <t>Option 19</t>
  </si>
  <si>
    <t>Option 20</t>
  </si>
  <si>
    <t xml:space="preserve">Brand </t>
  </si>
  <si>
    <t>Top Attrib.</t>
  </si>
  <si>
    <t>Top 
Level</t>
  </si>
  <si>
    <t>Count</t>
  </si>
  <si>
    <t>Most Import. Attrib.</t>
  </si>
  <si>
    <t>Top Choice Level</t>
  </si>
  <si>
    <t>level</t>
  </si>
  <si>
    <t>sum of rank</t>
  </si>
  <si>
    <t>normalized rank</t>
  </si>
  <si>
    <t>Top Choice</t>
  </si>
  <si>
    <t>Max</t>
  </si>
  <si>
    <t>Cluster Name</t>
  </si>
  <si>
    <t>Regular Coke</t>
  </si>
  <si>
    <t>Price Only</t>
  </si>
  <si>
    <t>Diet Pepsi</t>
  </si>
  <si>
    <t>Diet Coke</t>
  </si>
  <si>
    <t>Regular Pepsi</t>
  </si>
  <si>
    <t>Min</t>
  </si>
  <si>
    <t>Mean</t>
  </si>
  <si>
    <t>StDev</t>
  </si>
  <si>
    <t>"Preference Metric"</t>
  </si>
  <si>
    <t>Normalized "Preference Metric"</t>
  </si>
  <si>
    <t>Cluster Distances</t>
  </si>
  <si>
    <t>Objective Function</t>
  </si>
  <si>
    <t>Cluster Results</t>
  </si>
  <si>
    <t>Cluster Summary</t>
  </si>
  <si>
    <t>Cluster 1</t>
  </si>
  <si>
    <t>Cluster 2</t>
  </si>
  <si>
    <t>Cluster 3</t>
  </si>
  <si>
    <t>Cluster 4</t>
  </si>
  <si>
    <t>Cluster 5</t>
  </si>
  <si>
    <t>Min Distance Cluster</t>
  </si>
  <si>
    <t>Total Distance</t>
  </si>
  <si>
    <t>Cluster Assign.</t>
  </si>
  <si>
    <t>Cluster 
Name</t>
  </si>
  <si>
    <t>From Conjoint Analysis</t>
  </si>
  <si>
    <t>Compare</t>
  </si>
  <si>
    <t>Pos=Pepsi</t>
  </si>
  <si>
    <t>Pos=Reg</t>
  </si>
  <si>
    <t>Neg=Coke</t>
  </si>
  <si>
    <t>Neg=Diet</t>
  </si>
  <si>
    <t>From Analysis Compare</t>
  </si>
  <si>
    <t>Table 1 - Spend Intent by Age</t>
  </si>
  <si>
    <t>Table 2 - Spend Intent by Marital Status</t>
  </si>
  <si>
    <t>Table 3 - Spend Intent by Gender</t>
  </si>
  <si>
    <t>Theme</t>
  </si>
  <si>
    <t>Super Bowl</t>
  </si>
  <si>
    <t>Tennis</t>
  </si>
  <si>
    <t>A</t>
  </si>
  <si>
    <t>B</t>
  </si>
  <si>
    <t>pos Theme - A</t>
  </si>
  <si>
    <t>neg Theme - B</t>
  </si>
  <si>
    <t>B Super Bowl</t>
  </si>
  <si>
    <t>A Super Bowl</t>
  </si>
  <si>
    <t>pos brand - Super Bowl</t>
  </si>
  <si>
    <t>A Tennis</t>
  </si>
  <si>
    <t>B Tennis</t>
  </si>
  <si>
    <t>neg brand - Tennis</t>
  </si>
  <si>
    <t>pos sugar - A</t>
  </si>
  <si>
    <t>neg sugar - B</t>
  </si>
  <si>
    <t>Tennis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</si>
</sst>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&quot;$&quot;#,##0.00"/>
    <numFmt numFmtId="166" formatCode="&quot;$&quot;#,##0.00_);[Red]\(&quot;$&quot;#,##0.00\)"/>
    <numFmt numFmtId="167" formatCode="0_ "/>
    <numFmt numFmtId="168" formatCode="0.0"/>
    <numFmt numFmtId="169" formatCode="0.0%"/>
    <numFmt numFmtId="170" formatCode="0.000"/>
    <numFmt numFmtId="171" formatCode="0.00000%"/>
    <numFmt numFmtId="172" formatCode="0.000000_ "/>
    <numFmt numFmtId="173" formatCode="0.00000_ "/>
    <numFmt numFmtId="175" formatCode="0.00_ "/>
    <numFmt numFmtId="176" formatCode="0.0000%"/>
  </numFmts>
  <fonts count="11">
    <font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 tint="-0.34998626667073579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859614856410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top" wrapText="1"/>
    </xf>
    <xf numFmtId="165" fontId="0" fillId="0" borderId="0" xfId="0" applyNumberFormat="1"/>
    <xf numFmtId="0" fontId="5" fillId="0" borderId="0" xfId="0" applyFont="1"/>
    <xf numFmtId="0" fontId="2" fillId="0" borderId="0" xfId="0" applyFont="1" applyAlignment="1">
      <alignment horizontal="center"/>
    </xf>
    <xf numFmtId="9" fontId="0" fillId="0" borderId="0" xfId="1" applyFont="1"/>
    <xf numFmtId="2" fontId="2" fillId="0" borderId="0" xfId="0" applyNumberFormat="1" applyFont="1"/>
    <xf numFmtId="0" fontId="6" fillId="0" borderId="0" xfId="0" applyFont="1"/>
    <xf numFmtId="0" fontId="3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7" fillId="0" borderId="0" xfId="0" applyFont="1"/>
    <xf numFmtId="165" fontId="2" fillId="0" borderId="0" xfId="0" applyNumberFormat="1" applyFont="1"/>
    <xf numFmtId="165" fontId="7" fillId="0" borderId="0" xfId="0" applyNumberFormat="1" applyFont="1" applyAlignment="1">
      <alignment horizontal="right" vertical="top" wrapText="1"/>
    </xf>
    <xf numFmtId="165" fontId="3" fillId="0" borderId="0" xfId="0" applyNumberFormat="1" applyFont="1"/>
    <xf numFmtId="165" fontId="4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horizontal="right" vertical="top"/>
    </xf>
    <xf numFmtId="9" fontId="2" fillId="0" borderId="0" xfId="1" applyFont="1"/>
    <xf numFmtId="0" fontId="7" fillId="0" borderId="0" xfId="0" applyFont="1" applyAlignment="1">
      <alignment horizontal="right" vertical="top" wrapText="1"/>
    </xf>
    <xf numFmtId="9" fontId="2" fillId="0" borderId="0" xfId="0" applyNumberFormat="1" applyFont="1"/>
    <xf numFmtId="0" fontId="5" fillId="0" borderId="0" xfId="0" applyFont="1" applyAlignment="1">
      <alignment horizontal="left" vertical="top"/>
    </xf>
    <xf numFmtId="165" fontId="8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9" fontId="2" fillId="0" borderId="0" xfId="1" applyFont="1" applyAlignment="1">
      <alignment horizontal="left" vertical="top"/>
    </xf>
    <xf numFmtId="2" fontId="9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right"/>
    </xf>
    <xf numFmtId="2" fontId="3" fillId="0" borderId="0" xfId="0" applyNumberFormat="1" applyFont="1"/>
    <xf numFmtId="9" fontId="7" fillId="0" borderId="0" xfId="1" applyFont="1" applyAlignment="1">
      <alignment horizontal="right" vertical="top" wrapText="1"/>
    </xf>
    <xf numFmtId="2" fontId="7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2" fontId="7" fillId="0" borderId="0" xfId="0" applyNumberFormat="1" applyFont="1"/>
    <xf numFmtId="165" fontId="7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/>
    <xf numFmtId="0" fontId="6" fillId="2" borderId="0" xfId="0" applyFont="1" applyFill="1"/>
    <xf numFmtId="0" fontId="2" fillId="2" borderId="0" xfId="0" applyFont="1" applyFill="1" applyAlignment="1">
      <alignment horizontal="left"/>
    </xf>
    <xf numFmtId="0" fontId="1" fillId="0" borderId="0" xfId="0" applyFont="1"/>
    <xf numFmtId="165" fontId="1" fillId="0" borderId="0" xfId="0" applyNumberFormat="1" applyFont="1"/>
    <xf numFmtId="166" fontId="0" fillId="0" borderId="1" xfId="0" applyNumberFormat="1" applyBorder="1" applyAlignment="1">
      <alignment horizontal="center"/>
    </xf>
    <xf numFmtId="165" fontId="0" fillId="0" borderId="2" xfId="0" applyNumberFormat="1" applyBorder="1"/>
    <xf numFmtId="0" fontId="0" fillId="0" borderId="2" xfId="0" applyBorder="1"/>
    <xf numFmtId="0" fontId="0" fillId="0" borderId="3" xfId="0" applyBorder="1"/>
    <xf numFmtId="166" fontId="0" fillId="0" borderId="4" xfId="0" applyNumberFormat="1" applyBorder="1" applyAlignment="1">
      <alignment horizontal="center"/>
    </xf>
    <xf numFmtId="0" fontId="0" fillId="0" borderId="5" xfId="0" applyBorder="1"/>
    <xf numFmtId="166" fontId="0" fillId="0" borderId="6" xfId="0" applyNumberFormat="1" applyBorder="1" applyAlignment="1">
      <alignment horizontal="center"/>
    </xf>
    <xf numFmtId="165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0" xfId="1" applyNumberFormat="1"/>
    <xf numFmtId="10" fontId="0" fillId="0" borderId="0" xfId="0" applyNumberFormat="1"/>
    <xf numFmtId="9" fontId="0" fillId="0" borderId="0" xfId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9" fontId="7" fillId="0" borderId="0" xfId="1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9" fontId="7" fillId="2" borderId="0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67" fontId="0" fillId="0" borderId="0" xfId="0" applyNumberFormat="1"/>
    <xf numFmtId="171" fontId="0" fillId="3" borderId="0" xfId="1" applyNumberFormat="1" applyFill="1"/>
    <xf numFmtId="172" fontId="0" fillId="3" borderId="0" xfId="0" applyNumberFormat="1" applyFill="1"/>
    <xf numFmtId="172" fontId="0" fillId="0" borderId="0" xfId="0" applyNumberFormat="1"/>
    <xf numFmtId="0" fontId="0" fillId="3" borderId="0" xfId="0" applyFill="1"/>
    <xf numFmtId="173" fontId="0" fillId="3" borderId="0" xfId="0" applyNumberFormat="1" applyFill="1"/>
    <xf numFmtId="173" fontId="0" fillId="0" borderId="0" xfId="0" applyNumberFormat="1"/>
    <xf numFmtId="171" fontId="0" fillId="0" borderId="0" xfId="1" applyNumberFormat="1"/>
    <xf numFmtId="175" fontId="0" fillId="0" borderId="0" xfId="0" applyNumberFormat="1"/>
    <xf numFmtId="17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3"/>
  <sheetViews>
    <sheetView topLeftCell="A3" workbookViewId="0">
      <selection activeCell="D18" sqref="D18"/>
    </sheetView>
  </sheetViews>
  <sheetFormatPr defaultColWidth="9" defaultRowHeight="14.5"/>
  <cols>
    <col min="1" max="1" width="3.6328125" customWidth="1"/>
    <col min="2" max="2" width="14" customWidth="1"/>
    <col min="3" max="5" width="12.90625"/>
    <col min="8" max="8" width="14.6328125" customWidth="1"/>
    <col min="9" max="11" width="12.90625"/>
    <col min="15" max="17" width="12.90625"/>
    <col min="20" max="20" width="12.90625"/>
    <col min="23" max="23" width="14.08984375"/>
    <col min="24" max="25" width="12.90625"/>
    <col min="26" max="26" width="14.08984375"/>
  </cols>
  <sheetData>
    <row r="2" spans="2:28">
      <c r="B2" s="3" t="s">
        <v>114</v>
      </c>
      <c r="H2" s="3" t="s">
        <v>114</v>
      </c>
      <c r="N2" s="3" t="s">
        <v>114</v>
      </c>
      <c r="V2" s="3" t="s">
        <v>114</v>
      </c>
    </row>
    <row r="3" spans="2:28">
      <c r="B3" s="81" t="s">
        <v>0</v>
      </c>
      <c r="C3" s="82" t="s">
        <v>1</v>
      </c>
      <c r="D3" s="82" t="s">
        <v>2</v>
      </c>
      <c r="E3" s="82" t="s">
        <v>3</v>
      </c>
      <c r="F3" t="s">
        <v>4</v>
      </c>
      <c r="H3" s="81" t="s">
        <v>0</v>
      </c>
      <c r="I3" s="82" t="s">
        <v>1</v>
      </c>
      <c r="J3" s="82" t="s">
        <v>2</v>
      </c>
      <c r="K3" s="82" t="s">
        <v>3</v>
      </c>
      <c r="L3" t="s">
        <v>4</v>
      </c>
      <c r="N3" s="81" t="s">
        <v>0</v>
      </c>
      <c r="O3" s="82" t="s">
        <v>1</v>
      </c>
      <c r="P3" s="82" t="s">
        <v>2</v>
      </c>
      <c r="Q3" s="82" t="s">
        <v>3</v>
      </c>
      <c r="R3" t="s">
        <v>4</v>
      </c>
      <c r="S3" t="s">
        <v>5</v>
      </c>
      <c r="T3">
        <f>4</f>
        <v>4</v>
      </c>
      <c r="V3" s="81" t="s">
        <v>0</v>
      </c>
      <c r="W3" s="82" t="s">
        <v>1</v>
      </c>
      <c r="X3" s="82" t="s">
        <v>2</v>
      </c>
      <c r="Y3" s="82" t="s">
        <v>3</v>
      </c>
      <c r="Z3" t="s">
        <v>4</v>
      </c>
    </row>
    <row r="4" spans="2:28">
      <c r="B4" t="s">
        <v>6</v>
      </c>
      <c r="C4">
        <v>169</v>
      </c>
      <c r="D4">
        <v>23</v>
      </c>
      <c r="E4">
        <v>2</v>
      </c>
      <c r="F4">
        <f>SUM(C4:E4)</f>
        <v>194</v>
      </c>
      <c r="H4" t="s">
        <v>6</v>
      </c>
      <c r="I4" s="83">
        <f>$F$4*C8</f>
        <v>125.04819277108435</v>
      </c>
      <c r="J4" s="83">
        <f>$F$4*D8</f>
        <v>53.759036144578317</v>
      </c>
      <c r="K4" s="83">
        <f>$F$4*E8</f>
        <v>15.19277108433735</v>
      </c>
      <c r="L4">
        <f>SUM(I4:K4)</f>
        <v>194.00000000000003</v>
      </c>
      <c r="N4" t="s">
        <v>6</v>
      </c>
      <c r="O4" s="83">
        <f t="shared" ref="O4:Q6" si="0">(C4-I4)^2/I4</f>
        <v>15.448134962046851</v>
      </c>
      <c r="P4" s="83">
        <f t="shared" si="0"/>
        <v>17.599242330145326</v>
      </c>
      <c r="Q4" s="83">
        <f t="shared" si="0"/>
        <v>11.456054192981282</v>
      </c>
      <c r="R4">
        <f t="shared" ref="R4:R7" si="1">SUM(O4:Q4)</f>
        <v>44.503431485173465</v>
      </c>
      <c r="S4" t="s">
        <v>7</v>
      </c>
      <c r="T4" s="84">
        <f>CHIDIST(R7,T3)</f>
        <v>5.6389843612674965E-42</v>
      </c>
      <c r="V4" t="s">
        <v>6</v>
      </c>
      <c r="W4" s="85">
        <f t="shared" ref="W4:Y6" si="2">(C4-I4)/SQRT(I4)</f>
        <v>3.9304115512305895</v>
      </c>
      <c r="X4" s="86">
        <f t="shared" si="2"/>
        <v>-4.1951450904760526</v>
      </c>
      <c r="Y4" s="86">
        <f t="shared" si="2"/>
        <v>-3.3846793338485233</v>
      </c>
      <c r="Z4">
        <f>SUM(W4:Y4)</f>
        <v>-3.6494128730939863</v>
      </c>
      <c r="AB4" s="90"/>
    </row>
    <row r="5" spans="2:28">
      <c r="B5" t="s">
        <v>8</v>
      </c>
      <c r="C5">
        <v>43</v>
      </c>
      <c r="D5">
        <v>65</v>
      </c>
      <c r="E5">
        <v>10</v>
      </c>
      <c r="F5">
        <f>SUM(C5:E5)</f>
        <v>118</v>
      </c>
      <c r="H5" t="s">
        <v>8</v>
      </c>
      <c r="I5" s="83">
        <f>$F$5*C8</f>
        <v>76.060240963855421</v>
      </c>
      <c r="J5" s="83">
        <f>$F$5*D8</f>
        <v>32.69879518072289</v>
      </c>
      <c r="K5" s="83">
        <f>$F$5*E8</f>
        <v>9.2409638554216862</v>
      </c>
      <c r="L5">
        <f>SUM(I5:K5)</f>
        <v>118</v>
      </c>
      <c r="N5" t="s">
        <v>8</v>
      </c>
      <c r="O5" s="83">
        <f t="shared" si="0"/>
        <v>14.369919405167</v>
      </c>
      <c r="P5" s="83">
        <f t="shared" si="0"/>
        <v>31.90844882847529</v>
      </c>
      <c r="Q5" s="83">
        <f t="shared" si="0"/>
        <v>6.2345863244372635E-2</v>
      </c>
      <c r="R5">
        <f t="shared" si="1"/>
        <v>46.340714096886664</v>
      </c>
      <c r="V5" t="s">
        <v>8</v>
      </c>
      <c r="W5" s="86">
        <f t="shared" si="2"/>
        <v>-3.790767653809318</v>
      </c>
      <c r="X5" s="85">
        <f t="shared" si="2"/>
        <v>5.6487563966306151</v>
      </c>
      <c r="Y5" s="86">
        <f t="shared" si="2"/>
        <v>0.24969153618889975</v>
      </c>
      <c r="Z5">
        <f>SUM(W5:Y5)</f>
        <v>2.1076802790101969</v>
      </c>
    </row>
    <row r="6" spans="2:28">
      <c r="B6" t="s">
        <v>9</v>
      </c>
      <c r="C6">
        <v>2</v>
      </c>
      <c r="D6">
        <v>4</v>
      </c>
      <c r="E6">
        <v>14</v>
      </c>
      <c r="F6">
        <f>SUM(C6:E6)</f>
        <v>20</v>
      </c>
      <c r="H6" t="s">
        <v>9</v>
      </c>
      <c r="I6" s="83">
        <f>$F$6*C8</f>
        <v>12.891566265060241</v>
      </c>
      <c r="J6" s="83">
        <f>$F$6*D8</f>
        <v>5.5421686746987948</v>
      </c>
      <c r="K6" s="83">
        <f>$F$6*E8</f>
        <v>1.5662650602409638</v>
      </c>
      <c r="L6">
        <f>SUM(I6:K6)</f>
        <v>20</v>
      </c>
      <c r="N6" t="s">
        <v>9</v>
      </c>
      <c r="O6" s="83">
        <f t="shared" si="0"/>
        <v>9.2018466388920164</v>
      </c>
      <c r="P6" s="83">
        <f t="shared" si="0"/>
        <v>0.42912519643792546</v>
      </c>
      <c r="Q6" s="83">
        <f t="shared" si="0"/>
        <v>98.704726598702521</v>
      </c>
      <c r="R6">
        <f t="shared" si="1"/>
        <v>108.33569843403247</v>
      </c>
      <c r="V6" t="s">
        <v>9</v>
      </c>
      <c r="W6" s="86">
        <f t="shared" si="2"/>
        <v>-3.0334545717534684</v>
      </c>
      <c r="X6" s="86">
        <f t="shared" si="2"/>
        <v>-0.65507648136528718</v>
      </c>
      <c r="Y6" s="85">
        <f t="shared" si="2"/>
        <v>9.9350252439891911</v>
      </c>
      <c r="Z6">
        <f>SUM(W6:Y6)</f>
        <v>6.2464941908704352</v>
      </c>
    </row>
    <row r="7" spans="2:28">
      <c r="B7" t="s">
        <v>4</v>
      </c>
      <c r="C7">
        <f>SUM(C4:C6)</f>
        <v>214</v>
      </c>
      <c r="D7">
        <f>SUM(D4:D6)</f>
        <v>92</v>
      </c>
      <c r="E7">
        <f>SUM(E4:E6)</f>
        <v>26</v>
      </c>
      <c r="F7">
        <f>SUM(C7:E7)</f>
        <v>332</v>
      </c>
      <c r="H7" t="s">
        <v>4</v>
      </c>
      <c r="I7">
        <f>SUM(I4:I6)</f>
        <v>214</v>
      </c>
      <c r="J7">
        <f t="shared" ref="J7:Q7" si="3">SUM(J4:J6)</f>
        <v>92.000000000000014</v>
      </c>
      <c r="K7">
        <f t="shared" si="3"/>
        <v>26</v>
      </c>
      <c r="L7">
        <f>SUM(I7:K7)</f>
        <v>332</v>
      </c>
      <c r="N7" t="s">
        <v>4</v>
      </c>
      <c r="O7">
        <f t="shared" si="3"/>
        <v>39.019901006105869</v>
      </c>
      <c r="P7">
        <f t="shared" si="3"/>
        <v>49.936816355058539</v>
      </c>
      <c r="Q7">
        <f t="shared" si="3"/>
        <v>110.22312665492818</v>
      </c>
      <c r="R7">
        <f t="shared" si="1"/>
        <v>199.1798440160926</v>
      </c>
      <c r="V7" t="s">
        <v>4</v>
      </c>
    </row>
    <row r="8" spans="2:28">
      <c r="B8" t="s">
        <v>10</v>
      </c>
      <c r="C8" s="67">
        <f>C7/$F$7</f>
        <v>0.64457831325301207</v>
      </c>
      <c r="D8" s="67">
        <f>D7/$F$7</f>
        <v>0.27710843373493976</v>
      </c>
      <c r="E8" s="67">
        <f>E7/$F$7</f>
        <v>7.8313253012048195E-2</v>
      </c>
      <c r="F8" s="67">
        <f>F7/$F$7</f>
        <v>1</v>
      </c>
      <c r="I8" s="67"/>
      <c r="J8" s="67"/>
      <c r="K8" s="67"/>
      <c r="L8" s="67"/>
      <c r="O8" s="67"/>
      <c r="P8" s="67"/>
      <c r="Q8" s="67"/>
      <c r="R8" s="67"/>
      <c r="W8" s="67"/>
      <c r="X8" s="67"/>
      <c r="Y8" s="67"/>
      <c r="Z8" s="67"/>
    </row>
    <row r="9" spans="2:28">
      <c r="B9" s="3" t="s">
        <v>115</v>
      </c>
      <c r="H9" s="3" t="s">
        <v>115</v>
      </c>
      <c r="N9" s="3" t="s">
        <v>115</v>
      </c>
      <c r="V9" s="3" t="s">
        <v>115</v>
      </c>
    </row>
    <row r="10" spans="2:28">
      <c r="B10" s="81" t="s">
        <v>11</v>
      </c>
      <c r="C10" s="82" t="s">
        <v>1</v>
      </c>
      <c r="D10" s="82" t="s">
        <v>2</v>
      </c>
      <c r="E10" s="82" t="s">
        <v>3</v>
      </c>
      <c r="F10" t="s">
        <v>4</v>
      </c>
      <c r="H10" s="81" t="s">
        <v>11</v>
      </c>
      <c r="I10" s="82" t="s">
        <v>1</v>
      </c>
      <c r="J10" s="82" t="s">
        <v>2</v>
      </c>
      <c r="K10" s="82" t="s">
        <v>3</v>
      </c>
      <c r="L10" t="s">
        <v>4</v>
      </c>
      <c r="N10" s="81" t="s">
        <v>11</v>
      </c>
      <c r="O10" s="82" t="s">
        <v>1</v>
      </c>
      <c r="P10" s="82" t="s">
        <v>2</v>
      </c>
      <c r="Q10" s="82" t="s">
        <v>3</v>
      </c>
      <c r="R10" t="s">
        <v>4</v>
      </c>
      <c r="S10" t="s">
        <v>5</v>
      </c>
      <c r="T10">
        <f>2*4</f>
        <v>8</v>
      </c>
      <c r="V10" s="81" t="s">
        <v>11</v>
      </c>
      <c r="W10" s="82" t="s">
        <v>1</v>
      </c>
      <c r="X10" s="82" t="s">
        <v>2</v>
      </c>
      <c r="Y10" s="82" t="s">
        <v>3</v>
      </c>
      <c r="Z10" t="s">
        <v>4</v>
      </c>
    </row>
    <row r="11" spans="2:28">
      <c r="B11" t="s">
        <v>12</v>
      </c>
      <c r="C11">
        <v>166</v>
      </c>
      <c r="D11">
        <v>66</v>
      </c>
      <c r="E11">
        <v>17</v>
      </c>
      <c r="F11">
        <f t="shared" ref="F11:F16" si="4">SUM(C11:E11)</f>
        <v>249</v>
      </c>
      <c r="H11" t="s">
        <v>12</v>
      </c>
      <c r="I11" s="83">
        <f>$F$11*C17</f>
        <v>160.5</v>
      </c>
      <c r="J11" s="83">
        <f>$F$11*D17</f>
        <v>69</v>
      </c>
      <c r="K11" s="83">
        <f>$F$11*E17</f>
        <v>19.5</v>
      </c>
      <c r="L11">
        <f>SUM(I11:K11)</f>
        <v>249</v>
      </c>
      <c r="N11" t="s">
        <v>12</v>
      </c>
      <c r="O11" s="91">
        <f>(C11-I11)^2/I11</f>
        <v>0.18847352024922118</v>
      </c>
      <c r="P11" s="91">
        <f t="shared" ref="O11:Q15" si="5">(D11-J11)^2/J11</f>
        <v>0.13043478260869565</v>
      </c>
      <c r="Q11" s="91">
        <f t="shared" si="5"/>
        <v>0.32051282051282054</v>
      </c>
      <c r="R11" s="91">
        <f>SUM(O11:Q11)</f>
        <v>0.63942112337073742</v>
      </c>
      <c r="S11" t="s">
        <v>7</v>
      </c>
      <c r="T11" s="87">
        <f>CHIDIST(R16,T10)</f>
        <v>3.6419576124224157E-3</v>
      </c>
      <c r="V11" t="s">
        <v>12</v>
      </c>
      <c r="W11" s="88">
        <f t="shared" ref="W11:Y15" si="6">(C11-I11)/SQRT(I11)</f>
        <v>0.43413537088012211</v>
      </c>
      <c r="X11" s="89">
        <f t="shared" si="6"/>
        <v>-0.36115755925730758</v>
      </c>
      <c r="Y11" s="89">
        <f t="shared" si="6"/>
        <v>-0.56613851707229779</v>
      </c>
      <c r="Z11">
        <f t="shared" ref="Z11:Z16" si="7">SUM(W11:Y11)</f>
        <v>-0.49316070544948326</v>
      </c>
    </row>
    <row r="12" spans="2:28">
      <c r="B12" t="s">
        <v>13</v>
      </c>
      <c r="C12">
        <v>17</v>
      </c>
      <c r="D12">
        <v>5</v>
      </c>
      <c r="E12">
        <v>5</v>
      </c>
      <c r="F12">
        <f t="shared" si="4"/>
        <v>27</v>
      </c>
      <c r="H12" t="s">
        <v>13</v>
      </c>
      <c r="I12" s="83">
        <f>$F$12*C17</f>
        <v>17.403614457831324</v>
      </c>
      <c r="J12" s="83">
        <f>$F$12*D17</f>
        <v>7.4819277108433733</v>
      </c>
      <c r="K12" s="83">
        <f>$F$12*E17</f>
        <v>2.1144578313253013</v>
      </c>
      <c r="L12">
        <f>$F$12*F17</f>
        <v>27</v>
      </c>
      <c r="N12" t="s">
        <v>13</v>
      </c>
      <c r="O12" s="91">
        <f t="shared" si="5"/>
        <v>9.3603906800618329E-3</v>
      </c>
      <c r="P12" s="91">
        <f t="shared" si="5"/>
        <v>0.82331257396736701</v>
      </c>
      <c r="Q12" s="91">
        <f t="shared" si="5"/>
        <v>3.9378196546871238</v>
      </c>
      <c r="R12" s="91">
        <f>$F$12*L17</f>
        <v>0</v>
      </c>
      <c r="V12" t="s">
        <v>13</v>
      </c>
      <c r="W12" s="89">
        <f t="shared" si="6"/>
        <v>-9.6749112037588417E-2</v>
      </c>
      <c r="X12" s="89">
        <f t="shared" si="6"/>
        <v>-0.90736573330017645</v>
      </c>
      <c r="Y12" s="89">
        <f t="shared" si="6"/>
        <v>1.9843940270740397</v>
      </c>
      <c r="Z12">
        <f t="shared" si="7"/>
        <v>0.98027918173627482</v>
      </c>
    </row>
    <row r="13" spans="2:28">
      <c r="B13" t="s">
        <v>14</v>
      </c>
      <c r="C13">
        <v>18</v>
      </c>
      <c r="D13">
        <v>8</v>
      </c>
      <c r="E13">
        <v>1</v>
      </c>
      <c r="F13">
        <f t="shared" si="4"/>
        <v>27</v>
      </c>
      <c r="H13" t="s">
        <v>14</v>
      </c>
      <c r="I13" s="83">
        <f>$F$13*C17</f>
        <v>17.403614457831324</v>
      </c>
      <c r="J13" s="83">
        <f t="shared" ref="J13:R13" si="8">$F$13*D17</f>
        <v>7.4819277108433733</v>
      </c>
      <c r="K13" s="83">
        <f t="shared" si="8"/>
        <v>2.1144578313253013</v>
      </c>
      <c r="L13">
        <f t="shared" si="8"/>
        <v>27</v>
      </c>
      <c r="N13" t="s">
        <v>14</v>
      </c>
      <c r="O13" s="91">
        <f t="shared" si="5"/>
        <v>2.0436887737867442E-2</v>
      </c>
      <c r="P13" s="91">
        <f t="shared" si="5"/>
        <v>3.587296044079704E-2</v>
      </c>
      <c r="Q13" s="91">
        <f t="shared" si="5"/>
        <v>0.58739230425977418</v>
      </c>
      <c r="R13" s="91">
        <f t="shared" si="8"/>
        <v>0</v>
      </c>
      <c r="V13" t="s">
        <v>14</v>
      </c>
      <c r="W13" s="89">
        <f t="shared" si="6"/>
        <v>0.14295764316001941</v>
      </c>
      <c r="X13" s="89">
        <f t="shared" si="6"/>
        <v>0.18940158510634761</v>
      </c>
      <c r="Y13" s="89">
        <f t="shared" si="6"/>
        <v>-0.76641522966325126</v>
      </c>
      <c r="Z13">
        <f t="shared" si="7"/>
        <v>-0.43405600139688427</v>
      </c>
    </row>
    <row r="14" spans="2:28">
      <c r="B14" t="s">
        <v>15</v>
      </c>
      <c r="C14">
        <v>13</v>
      </c>
      <c r="D14">
        <v>13</v>
      </c>
      <c r="E14">
        <v>2</v>
      </c>
      <c r="F14">
        <f t="shared" si="4"/>
        <v>28</v>
      </c>
      <c r="H14" t="s">
        <v>15</v>
      </c>
      <c r="I14" s="83">
        <f>$F$14*C17</f>
        <v>18.048192771084338</v>
      </c>
      <c r="J14" s="83">
        <f t="shared" ref="J14:R14" si="9">$F$14*D17</f>
        <v>7.7590361445783138</v>
      </c>
      <c r="K14" s="83">
        <f t="shared" si="9"/>
        <v>2.1927710843373496</v>
      </c>
      <c r="L14">
        <f t="shared" si="9"/>
        <v>28</v>
      </c>
      <c r="N14" t="s">
        <v>15</v>
      </c>
      <c r="O14" s="91">
        <f t="shared" si="5"/>
        <v>1.4120111956504258</v>
      </c>
      <c r="P14" s="91">
        <f t="shared" si="5"/>
        <v>3.5400920451994304</v>
      </c>
      <c r="Q14" s="91">
        <f t="shared" si="5"/>
        <v>1.6946908513173601E-2</v>
      </c>
      <c r="R14" s="91">
        <f t="shared" si="9"/>
        <v>0</v>
      </c>
      <c r="V14" t="s">
        <v>15</v>
      </c>
      <c r="W14" s="89">
        <f t="shared" si="6"/>
        <v>-1.1882807730710894</v>
      </c>
      <c r="X14" s="88">
        <f t="shared" si="6"/>
        <v>1.8815132327994479</v>
      </c>
      <c r="Y14" s="89">
        <f t="shared" si="6"/>
        <v>-0.13018029233787121</v>
      </c>
      <c r="Z14">
        <f t="shared" si="7"/>
        <v>0.56305216739048736</v>
      </c>
    </row>
    <row r="15" spans="2:28">
      <c r="B15" t="s">
        <v>16</v>
      </c>
      <c r="C15">
        <v>0</v>
      </c>
      <c r="D15">
        <v>0</v>
      </c>
      <c r="E15">
        <v>1</v>
      </c>
      <c r="F15">
        <f t="shared" si="4"/>
        <v>1</v>
      </c>
      <c r="H15" t="s">
        <v>16</v>
      </c>
      <c r="I15" s="83">
        <f>$F$15*C17</f>
        <v>0.64457831325301207</v>
      </c>
      <c r="J15" s="83">
        <f t="shared" ref="J15:R15" si="10">$F$15*D17</f>
        <v>0.27710843373493976</v>
      </c>
      <c r="K15" s="83">
        <f t="shared" si="10"/>
        <v>7.8313253012048195E-2</v>
      </c>
      <c r="L15">
        <f t="shared" si="10"/>
        <v>1</v>
      </c>
      <c r="N15" t="s">
        <v>16</v>
      </c>
      <c r="O15" s="91">
        <f t="shared" si="5"/>
        <v>0.64457831325301207</v>
      </c>
      <c r="P15" s="91">
        <f t="shared" si="5"/>
        <v>0.27710843373493976</v>
      </c>
      <c r="Q15" s="91">
        <f t="shared" si="5"/>
        <v>10.847544022242818</v>
      </c>
      <c r="R15" s="91">
        <f t="shared" si="10"/>
        <v>0</v>
      </c>
      <c r="V15" t="s">
        <v>16</v>
      </c>
      <c r="W15" s="89">
        <f t="shared" si="6"/>
        <v>-0.80285634658574634</v>
      </c>
      <c r="X15" s="89">
        <f t="shared" si="6"/>
        <v>-0.52641089819164999</v>
      </c>
      <c r="Y15" s="88">
        <f t="shared" si="6"/>
        <v>3.2935609941585748</v>
      </c>
      <c r="Z15">
        <f t="shared" si="7"/>
        <v>1.9642937493811785</v>
      </c>
    </row>
    <row r="16" spans="2:28">
      <c r="B16" t="s">
        <v>4</v>
      </c>
      <c r="C16">
        <f>SUM(C11:C15)</f>
        <v>214</v>
      </c>
      <c r="D16">
        <f t="shared" ref="D16:K16" si="11">SUM(D11:D15)</f>
        <v>92</v>
      </c>
      <c r="E16">
        <f t="shared" si="11"/>
        <v>26</v>
      </c>
      <c r="F16">
        <f t="shared" si="4"/>
        <v>332</v>
      </c>
      <c r="H16" t="s">
        <v>4</v>
      </c>
      <c r="I16">
        <f t="shared" si="11"/>
        <v>214.00000000000003</v>
      </c>
      <c r="J16">
        <f t="shared" si="11"/>
        <v>92.000000000000014</v>
      </c>
      <c r="K16">
        <f t="shared" si="11"/>
        <v>25.999999999999996</v>
      </c>
      <c r="L16">
        <f>SUM(I16:K16)</f>
        <v>332.00000000000006</v>
      </c>
      <c r="N16" t="s">
        <v>4</v>
      </c>
      <c r="O16" s="83">
        <f>SUM(O11:O15)</f>
        <v>2.274860307570588</v>
      </c>
      <c r="P16" s="83">
        <f>SUM(P11:P15)</f>
        <v>4.8068207959512295</v>
      </c>
      <c r="Q16">
        <f t="shared" ref="O16:Q16" si="12">SUM(Q11:Q15)</f>
        <v>15.71021571021571</v>
      </c>
      <c r="R16">
        <f t="shared" ref="R16:R22" si="13">SUM(O16:Q16)</f>
        <v>22.791896813737527</v>
      </c>
      <c r="V16" t="s">
        <v>4</v>
      </c>
      <c r="W16" s="83"/>
      <c r="X16" s="83"/>
      <c r="Y16" s="83"/>
      <c r="Z16">
        <f t="shared" si="7"/>
        <v>0</v>
      </c>
    </row>
    <row r="17" spans="2:26">
      <c r="B17" t="s">
        <v>10</v>
      </c>
      <c r="C17" s="67">
        <f>C16/$F$16</f>
        <v>0.64457831325301207</v>
      </c>
      <c r="D17" s="67">
        <f>D16/$F$16</f>
        <v>0.27710843373493976</v>
      </c>
      <c r="E17" s="67">
        <f>E16/$F$16</f>
        <v>7.8313253012048195E-2</v>
      </c>
      <c r="F17" s="67">
        <f>F16/$F$16</f>
        <v>1</v>
      </c>
      <c r="I17" s="67"/>
      <c r="J17" s="67"/>
      <c r="K17" s="67"/>
      <c r="L17" s="67"/>
      <c r="O17" s="67"/>
      <c r="P17" s="67"/>
      <c r="Q17" s="67"/>
      <c r="R17" s="67"/>
      <c r="W17" s="67"/>
      <c r="X17" s="67"/>
      <c r="Y17" s="67"/>
      <c r="Z17" s="67"/>
    </row>
    <row r="18" spans="2:26">
      <c r="B18" s="3" t="s">
        <v>116</v>
      </c>
      <c r="H18" s="3" t="s">
        <v>116</v>
      </c>
      <c r="N18" s="3" t="s">
        <v>116</v>
      </c>
      <c r="V18" s="3" t="s">
        <v>116</v>
      </c>
    </row>
    <row r="19" spans="2:26">
      <c r="B19" s="81" t="s">
        <v>17</v>
      </c>
      <c r="C19" s="82" t="s">
        <v>1</v>
      </c>
      <c r="D19" s="82" t="s">
        <v>2</v>
      </c>
      <c r="E19" s="82" t="s">
        <v>3</v>
      </c>
      <c r="F19" t="s">
        <v>4</v>
      </c>
      <c r="H19" s="81" t="s">
        <v>17</v>
      </c>
      <c r="I19" s="82" t="s">
        <v>1</v>
      </c>
      <c r="J19" s="82" t="s">
        <v>2</v>
      </c>
      <c r="K19" s="82" t="s">
        <v>3</v>
      </c>
      <c r="L19" t="s">
        <v>4</v>
      </c>
      <c r="N19" s="81" t="s">
        <v>17</v>
      </c>
      <c r="O19" s="82" t="s">
        <v>1</v>
      </c>
      <c r="P19" s="82" t="s">
        <v>2</v>
      </c>
      <c r="Q19" s="82" t="s">
        <v>3</v>
      </c>
      <c r="R19" t="s">
        <v>4</v>
      </c>
      <c r="S19" t="s">
        <v>5</v>
      </c>
      <c r="T19">
        <f>2*1</f>
        <v>2</v>
      </c>
      <c r="V19" s="81" t="s">
        <v>17</v>
      </c>
      <c r="W19" s="82" t="s">
        <v>1</v>
      </c>
      <c r="X19" s="82" t="s">
        <v>2</v>
      </c>
      <c r="Y19" s="82" t="s">
        <v>3</v>
      </c>
      <c r="Z19" t="s">
        <v>4</v>
      </c>
    </row>
    <row r="20" spans="2:26">
      <c r="B20" t="s">
        <v>18</v>
      </c>
      <c r="C20">
        <v>197</v>
      </c>
      <c r="D20">
        <v>79</v>
      </c>
      <c r="E20">
        <v>20</v>
      </c>
      <c r="F20">
        <f>SUM(C20:E20)</f>
        <v>296</v>
      </c>
      <c r="H20" t="s">
        <v>18</v>
      </c>
      <c r="I20" s="83">
        <f>$F$20*C23</f>
        <v>190.79518072289159</v>
      </c>
      <c r="J20" s="83">
        <f>$F$20*D23</f>
        <v>82.024096385542165</v>
      </c>
      <c r="K20" s="83">
        <f>$F$20*E23</f>
        <v>23.180722891566266</v>
      </c>
      <c r="L20">
        <f t="shared" ref="L20:L22" si="14">SUM(I20:K20)</f>
        <v>296.00000000000006</v>
      </c>
      <c r="N20" t="s">
        <v>18</v>
      </c>
      <c r="O20" s="83">
        <f t="shared" ref="O20:Q21" si="15">(C20-I20)^2/I20</f>
        <v>0.20178592622574021</v>
      </c>
      <c r="P20" s="83">
        <f t="shared" si="15"/>
        <v>0.11149356533065258</v>
      </c>
      <c r="Q20" s="83">
        <f t="shared" si="15"/>
        <v>0.43644014728352087</v>
      </c>
      <c r="R20">
        <f t="shared" si="13"/>
        <v>0.74971963883991366</v>
      </c>
      <c r="S20" t="s">
        <v>7</v>
      </c>
      <c r="T20" s="87">
        <f>CHIDIST(R22,T19)</f>
        <v>3.1522914383132837E-2</v>
      </c>
      <c r="V20" t="s">
        <v>18</v>
      </c>
      <c r="W20" s="85">
        <f t="shared" ref="W20:Y21" si="16">(C20-I20)/SQRT(I20)</f>
        <v>0.44920588400614275</v>
      </c>
      <c r="X20" s="86">
        <f t="shared" si="16"/>
        <v>-0.3339065218450406</v>
      </c>
      <c r="Y20" s="86">
        <f t="shared" si="16"/>
        <v>-0.66063616861591901</v>
      </c>
      <c r="Z20">
        <f>SUM(W20:Y20)</f>
        <v>-0.54533680645481686</v>
      </c>
    </row>
    <row r="21" spans="2:26">
      <c r="B21" t="s">
        <v>19</v>
      </c>
      <c r="C21">
        <v>17</v>
      </c>
      <c r="D21">
        <v>13</v>
      </c>
      <c r="E21">
        <v>6</v>
      </c>
      <c r="F21">
        <f>SUM(C21:E21)</f>
        <v>36</v>
      </c>
      <c r="H21" t="s">
        <v>19</v>
      </c>
      <c r="I21" s="83">
        <f>$F$21*C23</f>
        <v>23.204819277108435</v>
      </c>
      <c r="J21" s="83">
        <f>$F$21*D23</f>
        <v>9.975903614457831</v>
      </c>
      <c r="K21" s="83">
        <f>$F$21*E23</f>
        <v>2.8192771084337349</v>
      </c>
      <c r="L21">
        <f t="shared" si="14"/>
        <v>36</v>
      </c>
      <c r="N21" t="s">
        <v>19</v>
      </c>
      <c r="O21" s="83">
        <f t="shared" si="15"/>
        <v>1.6591287267449866</v>
      </c>
      <c r="P21" s="83">
        <f t="shared" si="15"/>
        <v>0.91672487049647888</v>
      </c>
      <c r="Q21" s="83">
        <f t="shared" si="15"/>
        <v>3.5885078776645045</v>
      </c>
      <c r="R21">
        <f t="shared" si="13"/>
        <v>6.1643614749059701</v>
      </c>
      <c r="V21" t="s">
        <v>19</v>
      </c>
      <c r="W21" s="86">
        <f t="shared" si="16"/>
        <v>-1.2880717086967581</v>
      </c>
      <c r="X21" s="85">
        <f t="shared" si="16"/>
        <v>0.9574575032326389</v>
      </c>
      <c r="Y21" s="85">
        <f t="shared" si="16"/>
        <v>1.8943357352023176</v>
      </c>
      <c r="Z21">
        <f>SUM(W21:Y21)</f>
        <v>1.5637215297381983</v>
      </c>
    </row>
    <row r="22" spans="2:26">
      <c r="B22" t="s">
        <v>4</v>
      </c>
      <c r="C22">
        <f>SUM(C20:C21)</f>
        <v>214</v>
      </c>
      <c r="D22">
        <f t="shared" ref="D22:K22" si="17">SUM(D20:D21)</f>
        <v>92</v>
      </c>
      <c r="E22">
        <f t="shared" si="17"/>
        <v>26</v>
      </c>
      <c r="F22">
        <f>SUM(C22:E22)</f>
        <v>332</v>
      </c>
      <c r="H22" t="s">
        <v>4</v>
      </c>
      <c r="I22">
        <f t="shared" si="17"/>
        <v>214.00000000000003</v>
      </c>
      <c r="J22">
        <f t="shared" si="17"/>
        <v>92</v>
      </c>
      <c r="K22">
        <f t="shared" si="17"/>
        <v>26</v>
      </c>
      <c r="L22">
        <f t="shared" si="14"/>
        <v>332</v>
      </c>
      <c r="N22" t="s">
        <v>4</v>
      </c>
      <c r="O22">
        <f t="shared" ref="O22:Q22" si="18">SUM(O20:O21)</f>
        <v>1.8609146529707268</v>
      </c>
      <c r="P22">
        <f t="shared" si="18"/>
        <v>1.0282184358271316</v>
      </c>
      <c r="Q22">
        <f t="shared" si="18"/>
        <v>4.0249480249480252</v>
      </c>
      <c r="R22">
        <f t="shared" si="13"/>
        <v>6.9140811137458833</v>
      </c>
      <c r="V22" t="s">
        <v>4</v>
      </c>
      <c r="W22">
        <f t="shared" ref="W22:Y22" si="19">SUM(W20:W21)</f>
        <v>-0.83886582469061532</v>
      </c>
      <c r="X22">
        <f t="shared" si="19"/>
        <v>0.62355098138759835</v>
      </c>
      <c r="Y22">
        <f t="shared" si="19"/>
        <v>1.2336995665863986</v>
      </c>
      <c r="Z22">
        <f>SUM(W22:Y22)</f>
        <v>1.0183847232833816</v>
      </c>
    </row>
    <row r="23" spans="2:26">
      <c r="B23" t="s">
        <v>10</v>
      </c>
      <c r="C23" s="67">
        <f>C22/$F$22</f>
        <v>0.64457831325301207</v>
      </c>
      <c r="D23" s="67">
        <f>D22/$F$22</f>
        <v>0.27710843373493976</v>
      </c>
      <c r="E23" s="67">
        <f>E22/$F$22</f>
        <v>7.8313253012048195E-2</v>
      </c>
      <c r="F23" s="67">
        <f>F22/$F$22</f>
        <v>1</v>
      </c>
      <c r="I23" s="67"/>
      <c r="J23" s="67"/>
      <c r="K23" s="67"/>
      <c r="L23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5"/>
  <sheetViews>
    <sheetView workbookViewId="0">
      <selection activeCell="H20" sqref="H20"/>
    </sheetView>
  </sheetViews>
  <sheetFormatPr defaultColWidth="9" defaultRowHeight="14.5"/>
  <cols>
    <col min="1" max="1" width="3.6328125" customWidth="1"/>
    <col min="2" max="2" width="14.54296875" style="70" customWidth="1"/>
    <col min="3" max="5" width="9.6328125" style="70" customWidth="1"/>
    <col min="6" max="6" width="9.6328125" customWidth="1"/>
    <col min="10" max="10" width="14.54296875" style="70" customWidth="1"/>
    <col min="11" max="12" width="9.6328125" style="70" customWidth="1"/>
    <col min="13" max="13" width="9.6328125" customWidth="1"/>
  </cols>
  <sheetData>
    <row r="1" spans="2:14">
      <c r="B1" s="71" t="s">
        <v>20</v>
      </c>
      <c r="C1" s="71" t="s">
        <v>21</v>
      </c>
      <c r="D1" s="71" t="s">
        <v>22</v>
      </c>
      <c r="E1" s="71" t="s">
        <v>23</v>
      </c>
      <c r="F1" s="71" t="s">
        <v>4</v>
      </c>
      <c r="J1" s="71" t="s">
        <v>20</v>
      </c>
      <c r="K1" s="78" t="s">
        <v>24</v>
      </c>
      <c r="L1" s="71" t="s">
        <v>23</v>
      </c>
      <c r="M1" s="71" t="s">
        <v>4</v>
      </c>
    </row>
    <row r="2" spans="2:14">
      <c r="B2" s="71" t="s">
        <v>19</v>
      </c>
      <c r="C2" s="70">
        <v>3</v>
      </c>
      <c r="D2" s="70">
        <v>72</v>
      </c>
      <c r="E2" s="70">
        <v>81</v>
      </c>
      <c r="F2" s="72">
        <f>SUM(C2:E2)</f>
        <v>156</v>
      </c>
      <c r="J2" s="71" t="s">
        <v>19</v>
      </c>
      <c r="K2" s="79">
        <f>SUM(C2:D2)</f>
        <v>75</v>
      </c>
      <c r="L2" s="70">
        <v>81</v>
      </c>
      <c r="M2" s="72">
        <f>SUM(K2:L2)</f>
        <v>156</v>
      </c>
    </row>
    <row r="3" spans="2:14">
      <c r="B3" s="71" t="s">
        <v>18</v>
      </c>
      <c r="C3" s="70">
        <v>3</v>
      </c>
      <c r="D3" s="70">
        <v>22</v>
      </c>
      <c r="E3" s="70">
        <v>54</v>
      </c>
      <c r="F3" s="72">
        <f>SUM(C3:E3)</f>
        <v>79</v>
      </c>
      <c r="J3" s="71" t="s">
        <v>18</v>
      </c>
      <c r="K3" s="79">
        <f>SUM(C3:D3)</f>
        <v>25</v>
      </c>
      <c r="L3" s="70">
        <v>54</v>
      </c>
      <c r="M3" s="72">
        <f>SUM(K3:L3)</f>
        <v>79</v>
      </c>
    </row>
    <row r="4" spans="2:14">
      <c r="B4" s="71" t="s">
        <v>4</v>
      </c>
      <c r="C4" s="72">
        <f>SUM(C2:C3)</f>
        <v>6</v>
      </c>
      <c r="D4" s="72">
        <f t="shared" ref="D4:F4" si="0">SUM(D2:D3)</f>
        <v>94</v>
      </c>
      <c r="E4" s="72">
        <f t="shared" si="0"/>
        <v>135</v>
      </c>
      <c r="F4" s="72">
        <f t="shared" si="0"/>
        <v>235</v>
      </c>
      <c r="J4" s="71" t="s">
        <v>4</v>
      </c>
      <c r="K4" s="78">
        <f t="shared" ref="K4" si="1">SUM(K2:K3)</f>
        <v>100</v>
      </c>
      <c r="L4" s="72">
        <f t="shared" ref="L4" si="2">SUM(L2:L3)</f>
        <v>135</v>
      </c>
      <c r="M4" s="72">
        <f t="shared" ref="M4" si="3">SUM(M2:M3)</f>
        <v>235</v>
      </c>
    </row>
    <row r="5" spans="2:14">
      <c r="B5" s="71" t="s">
        <v>25</v>
      </c>
      <c r="C5" s="73">
        <f>C4/$F4</f>
        <v>2.553191489361702E-2</v>
      </c>
      <c r="D5" s="73">
        <f t="shared" ref="D5:E5" si="4">D4/$F4</f>
        <v>0.4</v>
      </c>
      <c r="E5" s="73">
        <f t="shared" si="4"/>
        <v>0.57446808510638303</v>
      </c>
      <c r="J5" s="71" t="s">
        <v>25</v>
      </c>
      <c r="K5" s="80">
        <f t="shared" ref="K5" si="5">K4/$F4</f>
        <v>0.42553191489361702</v>
      </c>
      <c r="L5" s="73">
        <f t="shared" ref="L5" si="6">L4/$F4</f>
        <v>0.57446808510638303</v>
      </c>
    </row>
    <row r="7" spans="2:14">
      <c r="B7" s="71" t="s">
        <v>26</v>
      </c>
      <c r="C7" s="71" t="s">
        <v>21</v>
      </c>
      <c r="D7" s="71" t="s">
        <v>22</v>
      </c>
      <c r="E7" s="71" t="s">
        <v>23</v>
      </c>
      <c r="F7" s="71" t="s">
        <v>4</v>
      </c>
      <c r="J7" s="71" t="s">
        <v>26</v>
      </c>
      <c r="K7" s="71" t="s">
        <v>22</v>
      </c>
      <c r="L7" s="71" t="s">
        <v>23</v>
      </c>
      <c r="M7" s="71" t="s">
        <v>4</v>
      </c>
    </row>
    <row r="8" spans="2:14">
      <c r="B8" s="71" t="s">
        <v>19</v>
      </c>
      <c r="C8" s="74">
        <f>C$5*$F2</f>
        <v>3.9829787234042553</v>
      </c>
      <c r="D8" s="74">
        <f t="shared" ref="D8:E9" si="7">D$5*$F2</f>
        <v>62.400000000000006</v>
      </c>
      <c r="E8" s="74">
        <f t="shared" si="7"/>
        <v>89.61702127659575</v>
      </c>
      <c r="F8" s="72">
        <f>SUM(C8:E8)</f>
        <v>156</v>
      </c>
      <c r="J8" s="71" t="s">
        <v>19</v>
      </c>
      <c r="K8" s="74">
        <f t="shared" ref="K8:L8" si="8">K$5*$F2</f>
        <v>66.38297872340425</v>
      </c>
      <c r="L8" s="74">
        <f t="shared" si="8"/>
        <v>89.61702127659575</v>
      </c>
      <c r="M8" s="72">
        <f>SUM(K8:L8)</f>
        <v>156</v>
      </c>
    </row>
    <row r="9" spans="2:14">
      <c r="B9" s="71" t="s">
        <v>18</v>
      </c>
      <c r="C9" s="74">
        <f>C$5*$F3</f>
        <v>2.0170212765957447</v>
      </c>
      <c r="D9" s="74">
        <f t="shared" si="7"/>
        <v>31.6</v>
      </c>
      <c r="E9" s="74">
        <f>E$5*$F3</f>
        <v>45.382978723404257</v>
      </c>
      <c r="F9" s="72">
        <f>SUM(C9:E9)</f>
        <v>79</v>
      </c>
      <c r="J9" s="71" t="s">
        <v>18</v>
      </c>
      <c r="K9" s="74">
        <f t="shared" ref="K9:L9" si="9">K$5*$F3</f>
        <v>33.617021276595743</v>
      </c>
      <c r="L9" s="74">
        <f t="shared" si="9"/>
        <v>45.382978723404257</v>
      </c>
      <c r="M9" s="72">
        <f>SUM(K9:L9)</f>
        <v>79</v>
      </c>
    </row>
    <row r="10" spans="2:14">
      <c r="B10" s="71" t="s">
        <v>4</v>
      </c>
      <c r="C10" s="72">
        <f>SUM(C8:C9)</f>
        <v>6</v>
      </c>
      <c r="D10" s="72">
        <f t="shared" ref="D10" si="10">SUM(D8:D9)</f>
        <v>94</v>
      </c>
      <c r="E10" s="72">
        <f t="shared" ref="E10" si="11">SUM(E8:E9)</f>
        <v>135</v>
      </c>
      <c r="F10" s="72">
        <f t="shared" ref="F10" si="12">SUM(F8:F9)</f>
        <v>235</v>
      </c>
      <c r="J10" s="71" t="s">
        <v>4</v>
      </c>
      <c r="K10" s="72">
        <f t="shared" ref="K10" si="13">SUM(K8:K9)</f>
        <v>100</v>
      </c>
      <c r="L10" s="72">
        <f t="shared" ref="L10" si="14">SUM(L8:L9)</f>
        <v>135</v>
      </c>
      <c r="M10" s="72">
        <f t="shared" ref="M10" si="15">SUM(M8:M9)</f>
        <v>235</v>
      </c>
    </row>
    <row r="12" spans="2:14">
      <c r="B12" s="71" t="s">
        <v>27</v>
      </c>
      <c r="C12" s="71" t="s">
        <v>21</v>
      </c>
      <c r="D12" s="71" t="s">
        <v>22</v>
      </c>
      <c r="E12" s="71" t="s">
        <v>23</v>
      </c>
      <c r="F12" s="71" t="s">
        <v>4</v>
      </c>
      <c r="J12" s="71" t="s">
        <v>27</v>
      </c>
      <c r="K12" s="71" t="s">
        <v>22</v>
      </c>
      <c r="L12" s="71" t="s">
        <v>23</v>
      </c>
      <c r="M12" s="71" t="s">
        <v>4</v>
      </c>
    </row>
    <row r="13" spans="2:14">
      <c r="B13" s="71" t="s">
        <v>19</v>
      </c>
      <c r="C13" s="75">
        <f>(C2-C8)^2/C8</f>
        <v>0.2425941080196399</v>
      </c>
      <c r="D13" s="75">
        <f t="shared" ref="D13:E13" si="16">(D2-D8)^2/D8</f>
        <v>1.4769230769230752</v>
      </c>
      <c r="E13" s="75">
        <f t="shared" si="16"/>
        <v>0.82855973813420714</v>
      </c>
      <c r="F13" s="76">
        <f>SUM(C13:E13)</f>
        <v>2.5480769230769225</v>
      </c>
      <c r="J13" s="71" t="s">
        <v>19</v>
      </c>
      <c r="K13" s="75">
        <f t="shared" ref="K13:L13" si="17">(K2-K8)^2/K8</f>
        <v>1.1185556464811799</v>
      </c>
      <c r="L13" s="75">
        <f t="shared" si="17"/>
        <v>0.82855973813420714</v>
      </c>
      <c r="M13" s="76">
        <f>SUM(K13:L13)</f>
        <v>1.947115384615387</v>
      </c>
    </row>
    <row r="14" spans="2:14">
      <c r="B14" s="71" t="s">
        <v>18</v>
      </c>
      <c r="C14" s="75">
        <f>(C3-C9)^2/C9</f>
        <v>0.47904659305144082</v>
      </c>
      <c r="D14" s="75">
        <f t="shared" ref="D14:E14" si="18">(D3-D9)^2/D9</f>
        <v>2.9164556962025321</v>
      </c>
      <c r="E14" s="75">
        <f t="shared" si="18"/>
        <v>1.6361432803662801</v>
      </c>
      <c r="F14" s="76">
        <f>SUM(C14:E14)</f>
        <v>5.0316455696202524</v>
      </c>
      <c r="J14" s="71" t="s">
        <v>18</v>
      </c>
      <c r="K14" s="75">
        <f t="shared" ref="K14:L14" si="19">(K3-K9)^2/K9</f>
        <v>2.2087934284944781</v>
      </c>
      <c r="L14" s="75">
        <f t="shared" si="19"/>
        <v>1.6361432803662801</v>
      </c>
      <c r="M14" s="76">
        <f>SUM(K14:L14)</f>
        <v>3.8449367088607582</v>
      </c>
    </row>
    <row r="15" spans="2:14">
      <c r="F15" s="76">
        <f t="shared" ref="F15" si="20">SUM(F13:F14)</f>
        <v>7.5797224926971749</v>
      </c>
      <c r="G15" s="2" t="s">
        <v>28</v>
      </c>
      <c r="M15" s="76">
        <f t="shared" ref="M15" si="21">SUM(M13:M14)</f>
        <v>5.792052093476145</v>
      </c>
      <c r="N15" s="2" t="s">
        <v>28</v>
      </c>
    </row>
    <row r="16" spans="2:14">
      <c r="F16" s="72">
        <f>(COUNTA(C12:E12)-1)*(COUNTA(B13:B14)-1)</f>
        <v>2</v>
      </c>
      <c r="G16" s="2" t="s">
        <v>29</v>
      </c>
      <c r="M16" s="72">
        <f>(COUNTA(K12:L12)-1)*(COUNTA(J13:J14)-1)</f>
        <v>1</v>
      </c>
      <c r="N16" s="2" t="s">
        <v>29</v>
      </c>
    </row>
    <row r="17" spans="2:14">
      <c r="F17" s="77">
        <f>CHIDIST(F15,F16)</f>
        <v>2.25987372909064E-2</v>
      </c>
      <c r="G17" s="2" t="s">
        <v>30</v>
      </c>
      <c r="M17" s="77">
        <f>CHIDIST(M15,M16)</f>
        <v>1.6098786313687257E-2</v>
      </c>
      <c r="N17" s="2" t="s">
        <v>30</v>
      </c>
    </row>
    <row r="19" spans="2:14">
      <c r="B19" s="71" t="s">
        <v>31</v>
      </c>
      <c r="C19" s="71" t="s">
        <v>21</v>
      </c>
      <c r="D19" s="71" t="s">
        <v>22</v>
      </c>
      <c r="E19" s="71" t="s">
        <v>23</v>
      </c>
      <c r="J19" s="71" t="s">
        <v>31</v>
      </c>
      <c r="K19" s="71" t="s">
        <v>22</v>
      </c>
      <c r="L19" s="71" t="s">
        <v>23</v>
      </c>
    </row>
    <row r="20" spans="2:14">
      <c r="B20" s="71" t="s">
        <v>19</v>
      </c>
      <c r="C20" s="75">
        <f>(C2-C8)/(C8^(1/2))</f>
        <v>-0.49253843303811318</v>
      </c>
      <c r="D20" s="75">
        <f t="shared" ref="D20:E20" si="22">(D2-D8)/(D8^(1/2))</f>
        <v>1.2152872405003992</v>
      </c>
      <c r="E20" s="75">
        <f t="shared" si="22"/>
        <v>-0.91025256832057733</v>
      </c>
      <c r="J20" s="71" t="s">
        <v>19</v>
      </c>
      <c r="K20" s="75">
        <f t="shared" ref="K20:L20" si="23">(K2-K8)/(K8^(1/2))</f>
        <v>1.0576179113844375</v>
      </c>
      <c r="L20" s="75">
        <f t="shared" si="23"/>
        <v>-0.91025256832057733</v>
      </c>
    </row>
    <row r="21" spans="2:14">
      <c r="B21" s="71" t="s">
        <v>18</v>
      </c>
      <c r="C21" s="75">
        <f>(C3-C9)/(C9^(1/2))</f>
        <v>0.69213191882143454</v>
      </c>
      <c r="D21" s="75">
        <f t="shared" ref="D21:E21" si="24">(D3-D9)/(D9^(1/2))</f>
        <v>-1.7077633607155682</v>
      </c>
      <c r="E21" s="76">
        <f t="shared" si="24"/>
        <v>1.2791181651302901</v>
      </c>
      <c r="J21" s="71" t="s">
        <v>18</v>
      </c>
      <c r="K21" s="75">
        <f t="shared" ref="K21:L21" si="25">(K3-K9)/(K9^(1/2))</f>
        <v>-1.4862010054143004</v>
      </c>
      <c r="L21" s="75">
        <f t="shared" si="25"/>
        <v>1.2791181651302901</v>
      </c>
    </row>
    <row r="23" spans="2:14">
      <c r="B23" s="71"/>
    </row>
    <row r="24" spans="2:14">
      <c r="B24" s="71" t="s">
        <v>32</v>
      </c>
      <c r="C24" s="2" t="s">
        <v>33</v>
      </c>
    </row>
    <row r="25" spans="2:14">
      <c r="C25" s="2" t="s">
        <v>34</v>
      </c>
    </row>
  </sheetData>
  <pageMargins left="0.7" right="0.7" top="0.75" bottom="0.75" header="0.3" footer="0.3"/>
  <ignoredErrors>
    <ignoredError sqref="K2:K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O139"/>
  <sheetViews>
    <sheetView zoomScale="67" workbookViewId="0">
      <pane ySplit="7" topLeftCell="A8" activePane="bottomLeft" state="frozen"/>
      <selection pane="bottomLeft" activeCell="D14" sqref="D14"/>
    </sheetView>
  </sheetViews>
  <sheetFormatPr defaultColWidth="9" defaultRowHeight="14.5"/>
  <cols>
    <col min="1" max="1" width="3.6328125" customWidth="1"/>
    <col min="2" max="2" width="11.6328125" customWidth="1"/>
    <col min="3" max="3" width="11.90625" style="5" customWidth="1"/>
    <col min="4" max="4" width="16" customWidth="1"/>
    <col min="8" max="8" width="11.6328125" customWidth="1"/>
    <col min="9" max="28" width="7.36328125" customWidth="1"/>
    <col min="35" max="36" width="9.08984375"/>
    <col min="41" max="48" width="12.90625"/>
    <col min="50" max="52" width="12.90625"/>
    <col min="54" max="56" width="12.90625"/>
    <col min="61" max="61" width="12.90625"/>
  </cols>
  <sheetData>
    <row r="1" spans="2:67" s="53" customFormat="1">
      <c r="B1" s="3" t="s">
        <v>35</v>
      </c>
      <c r="C1" s="54"/>
      <c r="H1" s="3" t="s">
        <v>36</v>
      </c>
    </row>
    <row r="2" spans="2:67" s="53" customFormat="1">
      <c r="B2" s="3"/>
      <c r="C2" s="54"/>
      <c r="H2" s="17" t="s">
        <v>37</v>
      </c>
      <c r="I2" s="5">
        <v>3.5</v>
      </c>
      <c r="J2" s="5">
        <v>3.75</v>
      </c>
      <c r="K2" s="5">
        <v>4</v>
      </c>
      <c r="L2" s="5">
        <v>4.25</v>
      </c>
      <c r="M2" s="5">
        <v>4.5</v>
      </c>
      <c r="N2" s="5">
        <v>3.5</v>
      </c>
      <c r="O2" s="5">
        <v>3.75</v>
      </c>
      <c r="P2" s="5">
        <v>4</v>
      </c>
      <c r="Q2" s="5">
        <v>4.25</v>
      </c>
      <c r="R2" s="5">
        <v>4.5</v>
      </c>
      <c r="S2" s="5">
        <v>3.5</v>
      </c>
      <c r="T2" s="5">
        <v>3.75</v>
      </c>
      <c r="U2" s="5">
        <v>4</v>
      </c>
      <c r="V2" s="5">
        <v>4.25</v>
      </c>
      <c r="W2" s="5">
        <v>4.5</v>
      </c>
      <c r="X2" s="5">
        <v>3.5</v>
      </c>
      <c r="Y2" s="5">
        <v>3.75</v>
      </c>
      <c r="Z2" s="5">
        <v>4</v>
      </c>
      <c r="AA2" s="5">
        <v>4.25</v>
      </c>
      <c r="AB2" s="5">
        <v>4.5</v>
      </c>
    </row>
    <row r="3" spans="2:67" s="53" customFormat="1">
      <c r="B3" s="3"/>
      <c r="C3" s="54"/>
      <c r="H3" s="4" t="s">
        <v>38</v>
      </c>
      <c r="I3" s="19" t="s">
        <v>118</v>
      </c>
      <c r="J3" s="19" t="s">
        <v>118</v>
      </c>
      <c r="K3" s="19" t="s">
        <v>118</v>
      </c>
      <c r="L3" s="19" t="s">
        <v>118</v>
      </c>
      <c r="M3" s="19" t="s">
        <v>118</v>
      </c>
      <c r="N3" s="19" t="s">
        <v>118</v>
      </c>
      <c r="O3" s="19" t="s">
        <v>118</v>
      </c>
      <c r="P3" s="19" t="s">
        <v>118</v>
      </c>
      <c r="Q3" s="19" t="s">
        <v>118</v>
      </c>
      <c r="R3" s="19" t="s">
        <v>118</v>
      </c>
      <c r="S3" s="19" t="s">
        <v>119</v>
      </c>
      <c r="T3" s="19" t="s">
        <v>119</v>
      </c>
      <c r="U3" s="19" t="s">
        <v>119</v>
      </c>
      <c r="V3" s="19" t="s">
        <v>119</v>
      </c>
      <c r="W3" s="19" t="s">
        <v>119</v>
      </c>
      <c r="X3" s="19" t="s">
        <v>119</v>
      </c>
      <c r="Y3" s="19" t="s">
        <v>119</v>
      </c>
      <c r="Z3" s="19" t="s">
        <v>119</v>
      </c>
      <c r="AA3" s="19" t="s">
        <v>119</v>
      </c>
      <c r="AB3" s="19" t="s">
        <v>119</v>
      </c>
    </row>
    <row r="4" spans="2:67" s="53" customFormat="1">
      <c r="B4" s="3"/>
      <c r="C4" s="54"/>
      <c r="H4" s="4" t="s">
        <v>117</v>
      </c>
      <c r="I4" s="19" t="s">
        <v>120</v>
      </c>
      <c r="J4" s="19" t="s">
        <v>120</v>
      </c>
      <c r="K4" s="19" t="s">
        <v>120</v>
      </c>
      <c r="L4" s="19" t="s">
        <v>120</v>
      </c>
      <c r="M4" s="19" t="s">
        <v>120</v>
      </c>
      <c r="N4" s="19" t="s">
        <v>121</v>
      </c>
      <c r="O4" s="19" t="s">
        <v>121</v>
      </c>
      <c r="P4" s="19" t="s">
        <v>121</v>
      </c>
      <c r="Q4" s="19" t="s">
        <v>121</v>
      </c>
      <c r="R4" s="19" t="s">
        <v>121</v>
      </c>
      <c r="S4" s="19" t="s">
        <v>120</v>
      </c>
      <c r="T4" s="19" t="s">
        <v>120</v>
      </c>
      <c r="U4" s="19" t="s">
        <v>120</v>
      </c>
      <c r="V4" s="19" t="s">
        <v>120</v>
      </c>
      <c r="W4" s="19" t="s">
        <v>120</v>
      </c>
      <c r="X4" s="19" t="s">
        <v>121</v>
      </c>
      <c r="Y4" s="19" t="s">
        <v>121</v>
      </c>
      <c r="Z4" s="19" t="s">
        <v>121</v>
      </c>
      <c r="AA4" s="19" t="s">
        <v>121</v>
      </c>
      <c r="AB4" s="19" t="s">
        <v>121</v>
      </c>
    </row>
    <row r="5" spans="2:67" s="53" customFormat="1">
      <c r="B5" s="3"/>
      <c r="C5" s="54"/>
      <c r="H5" s="3"/>
      <c r="AX5" s="2"/>
      <c r="AY5" s="2"/>
      <c r="AZ5" s="2"/>
      <c r="BB5" s="3" t="s">
        <v>44</v>
      </c>
      <c r="BC5" s="2"/>
      <c r="BD5" s="2"/>
      <c r="BE5" s="2"/>
      <c r="BF5" s="6"/>
      <c r="BG5" s="6"/>
    </row>
    <row r="6" spans="2:67" s="53" customFormat="1">
      <c r="B6" s="3"/>
      <c r="C6" s="54"/>
      <c r="H6" s="3"/>
      <c r="AD6" s="3" t="s">
        <v>45</v>
      </c>
      <c r="AN6" s="3" t="s">
        <v>46</v>
      </c>
      <c r="AX6" s="3" t="s">
        <v>47</v>
      </c>
      <c r="AY6" s="2"/>
      <c r="AZ6" s="2"/>
      <c r="BB6" s="3" t="s">
        <v>47</v>
      </c>
      <c r="BC6" s="2"/>
      <c r="BE6" s="3" t="s">
        <v>48</v>
      </c>
      <c r="BF6" s="2"/>
      <c r="BG6" s="6"/>
      <c r="BH6" s="6"/>
      <c r="BM6" s="3" t="s">
        <v>49</v>
      </c>
    </row>
    <row r="7" spans="2:67" s="4" customFormat="1" ht="43.5">
      <c r="B7" s="4" t="s">
        <v>50</v>
      </c>
      <c r="C7" s="17" t="s">
        <v>37</v>
      </c>
      <c r="D7" s="4" t="s">
        <v>38</v>
      </c>
      <c r="E7" s="4" t="s">
        <v>117</v>
      </c>
      <c r="H7" s="4" t="s">
        <v>51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58</v>
      </c>
      <c r="P7" s="4" t="s">
        <v>59</v>
      </c>
      <c r="Q7" s="4" t="s">
        <v>60</v>
      </c>
      <c r="R7" s="4" t="s">
        <v>61</v>
      </c>
      <c r="S7" s="4" t="s">
        <v>62</v>
      </c>
      <c r="T7" s="4" t="s">
        <v>63</v>
      </c>
      <c r="U7" s="4" t="s">
        <v>64</v>
      </c>
      <c r="V7" s="4" t="s">
        <v>65</v>
      </c>
      <c r="W7" s="4" t="s">
        <v>66</v>
      </c>
      <c r="X7" s="4" t="s">
        <v>67</v>
      </c>
      <c r="Y7" s="4" t="s">
        <v>68</v>
      </c>
      <c r="Z7" s="4" t="s">
        <v>69</v>
      </c>
      <c r="AA7" s="4" t="s">
        <v>70</v>
      </c>
      <c r="AB7" s="4" t="s">
        <v>71</v>
      </c>
      <c r="AD7" s="55">
        <v>3.5</v>
      </c>
      <c r="AE7" s="59">
        <v>3.75</v>
      </c>
      <c r="AF7" s="59">
        <v>4</v>
      </c>
      <c r="AG7" s="59">
        <v>4.25</v>
      </c>
      <c r="AH7" s="61">
        <v>4.5</v>
      </c>
      <c r="AI7" s="65" t="s">
        <v>118</v>
      </c>
      <c r="AJ7" s="66" t="s">
        <v>119</v>
      </c>
      <c r="AK7" s="65" t="s">
        <v>121</v>
      </c>
      <c r="AL7" s="66" t="s">
        <v>120</v>
      </c>
      <c r="AN7" s="55">
        <v>3.5</v>
      </c>
      <c r="AO7" s="59">
        <v>3.75</v>
      </c>
      <c r="AP7" s="59">
        <v>4</v>
      </c>
      <c r="AQ7" s="59">
        <v>4.25</v>
      </c>
      <c r="AR7" s="61">
        <v>4.5</v>
      </c>
      <c r="AS7" s="65" t="s">
        <v>118</v>
      </c>
      <c r="AT7" s="66" t="s">
        <v>119</v>
      </c>
      <c r="AU7" s="65" t="s">
        <v>121</v>
      </c>
      <c r="AV7" s="66" t="s">
        <v>120</v>
      </c>
      <c r="AX7" s="4" t="s">
        <v>37</v>
      </c>
      <c r="AY7" s="4" t="s">
        <v>72</v>
      </c>
      <c r="AZ7" s="4" t="s">
        <v>117</v>
      </c>
      <c r="BB7" s="4" t="s">
        <v>37</v>
      </c>
      <c r="BC7" s="4" t="s">
        <v>72</v>
      </c>
      <c r="BD7" s="4" t="s">
        <v>117</v>
      </c>
      <c r="BF7" s="25" t="s">
        <v>73</v>
      </c>
      <c r="BG7" s="25" t="s">
        <v>74</v>
      </c>
      <c r="BI7" s="28" t="s">
        <v>37</v>
      </c>
      <c r="BJ7" s="29" t="s">
        <v>72</v>
      </c>
      <c r="BK7" s="29" t="s">
        <v>117</v>
      </c>
      <c r="BM7" s="30" t="s">
        <v>75</v>
      </c>
      <c r="BN7" s="34" t="s">
        <v>76</v>
      </c>
      <c r="BO7" s="34" t="s">
        <v>77</v>
      </c>
    </row>
    <row r="8" spans="2:67">
      <c r="B8" s="18" t="s">
        <v>52</v>
      </c>
      <c r="C8" s="5">
        <v>3.5</v>
      </c>
      <c r="D8" s="19" t="s">
        <v>118</v>
      </c>
      <c r="E8" s="19" t="s">
        <v>120</v>
      </c>
      <c r="H8">
        <v>1</v>
      </c>
      <c r="I8">
        <v>3</v>
      </c>
      <c r="J8">
        <v>5</v>
      </c>
      <c r="K8">
        <v>8</v>
      </c>
      <c r="L8">
        <v>11</v>
      </c>
      <c r="M8">
        <v>14</v>
      </c>
      <c r="N8">
        <v>1</v>
      </c>
      <c r="O8">
        <v>2</v>
      </c>
      <c r="P8">
        <v>4</v>
      </c>
      <c r="Q8">
        <v>6</v>
      </c>
      <c r="R8">
        <v>9</v>
      </c>
      <c r="S8">
        <v>12</v>
      </c>
      <c r="T8">
        <v>15</v>
      </c>
      <c r="U8">
        <v>17</v>
      </c>
      <c r="V8">
        <v>19</v>
      </c>
      <c r="W8">
        <v>20</v>
      </c>
      <c r="X8">
        <v>7</v>
      </c>
      <c r="Y8">
        <v>10</v>
      </c>
      <c r="Z8">
        <v>13</v>
      </c>
      <c r="AA8">
        <v>16</v>
      </c>
      <c r="AB8">
        <v>18</v>
      </c>
      <c r="AD8">
        <f>SUMIFS($I8:$AB8,$I$2:$AB$2,AD$7)</f>
        <v>23</v>
      </c>
      <c r="AE8">
        <f>SUMIFS($I8:$AB8,$I$2:$AB$2,AE$7)</f>
        <v>32</v>
      </c>
      <c r="AF8">
        <f>SUMIFS($I8:$AB8,$I$2:$AB$2,AF$7)</f>
        <v>42</v>
      </c>
      <c r="AG8">
        <f>SUMIFS($I8:$AB8,$I$2:$AB$2,AG$7)</f>
        <v>52</v>
      </c>
      <c r="AH8">
        <f>SUMIFS($I8:$AB8,$I$2:$AB$2,AH$7)</f>
        <v>61</v>
      </c>
      <c r="AI8">
        <f>SUMIFS($I8:$AB8,$I$3:$AB$3,AI$7)</f>
        <v>63</v>
      </c>
      <c r="AJ8">
        <f>SUMIFS($I8:$AB8,$I$3:$AB$3,AJ$7)</f>
        <v>147</v>
      </c>
      <c r="AK8">
        <f>SUMIFS($I8:$AB8,$I$4:$AB$4,AK$7)</f>
        <v>86</v>
      </c>
      <c r="AL8">
        <f>SUMIFS($I8:$AB8,$I$4:$AB$4,AL$7)</f>
        <v>124</v>
      </c>
      <c r="AN8" s="67">
        <f>((AD8-MIN($AD8:$AL8))/(MAX($AD8:$AL8)-MIN($AD8:$AL8)))</f>
        <v>0</v>
      </c>
      <c r="AO8" s="67">
        <f t="shared" ref="AO8:AV8" si="0">((AE8-MIN($AD8:$AL8))/(MAX($AD8:$AL8)-MIN($AD8:$AL8)))</f>
        <v>7.2580645161290328E-2</v>
      </c>
      <c r="AP8" s="67">
        <f t="shared" si="0"/>
        <v>0.15322580645161291</v>
      </c>
      <c r="AQ8" s="67">
        <f t="shared" si="0"/>
        <v>0.23387096774193547</v>
      </c>
      <c r="AR8" s="67">
        <f t="shared" si="0"/>
        <v>0.30645161290322581</v>
      </c>
      <c r="AS8" s="67">
        <f t="shared" si="0"/>
        <v>0.32258064516129031</v>
      </c>
      <c r="AT8" s="67">
        <f t="shared" si="0"/>
        <v>1</v>
      </c>
      <c r="AU8" s="67">
        <f t="shared" si="0"/>
        <v>0.50806451612903225</v>
      </c>
      <c r="AV8" s="67">
        <f t="shared" si="0"/>
        <v>0.81451612903225812</v>
      </c>
      <c r="AX8" s="68">
        <f>MAX($AN8:$AR8)-MIN($AN8:$AR8)</f>
        <v>0.30645161290322581</v>
      </c>
      <c r="AY8">
        <f>MAX($AS8:$AT8)-MIN($AS8:$AT8)</f>
        <v>0.67741935483870974</v>
      </c>
      <c r="AZ8">
        <f>MAX($AU8:$AV8)-MIN($AU8:$AV8)</f>
        <v>0.30645161290322587</v>
      </c>
      <c r="BB8" s="92">
        <f>AX8/SUM($AX8:$AZ8)</f>
        <v>0.23749999999999996</v>
      </c>
      <c r="BC8">
        <f>AY8/SUM($AX8:$AZ8)</f>
        <v>0.52500000000000002</v>
      </c>
      <c r="BD8">
        <f>AZ8/SUM($AX8:$AZ8)</f>
        <v>0.23750000000000002</v>
      </c>
      <c r="BF8" t="str">
        <f>INDEX($BB$7:$BD$7,,MATCH(MAX(BB8:BD8),BB8:BD8,0))</f>
        <v xml:space="preserve">Brand </v>
      </c>
      <c r="BG8" t="str">
        <f>INDEX(BI8:BK8,,MATCH(BF8,$BI$7:$BK$7,0))</f>
        <v>Super Bowl</v>
      </c>
      <c r="BI8">
        <f>INDEX($AN$7:$AR$7,,MATCH(MIN(AN8:AR8),AN8:AR8,0))</f>
        <v>3.5</v>
      </c>
      <c r="BJ8" t="str">
        <f>INDEX($AS$7:$AT$7,,MATCH(MIN(AS8:AT8),AS8:AT8,0))</f>
        <v>Super Bowl</v>
      </c>
      <c r="BK8" t="str">
        <f>INDEX($AU$7:$AV$7,,MATCH(MIN(AU8:AV8),AU8:AV8,0))</f>
        <v>B</v>
      </c>
      <c r="BM8">
        <f>COUNTIFS(BF:BF,BN8,BG:BG,BO8)</f>
        <v>30</v>
      </c>
      <c r="BN8" t="s">
        <v>37</v>
      </c>
      <c r="BO8">
        <v>3.5</v>
      </c>
    </row>
    <row r="9" spans="2:67">
      <c r="B9" s="18" t="s">
        <v>53</v>
      </c>
      <c r="C9" s="5">
        <v>3.75</v>
      </c>
      <c r="D9" s="19" t="s">
        <v>118</v>
      </c>
      <c r="E9" s="19" t="s">
        <v>120</v>
      </c>
      <c r="H9">
        <v>2</v>
      </c>
      <c r="I9">
        <v>3</v>
      </c>
      <c r="J9">
        <v>7</v>
      </c>
      <c r="K9">
        <v>11</v>
      </c>
      <c r="L9">
        <v>15</v>
      </c>
      <c r="M9">
        <v>19</v>
      </c>
      <c r="N9">
        <v>4</v>
      </c>
      <c r="O9">
        <v>8</v>
      </c>
      <c r="P9">
        <v>12</v>
      </c>
      <c r="Q9">
        <v>16</v>
      </c>
      <c r="R9">
        <v>20</v>
      </c>
      <c r="S9">
        <v>1</v>
      </c>
      <c r="T9">
        <v>5</v>
      </c>
      <c r="U9">
        <v>9</v>
      </c>
      <c r="V9">
        <v>13</v>
      </c>
      <c r="W9">
        <v>17</v>
      </c>
      <c r="X9">
        <v>2</v>
      </c>
      <c r="Y9">
        <v>6</v>
      </c>
      <c r="Z9">
        <v>10</v>
      </c>
      <c r="AA9">
        <v>14</v>
      </c>
      <c r="AB9">
        <v>18</v>
      </c>
      <c r="AD9">
        <f>SUMIFS($I9:$AB9,$I$2:$AB$2,AD$7)</f>
        <v>10</v>
      </c>
      <c r="AE9">
        <f t="shared" ref="AE9:AE40" si="1">SUMIFS($I9:$AB9,$I$2:$AB$2,AE$7)</f>
        <v>26</v>
      </c>
      <c r="AF9">
        <f t="shared" ref="AF9:AF40" si="2">SUMIFS($I9:$AB9,$I$2:$AB$2,AF$7)</f>
        <v>42</v>
      </c>
      <c r="AG9">
        <f t="shared" ref="AG9:AG40" si="3">SUMIFS($I9:$AB9,$I$2:$AB$2,AG$7)</f>
        <v>58</v>
      </c>
      <c r="AH9">
        <f t="shared" ref="AH9:AH40" si="4">SUMIFS($I9:$AB9,$I$2:$AB$2,AH$7)</f>
        <v>74</v>
      </c>
      <c r="AI9">
        <f t="shared" ref="AI9:AI40" si="5">SUMIFS($I9:$AB9,$I$3:$AB$3,AI$7)</f>
        <v>115</v>
      </c>
      <c r="AJ9">
        <f t="shared" ref="AJ9:AJ40" si="6">SUMIFS($I9:$AB9,$I$3:$AB$3,AJ$7)</f>
        <v>95</v>
      </c>
      <c r="AK9">
        <f t="shared" ref="AK9:AK40" si="7">SUMIFS($I9:$AB9,$I$4:$AB$4,AK$7)</f>
        <v>110</v>
      </c>
      <c r="AL9">
        <f t="shared" ref="AL9:AL40" si="8">SUMIFS($I9:$AB9,$I$4:$AB$4,AL$7)</f>
        <v>100</v>
      </c>
      <c r="AN9" s="67">
        <f>((AD9-MIN($AD9:$AL9))/(MAX($AD9:$AL9)-MIN($AD9:$AL9)))</f>
        <v>0</v>
      </c>
      <c r="AO9" s="67">
        <f t="shared" ref="AO9:AO40" si="9">((AE9-MIN($AD9:$AL9))/(MAX($AD9:$AL9)-MIN($AD9:$AL9)))</f>
        <v>0.15238095238095239</v>
      </c>
      <c r="AP9" s="67">
        <f t="shared" ref="AP9:AP40" si="10">((AF9-MIN($AD9:$AL9))/(MAX($AD9:$AL9)-MIN($AD9:$AL9)))</f>
        <v>0.30476190476190479</v>
      </c>
      <c r="AQ9" s="67">
        <f t="shared" ref="AQ9:AQ40" si="11">((AG9-MIN($AD9:$AL9))/(MAX($AD9:$AL9)-MIN($AD9:$AL9)))</f>
        <v>0.45714285714285713</v>
      </c>
      <c r="AR9" s="67">
        <f t="shared" ref="AR9:AR40" si="12">((AH9-MIN($AD9:$AL9))/(MAX($AD9:$AL9)-MIN($AD9:$AL9)))</f>
        <v>0.60952380952380958</v>
      </c>
      <c r="AS9" s="67">
        <f t="shared" ref="AS9:AS40" si="13">((AI9-MIN($AD9:$AL9))/(MAX($AD9:$AL9)-MIN($AD9:$AL9)))</f>
        <v>1</v>
      </c>
      <c r="AT9" s="67">
        <f t="shared" ref="AT9:AT40" si="14">((AJ9-MIN($AD9:$AL9))/(MAX($AD9:$AL9)-MIN($AD9:$AL9)))</f>
        <v>0.80952380952380953</v>
      </c>
      <c r="AU9" s="67">
        <f t="shared" ref="AU9:AU40" si="15">((AK9-MIN($AD9:$AL9))/(MAX($AD9:$AL9)-MIN($AD9:$AL9)))</f>
        <v>0.95238095238095233</v>
      </c>
      <c r="AV9" s="67">
        <f t="shared" ref="AV9:AV40" si="16">((AL9-MIN($AD9:$AL9))/(MAX($AD9:$AL9)-MIN($AD9:$AL9)))</f>
        <v>0.8571428571428571</v>
      </c>
      <c r="AX9">
        <f t="shared" ref="AX9:AX40" si="17">MAX($AN9:$AR9)-MIN($AN9:$AR9)</f>
        <v>0.60952380952380958</v>
      </c>
      <c r="AY9">
        <f t="shared" ref="AY9:AY40" si="18">MAX($AS9:$AT9)-MIN($AS9:$AT9)</f>
        <v>0.19047619047619047</v>
      </c>
      <c r="AZ9">
        <f t="shared" ref="AZ9:AZ40" si="19">MAX($AU9:$AV9)-MIN($AU9:$AV9)</f>
        <v>9.5238095238095233E-2</v>
      </c>
      <c r="BB9">
        <f t="shared" ref="BB9:BB40" si="20">AX9/SUM($AX9:$AZ9)</f>
        <v>0.68085106382978722</v>
      </c>
      <c r="BC9">
        <f t="shared" ref="BC9:BC40" si="21">AY9/SUM($AX9:$AZ9)</f>
        <v>0.21276595744680848</v>
      </c>
      <c r="BD9">
        <f t="shared" ref="BD9:BD40" si="22">AZ9/SUM($AX9:$AZ9)</f>
        <v>0.10638297872340424</v>
      </c>
      <c r="BF9" t="str">
        <f t="shared" ref="BF9:BF38" si="23">INDEX($BB$7:$BD$7,,MATCH(MAX(BB9:BD9),BB9:BD9,0))</f>
        <v>Price</v>
      </c>
      <c r="BG9">
        <f t="shared" ref="BG9:BG40" si="24">INDEX(BI9:BK9,,MATCH(BF9,$BI$7:$BK$7,0))</f>
        <v>3.5</v>
      </c>
      <c r="BI9">
        <f t="shared" ref="BI9:BI40" si="25">INDEX($AN$7:$AR$7,,MATCH(MIN(AN9:AR9),AN9:AR9,0))</f>
        <v>3.5</v>
      </c>
      <c r="BJ9" t="str">
        <f>INDEX($AS$7:$AT$7,,MATCH(MIN(AS9:AT9),AS9:AT9,0))</f>
        <v>Tennis</v>
      </c>
      <c r="BK9" t="str">
        <f t="shared" ref="BK9:BK40" si="26">INDEX($AU$7:$AV$7,,MATCH(MIN(AU9:AV9),AU9:AV9,0))</f>
        <v>A</v>
      </c>
      <c r="BM9">
        <f>COUNTIFS(BF:BF,BN9,BG:BG,BO9)</f>
        <v>28</v>
      </c>
      <c r="BN9" t="s">
        <v>72</v>
      </c>
      <c r="BO9" t="s">
        <v>118</v>
      </c>
    </row>
    <row r="10" spans="2:67">
      <c r="B10" s="18" t="s">
        <v>54</v>
      </c>
      <c r="C10" s="5">
        <v>4</v>
      </c>
      <c r="D10" s="19" t="s">
        <v>118</v>
      </c>
      <c r="E10" s="19" t="s">
        <v>120</v>
      </c>
      <c r="H10">
        <v>3</v>
      </c>
      <c r="I10">
        <v>5</v>
      </c>
      <c r="J10">
        <v>8</v>
      </c>
      <c r="K10">
        <v>12</v>
      </c>
      <c r="L10">
        <v>15</v>
      </c>
      <c r="M10">
        <v>18</v>
      </c>
      <c r="N10">
        <v>11</v>
      </c>
      <c r="O10">
        <v>14</v>
      </c>
      <c r="P10">
        <v>17</v>
      </c>
      <c r="Q10">
        <v>19</v>
      </c>
      <c r="R10">
        <v>20</v>
      </c>
      <c r="S10">
        <v>1</v>
      </c>
      <c r="T10">
        <v>2</v>
      </c>
      <c r="U10">
        <v>4</v>
      </c>
      <c r="V10">
        <v>7</v>
      </c>
      <c r="W10">
        <v>10</v>
      </c>
      <c r="X10">
        <v>3</v>
      </c>
      <c r="Y10">
        <v>6</v>
      </c>
      <c r="Z10">
        <v>9</v>
      </c>
      <c r="AA10">
        <v>13</v>
      </c>
      <c r="AB10">
        <v>16</v>
      </c>
      <c r="AD10">
        <f t="shared" ref="AD10:AD40" si="27">SUMIFS($I10:$AB10,$I$2:$AB$2,AD$7)</f>
        <v>20</v>
      </c>
      <c r="AE10">
        <f t="shared" si="1"/>
        <v>30</v>
      </c>
      <c r="AF10">
        <f t="shared" si="2"/>
        <v>42</v>
      </c>
      <c r="AG10">
        <f t="shared" si="3"/>
        <v>54</v>
      </c>
      <c r="AH10">
        <f t="shared" si="4"/>
        <v>64</v>
      </c>
      <c r="AI10">
        <f t="shared" si="5"/>
        <v>139</v>
      </c>
      <c r="AJ10">
        <f t="shared" si="6"/>
        <v>71</v>
      </c>
      <c r="AK10">
        <f t="shared" si="7"/>
        <v>128</v>
      </c>
      <c r="AL10">
        <f t="shared" si="8"/>
        <v>82</v>
      </c>
      <c r="AN10" s="67">
        <f t="shared" ref="AN10:AN40" si="28">((AD10-MIN($AD10:$AL10))/(MAX($AD10:$AL10)-MIN($AD10:$AL10)))</f>
        <v>0</v>
      </c>
      <c r="AO10" s="67">
        <f t="shared" si="9"/>
        <v>8.4033613445378158E-2</v>
      </c>
      <c r="AP10" s="67">
        <f t="shared" si="10"/>
        <v>0.18487394957983194</v>
      </c>
      <c r="AQ10" s="67">
        <f t="shared" si="11"/>
        <v>0.2857142857142857</v>
      </c>
      <c r="AR10" s="67">
        <f t="shared" si="12"/>
        <v>0.36974789915966388</v>
      </c>
      <c r="AS10" s="67">
        <f t="shared" si="13"/>
        <v>1</v>
      </c>
      <c r="AT10" s="67">
        <f t="shared" si="14"/>
        <v>0.42857142857142855</v>
      </c>
      <c r="AU10" s="67">
        <f t="shared" si="15"/>
        <v>0.90756302521008403</v>
      </c>
      <c r="AV10" s="67">
        <f t="shared" si="16"/>
        <v>0.52100840336134457</v>
      </c>
      <c r="AX10">
        <f t="shared" si="17"/>
        <v>0.36974789915966388</v>
      </c>
      <c r="AY10">
        <f t="shared" si="18"/>
        <v>0.5714285714285714</v>
      </c>
      <c r="AZ10">
        <f t="shared" si="19"/>
        <v>0.38655462184873945</v>
      </c>
      <c r="BB10">
        <f t="shared" si="20"/>
        <v>0.27848101265822789</v>
      </c>
      <c r="BC10">
        <f t="shared" si="21"/>
        <v>0.43037974683544306</v>
      </c>
      <c r="BD10">
        <f t="shared" si="22"/>
        <v>0.29113924050632911</v>
      </c>
      <c r="BF10" t="str">
        <f t="shared" si="23"/>
        <v xml:space="preserve">Brand </v>
      </c>
      <c r="BG10" t="str">
        <f>INDEX(BI10:BK10,,MATCH(BF10,$BI$7:$BK$7,0))</f>
        <v>Tennis</v>
      </c>
      <c r="BI10">
        <f t="shared" si="25"/>
        <v>3.5</v>
      </c>
      <c r="BJ10" t="str">
        <f t="shared" ref="BJ10:BJ40" si="29">INDEX($AS$7:$AT$7,,MATCH(MIN(AS10:AT10),AS10:AT10,0))</f>
        <v>Tennis</v>
      </c>
      <c r="BK10" t="str">
        <f t="shared" si="26"/>
        <v>A</v>
      </c>
      <c r="BM10">
        <f>COUNTIFS(BF:BF,BN10,BG:BG,BO10)</f>
        <v>21</v>
      </c>
      <c r="BN10" t="s">
        <v>72</v>
      </c>
      <c r="BO10" t="s">
        <v>119</v>
      </c>
    </row>
    <row r="11" spans="2:67">
      <c r="B11" s="18" t="s">
        <v>55</v>
      </c>
      <c r="C11" s="5">
        <v>4.25</v>
      </c>
      <c r="D11" s="19" t="s">
        <v>118</v>
      </c>
      <c r="E11" s="19" t="s">
        <v>120</v>
      </c>
      <c r="H11">
        <v>4</v>
      </c>
      <c r="I11">
        <v>1</v>
      </c>
      <c r="J11">
        <v>2</v>
      </c>
      <c r="K11">
        <v>3</v>
      </c>
      <c r="L11">
        <v>6</v>
      </c>
      <c r="M11">
        <v>9</v>
      </c>
      <c r="N11">
        <v>4</v>
      </c>
      <c r="O11">
        <v>7</v>
      </c>
      <c r="P11">
        <v>10</v>
      </c>
      <c r="Q11">
        <v>13</v>
      </c>
      <c r="R11">
        <v>16</v>
      </c>
      <c r="S11">
        <v>5</v>
      </c>
      <c r="T11">
        <v>8</v>
      </c>
      <c r="U11">
        <v>11</v>
      </c>
      <c r="V11">
        <v>14</v>
      </c>
      <c r="W11">
        <v>17</v>
      </c>
      <c r="X11">
        <v>12</v>
      </c>
      <c r="Y11">
        <v>15</v>
      </c>
      <c r="Z11">
        <v>18</v>
      </c>
      <c r="AA11">
        <v>19</v>
      </c>
      <c r="AB11">
        <v>20</v>
      </c>
      <c r="AD11">
        <f t="shared" si="27"/>
        <v>22</v>
      </c>
      <c r="AE11">
        <f t="shared" si="1"/>
        <v>32</v>
      </c>
      <c r="AF11">
        <f t="shared" si="2"/>
        <v>42</v>
      </c>
      <c r="AG11">
        <f t="shared" si="3"/>
        <v>52</v>
      </c>
      <c r="AH11">
        <f t="shared" si="4"/>
        <v>62</v>
      </c>
      <c r="AI11">
        <f t="shared" si="5"/>
        <v>71</v>
      </c>
      <c r="AJ11">
        <f t="shared" si="6"/>
        <v>139</v>
      </c>
      <c r="AK11">
        <f t="shared" si="7"/>
        <v>134</v>
      </c>
      <c r="AL11">
        <f t="shared" si="8"/>
        <v>76</v>
      </c>
      <c r="AN11" s="67">
        <f t="shared" si="28"/>
        <v>0</v>
      </c>
      <c r="AO11" s="67">
        <f t="shared" si="9"/>
        <v>8.5470085470085472E-2</v>
      </c>
      <c r="AP11" s="67">
        <f t="shared" si="10"/>
        <v>0.17094017094017094</v>
      </c>
      <c r="AQ11" s="67">
        <f t="shared" si="11"/>
        <v>0.25641025641025639</v>
      </c>
      <c r="AR11" s="67">
        <f t="shared" si="12"/>
        <v>0.34188034188034189</v>
      </c>
      <c r="AS11" s="67">
        <f t="shared" si="13"/>
        <v>0.41880341880341881</v>
      </c>
      <c r="AT11" s="67">
        <f t="shared" si="14"/>
        <v>1</v>
      </c>
      <c r="AU11" s="67">
        <f t="shared" si="15"/>
        <v>0.95726495726495731</v>
      </c>
      <c r="AV11" s="67">
        <f t="shared" si="16"/>
        <v>0.46153846153846156</v>
      </c>
      <c r="AX11">
        <f t="shared" si="17"/>
        <v>0.34188034188034189</v>
      </c>
      <c r="AY11">
        <f t="shared" si="18"/>
        <v>0.58119658119658113</v>
      </c>
      <c r="AZ11">
        <f t="shared" si="19"/>
        <v>0.49572649572649574</v>
      </c>
      <c r="BB11">
        <f t="shared" si="20"/>
        <v>0.24096385542168677</v>
      </c>
      <c r="BC11">
        <f t="shared" si="21"/>
        <v>0.40963855421686746</v>
      </c>
      <c r="BD11">
        <f t="shared" si="22"/>
        <v>0.34939759036144585</v>
      </c>
      <c r="BF11" t="str">
        <f t="shared" si="23"/>
        <v xml:space="preserve">Brand </v>
      </c>
      <c r="BG11" t="str">
        <f t="shared" si="24"/>
        <v>Super Bowl</v>
      </c>
      <c r="BI11">
        <f t="shared" si="25"/>
        <v>3.5</v>
      </c>
      <c r="BJ11" t="str">
        <f t="shared" si="29"/>
        <v>Super Bowl</v>
      </c>
      <c r="BK11" t="str">
        <f t="shared" si="26"/>
        <v>A</v>
      </c>
      <c r="BM11">
        <f>COUNTIFS(BF:BF,BN11,BG:BG,BO11)</f>
        <v>28</v>
      </c>
      <c r="BN11" t="s">
        <v>117</v>
      </c>
      <c r="BO11" t="s">
        <v>121</v>
      </c>
    </row>
    <row r="12" spans="2:67">
      <c r="B12" s="18" t="s">
        <v>56</v>
      </c>
      <c r="C12" s="5">
        <v>4.5</v>
      </c>
      <c r="D12" s="19" t="s">
        <v>118</v>
      </c>
      <c r="E12" s="19" t="s">
        <v>120</v>
      </c>
      <c r="H12">
        <v>5</v>
      </c>
      <c r="I12">
        <v>5</v>
      </c>
      <c r="J12">
        <v>8</v>
      </c>
      <c r="K12">
        <v>12</v>
      </c>
      <c r="L12">
        <v>15</v>
      </c>
      <c r="M12">
        <v>18</v>
      </c>
      <c r="N12">
        <v>11</v>
      </c>
      <c r="O12">
        <v>14</v>
      </c>
      <c r="P12">
        <v>17</v>
      </c>
      <c r="Q12">
        <v>19</v>
      </c>
      <c r="R12">
        <v>20</v>
      </c>
      <c r="S12">
        <v>1</v>
      </c>
      <c r="T12">
        <v>2</v>
      </c>
      <c r="U12">
        <v>4</v>
      </c>
      <c r="V12">
        <v>7</v>
      </c>
      <c r="W12">
        <v>10</v>
      </c>
      <c r="X12">
        <v>3</v>
      </c>
      <c r="Y12">
        <v>6</v>
      </c>
      <c r="Z12">
        <v>9</v>
      </c>
      <c r="AA12">
        <v>13</v>
      </c>
      <c r="AB12">
        <v>16</v>
      </c>
      <c r="AD12">
        <f t="shared" si="27"/>
        <v>20</v>
      </c>
      <c r="AE12">
        <f t="shared" si="1"/>
        <v>30</v>
      </c>
      <c r="AF12">
        <f t="shared" si="2"/>
        <v>42</v>
      </c>
      <c r="AG12">
        <f t="shared" si="3"/>
        <v>54</v>
      </c>
      <c r="AH12">
        <f t="shared" si="4"/>
        <v>64</v>
      </c>
      <c r="AI12">
        <f t="shared" si="5"/>
        <v>139</v>
      </c>
      <c r="AJ12">
        <f t="shared" si="6"/>
        <v>71</v>
      </c>
      <c r="AK12">
        <f t="shared" si="7"/>
        <v>128</v>
      </c>
      <c r="AL12">
        <f t="shared" si="8"/>
        <v>82</v>
      </c>
      <c r="AN12" s="67">
        <f t="shared" si="28"/>
        <v>0</v>
      </c>
      <c r="AO12" s="67">
        <f t="shared" si="9"/>
        <v>8.4033613445378158E-2</v>
      </c>
      <c r="AP12" s="67">
        <f t="shared" si="10"/>
        <v>0.18487394957983194</v>
      </c>
      <c r="AQ12" s="67">
        <f t="shared" si="11"/>
        <v>0.2857142857142857</v>
      </c>
      <c r="AR12" s="67">
        <f t="shared" si="12"/>
        <v>0.36974789915966388</v>
      </c>
      <c r="AS12" s="67">
        <f t="shared" si="13"/>
        <v>1</v>
      </c>
      <c r="AT12" s="67">
        <f t="shared" si="14"/>
        <v>0.42857142857142855</v>
      </c>
      <c r="AU12" s="67">
        <f t="shared" si="15"/>
        <v>0.90756302521008403</v>
      </c>
      <c r="AV12" s="67">
        <f t="shared" si="16"/>
        <v>0.52100840336134457</v>
      </c>
      <c r="AX12">
        <f t="shared" si="17"/>
        <v>0.36974789915966388</v>
      </c>
      <c r="AY12">
        <f t="shared" si="18"/>
        <v>0.5714285714285714</v>
      </c>
      <c r="AZ12">
        <f t="shared" si="19"/>
        <v>0.38655462184873945</v>
      </c>
      <c r="BB12">
        <f t="shared" si="20"/>
        <v>0.27848101265822789</v>
      </c>
      <c r="BC12">
        <f t="shared" si="21"/>
        <v>0.43037974683544306</v>
      </c>
      <c r="BD12">
        <f t="shared" si="22"/>
        <v>0.29113924050632911</v>
      </c>
      <c r="BF12" t="str">
        <f t="shared" si="23"/>
        <v xml:space="preserve">Brand </v>
      </c>
      <c r="BG12" t="str">
        <f t="shared" si="24"/>
        <v>Tennis</v>
      </c>
      <c r="BI12">
        <f t="shared" si="25"/>
        <v>3.5</v>
      </c>
      <c r="BJ12" t="str">
        <f t="shared" si="29"/>
        <v>Tennis</v>
      </c>
      <c r="BK12" t="str">
        <f t="shared" si="26"/>
        <v>A</v>
      </c>
      <c r="BM12">
        <f>COUNTIFS(BF:BF,BN12,BG:BG,BO12)</f>
        <v>25</v>
      </c>
      <c r="BN12" t="s">
        <v>117</v>
      </c>
      <c r="BO12" t="s">
        <v>120</v>
      </c>
    </row>
    <row r="13" spans="2:67">
      <c r="B13" s="18" t="s">
        <v>57</v>
      </c>
      <c r="C13" s="5">
        <v>3.5</v>
      </c>
      <c r="D13" s="19" t="s">
        <v>118</v>
      </c>
      <c r="E13" s="19" t="s">
        <v>121</v>
      </c>
      <c r="H13">
        <v>6</v>
      </c>
      <c r="I13">
        <v>4</v>
      </c>
      <c r="J13">
        <v>7</v>
      </c>
      <c r="K13">
        <v>10</v>
      </c>
      <c r="L13">
        <v>12</v>
      </c>
      <c r="M13">
        <v>15</v>
      </c>
      <c r="N13">
        <v>1</v>
      </c>
      <c r="O13">
        <v>2</v>
      </c>
      <c r="P13">
        <v>3</v>
      </c>
      <c r="Q13">
        <v>5</v>
      </c>
      <c r="R13">
        <v>8</v>
      </c>
      <c r="S13">
        <v>13</v>
      </c>
      <c r="T13">
        <v>16</v>
      </c>
      <c r="U13">
        <v>18</v>
      </c>
      <c r="V13">
        <v>19</v>
      </c>
      <c r="W13">
        <v>20</v>
      </c>
      <c r="X13">
        <v>6</v>
      </c>
      <c r="Y13">
        <v>9</v>
      </c>
      <c r="Z13">
        <v>11</v>
      </c>
      <c r="AA13">
        <v>14</v>
      </c>
      <c r="AB13">
        <v>17</v>
      </c>
      <c r="AD13">
        <f t="shared" si="27"/>
        <v>24</v>
      </c>
      <c r="AE13">
        <f t="shared" si="1"/>
        <v>34</v>
      </c>
      <c r="AF13">
        <f t="shared" si="2"/>
        <v>42</v>
      </c>
      <c r="AG13">
        <f t="shared" si="3"/>
        <v>50</v>
      </c>
      <c r="AH13">
        <f t="shared" si="4"/>
        <v>60</v>
      </c>
      <c r="AI13">
        <f t="shared" si="5"/>
        <v>67</v>
      </c>
      <c r="AJ13">
        <f t="shared" si="6"/>
        <v>143</v>
      </c>
      <c r="AK13">
        <f t="shared" si="7"/>
        <v>76</v>
      </c>
      <c r="AL13">
        <f t="shared" si="8"/>
        <v>134</v>
      </c>
      <c r="AN13" s="67">
        <f t="shared" si="28"/>
        <v>0</v>
      </c>
      <c r="AO13" s="67">
        <f t="shared" si="9"/>
        <v>8.4033613445378158E-2</v>
      </c>
      <c r="AP13" s="67">
        <f t="shared" si="10"/>
        <v>0.15126050420168066</v>
      </c>
      <c r="AQ13" s="67">
        <f t="shared" si="11"/>
        <v>0.21848739495798319</v>
      </c>
      <c r="AR13" s="67">
        <f t="shared" si="12"/>
        <v>0.30252100840336132</v>
      </c>
      <c r="AS13" s="67">
        <f t="shared" si="13"/>
        <v>0.36134453781512604</v>
      </c>
      <c r="AT13" s="67">
        <f t="shared" si="14"/>
        <v>1</v>
      </c>
      <c r="AU13" s="67">
        <f t="shared" si="15"/>
        <v>0.43697478991596639</v>
      </c>
      <c r="AV13" s="67">
        <f t="shared" si="16"/>
        <v>0.92436974789915971</v>
      </c>
      <c r="AX13">
        <f t="shared" si="17"/>
        <v>0.30252100840336132</v>
      </c>
      <c r="AY13">
        <f t="shared" si="18"/>
        <v>0.6386554621848739</v>
      </c>
      <c r="AZ13">
        <f t="shared" si="19"/>
        <v>0.48739495798319332</v>
      </c>
      <c r="BB13">
        <f t="shared" si="20"/>
        <v>0.21176470588235291</v>
      </c>
      <c r="BC13">
        <f t="shared" si="21"/>
        <v>0.44705882352941173</v>
      </c>
      <c r="BD13">
        <f t="shared" si="22"/>
        <v>0.3411764705882353</v>
      </c>
      <c r="BF13" t="str">
        <f t="shared" si="23"/>
        <v xml:space="preserve">Brand </v>
      </c>
      <c r="BG13" t="str">
        <f t="shared" si="24"/>
        <v>Super Bowl</v>
      </c>
      <c r="BI13">
        <f t="shared" si="25"/>
        <v>3.5</v>
      </c>
      <c r="BJ13" t="str">
        <f t="shared" si="29"/>
        <v>Super Bowl</v>
      </c>
      <c r="BK13" t="str">
        <f t="shared" si="26"/>
        <v>B</v>
      </c>
    </row>
    <row r="14" spans="2:67">
      <c r="B14" s="18" t="s">
        <v>58</v>
      </c>
      <c r="C14" s="5">
        <v>3.75</v>
      </c>
      <c r="D14" s="19" t="s">
        <v>118</v>
      </c>
      <c r="E14" s="19" t="s">
        <v>121</v>
      </c>
      <c r="H14">
        <v>7</v>
      </c>
      <c r="I14">
        <v>4</v>
      </c>
      <c r="J14">
        <v>7</v>
      </c>
      <c r="K14">
        <v>11</v>
      </c>
      <c r="L14">
        <v>15</v>
      </c>
      <c r="M14">
        <v>18</v>
      </c>
      <c r="N14">
        <v>9</v>
      </c>
      <c r="O14">
        <v>13</v>
      </c>
      <c r="P14">
        <v>16</v>
      </c>
      <c r="Q14">
        <v>19</v>
      </c>
      <c r="R14">
        <v>20</v>
      </c>
      <c r="S14">
        <v>1</v>
      </c>
      <c r="T14">
        <v>2</v>
      </c>
      <c r="U14">
        <v>5</v>
      </c>
      <c r="V14">
        <v>8</v>
      </c>
      <c r="W14">
        <v>12</v>
      </c>
      <c r="X14">
        <v>3</v>
      </c>
      <c r="Y14">
        <v>6</v>
      </c>
      <c r="Z14">
        <v>10</v>
      </c>
      <c r="AA14">
        <v>14</v>
      </c>
      <c r="AB14">
        <v>17</v>
      </c>
      <c r="AD14">
        <f t="shared" si="27"/>
        <v>17</v>
      </c>
      <c r="AE14">
        <f t="shared" si="1"/>
        <v>28</v>
      </c>
      <c r="AF14">
        <f t="shared" si="2"/>
        <v>42</v>
      </c>
      <c r="AG14">
        <f t="shared" si="3"/>
        <v>56</v>
      </c>
      <c r="AH14">
        <f t="shared" si="4"/>
        <v>67</v>
      </c>
      <c r="AI14">
        <f t="shared" si="5"/>
        <v>132</v>
      </c>
      <c r="AJ14">
        <f t="shared" si="6"/>
        <v>78</v>
      </c>
      <c r="AK14">
        <f t="shared" si="7"/>
        <v>127</v>
      </c>
      <c r="AL14">
        <f t="shared" si="8"/>
        <v>83</v>
      </c>
      <c r="AN14" s="67">
        <f t="shared" si="28"/>
        <v>0</v>
      </c>
      <c r="AO14" s="67">
        <f t="shared" si="9"/>
        <v>9.5652173913043481E-2</v>
      </c>
      <c r="AP14" s="67">
        <f t="shared" si="10"/>
        <v>0.21739130434782608</v>
      </c>
      <c r="AQ14" s="67">
        <f t="shared" si="11"/>
        <v>0.33913043478260868</v>
      </c>
      <c r="AR14" s="67">
        <f t="shared" si="12"/>
        <v>0.43478260869565216</v>
      </c>
      <c r="AS14" s="67">
        <f t="shared" si="13"/>
        <v>1</v>
      </c>
      <c r="AT14" s="67">
        <f t="shared" si="14"/>
        <v>0.5304347826086957</v>
      </c>
      <c r="AU14" s="67">
        <f t="shared" si="15"/>
        <v>0.95652173913043481</v>
      </c>
      <c r="AV14" s="67">
        <f t="shared" si="16"/>
        <v>0.57391304347826089</v>
      </c>
      <c r="AX14">
        <f t="shared" si="17"/>
        <v>0.43478260869565216</v>
      </c>
      <c r="AY14">
        <f t="shared" si="18"/>
        <v>0.4695652173913043</v>
      </c>
      <c r="AZ14">
        <f t="shared" si="19"/>
        <v>0.38260869565217392</v>
      </c>
      <c r="BB14">
        <f t="shared" si="20"/>
        <v>0.33783783783783783</v>
      </c>
      <c r="BC14">
        <f t="shared" si="21"/>
        <v>0.36486486486486486</v>
      </c>
      <c r="BD14">
        <f t="shared" si="22"/>
        <v>0.29729729729729731</v>
      </c>
      <c r="BF14" t="str">
        <f t="shared" si="23"/>
        <v xml:space="preserve">Brand </v>
      </c>
      <c r="BG14" t="str">
        <f t="shared" si="24"/>
        <v>Tennis</v>
      </c>
      <c r="BI14">
        <f t="shared" si="25"/>
        <v>3.5</v>
      </c>
      <c r="BJ14" t="str">
        <f t="shared" si="29"/>
        <v>Tennis</v>
      </c>
      <c r="BK14" t="str">
        <f t="shared" si="26"/>
        <v>A</v>
      </c>
      <c r="BM14" s="7">
        <f>COUNTIFS(BF:BF,BN14)</f>
        <v>30</v>
      </c>
      <c r="BN14" t="s">
        <v>37</v>
      </c>
    </row>
    <row r="15" spans="2:67">
      <c r="B15" s="18" t="s">
        <v>59</v>
      </c>
      <c r="C15" s="5">
        <v>4</v>
      </c>
      <c r="D15" s="19" t="s">
        <v>118</v>
      </c>
      <c r="E15" s="19" t="s">
        <v>121</v>
      </c>
      <c r="H15">
        <v>8</v>
      </c>
      <c r="I15">
        <v>12</v>
      </c>
      <c r="J15">
        <v>15</v>
      </c>
      <c r="K15">
        <v>17</v>
      </c>
      <c r="L15">
        <v>19</v>
      </c>
      <c r="M15">
        <v>20</v>
      </c>
      <c r="N15">
        <v>3</v>
      </c>
      <c r="O15">
        <v>5</v>
      </c>
      <c r="P15">
        <v>8</v>
      </c>
      <c r="Q15">
        <v>11</v>
      </c>
      <c r="R15">
        <v>14</v>
      </c>
      <c r="S15">
        <v>7</v>
      </c>
      <c r="T15">
        <v>10</v>
      </c>
      <c r="U15">
        <v>13</v>
      </c>
      <c r="V15">
        <v>16</v>
      </c>
      <c r="W15">
        <v>18</v>
      </c>
      <c r="X15">
        <v>1</v>
      </c>
      <c r="Y15">
        <v>2</v>
      </c>
      <c r="Z15">
        <v>4</v>
      </c>
      <c r="AA15">
        <v>6</v>
      </c>
      <c r="AB15">
        <v>9</v>
      </c>
      <c r="AD15">
        <f t="shared" si="27"/>
        <v>23</v>
      </c>
      <c r="AE15">
        <f t="shared" si="1"/>
        <v>32</v>
      </c>
      <c r="AF15">
        <f t="shared" si="2"/>
        <v>42</v>
      </c>
      <c r="AG15">
        <f t="shared" si="3"/>
        <v>52</v>
      </c>
      <c r="AH15">
        <f t="shared" si="4"/>
        <v>61</v>
      </c>
      <c r="AI15">
        <f t="shared" si="5"/>
        <v>124</v>
      </c>
      <c r="AJ15">
        <f t="shared" si="6"/>
        <v>86</v>
      </c>
      <c r="AK15">
        <f t="shared" si="7"/>
        <v>63</v>
      </c>
      <c r="AL15">
        <f t="shared" si="8"/>
        <v>147</v>
      </c>
      <c r="AN15" s="67">
        <f t="shared" si="28"/>
        <v>0</v>
      </c>
      <c r="AO15" s="67">
        <f t="shared" si="9"/>
        <v>7.2580645161290328E-2</v>
      </c>
      <c r="AP15" s="67">
        <f t="shared" si="10"/>
        <v>0.15322580645161291</v>
      </c>
      <c r="AQ15" s="67">
        <f t="shared" si="11"/>
        <v>0.23387096774193547</v>
      </c>
      <c r="AR15" s="67">
        <f t="shared" si="12"/>
        <v>0.30645161290322581</v>
      </c>
      <c r="AS15" s="67">
        <f t="shared" si="13"/>
        <v>0.81451612903225812</v>
      </c>
      <c r="AT15" s="67">
        <f t="shared" si="14"/>
        <v>0.50806451612903225</v>
      </c>
      <c r="AU15" s="67">
        <f t="shared" si="15"/>
        <v>0.32258064516129031</v>
      </c>
      <c r="AV15" s="67">
        <f t="shared" si="16"/>
        <v>1</v>
      </c>
      <c r="AX15">
        <f t="shared" si="17"/>
        <v>0.30645161290322581</v>
      </c>
      <c r="AY15">
        <f t="shared" si="18"/>
        <v>0.30645161290322587</v>
      </c>
      <c r="AZ15">
        <f t="shared" si="19"/>
        <v>0.67741935483870974</v>
      </c>
      <c r="BB15">
        <f t="shared" si="20"/>
        <v>0.23749999999999996</v>
      </c>
      <c r="BC15">
        <f t="shared" si="21"/>
        <v>0.23750000000000002</v>
      </c>
      <c r="BD15">
        <f t="shared" si="22"/>
        <v>0.52500000000000002</v>
      </c>
      <c r="BF15" t="str">
        <f t="shared" si="23"/>
        <v>Theme</v>
      </c>
      <c r="BG15" t="str">
        <f t="shared" si="24"/>
        <v>B</v>
      </c>
      <c r="BI15">
        <f t="shared" si="25"/>
        <v>3.5</v>
      </c>
      <c r="BJ15" t="str">
        <f t="shared" si="29"/>
        <v>Tennis</v>
      </c>
      <c r="BK15" t="str">
        <f t="shared" si="26"/>
        <v>B</v>
      </c>
      <c r="BM15" s="7">
        <f>COUNTIFS(BF:BF,BN15)</f>
        <v>49</v>
      </c>
      <c r="BN15" t="s">
        <v>72</v>
      </c>
    </row>
    <row r="16" spans="2:67">
      <c r="B16" s="18" t="s">
        <v>60</v>
      </c>
      <c r="C16" s="5">
        <v>4.25</v>
      </c>
      <c r="D16" s="19" t="s">
        <v>118</v>
      </c>
      <c r="E16" s="19" t="s">
        <v>121</v>
      </c>
      <c r="H16">
        <v>9</v>
      </c>
      <c r="I16">
        <v>4</v>
      </c>
      <c r="J16">
        <v>7</v>
      </c>
      <c r="K16">
        <v>10</v>
      </c>
      <c r="L16">
        <v>13</v>
      </c>
      <c r="M16">
        <v>16</v>
      </c>
      <c r="N16">
        <v>12</v>
      </c>
      <c r="O16">
        <v>15</v>
      </c>
      <c r="P16">
        <v>18</v>
      </c>
      <c r="Q16">
        <v>19</v>
      </c>
      <c r="R16">
        <v>20</v>
      </c>
      <c r="S16">
        <v>1</v>
      </c>
      <c r="T16">
        <v>2</v>
      </c>
      <c r="U16">
        <v>3</v>
      </c>
      <c r="V16">
        <v>6</v>
      </c>
      <c r="W16">
        <v>9</v>
      </c>
      <c r="X16">
        <v>5</v>
      </c>
      <c r="Y16">
        <v>8</v>
      </c>
      <c r="Z16">
        <v>11</v>
      </c>
      <c r="AA16">
        <v>14</v>
      </c>
      <c r="AB16">
        <v>17</v>
      </c>
      <c r="AD16">
        <f t="shared" si="27"/>
        <v>22</v>
      </c>
      <c r="AE16">
        <f t="shared" si="1"/>
        <v>32</v>
      </c>
      <c r="AF16">
        <f t="shared" si="2"/>
        <v>42</v>
      </c>
      <c r="AG16">
        <f t="shared" si="3"/>
        <v>52</v>
      </c>
      <c r="AH16">
        <f t="shared" si="4"/>
        <v>62</v>
      </c>
      <c r="AI16">
        <f t="shared" si="5"/>
        <v>134</v>
      </c>
      <c r="AJ16">
        <f t="shared" si="6"/>
        <v>76</v>
      </c>
      <c r="AK16">
        <f t="shared" si="7"/>
        <v>139</v>
      </c>
      <c r="AL16">
        <f t="shared" si="8"/>
        <v>71</v>
      </c>
      <c r="AN16" s="67">
        <f t="shared" si="28"/>
        <v>0</v>
      </c>
      <c r="AO16" s="67">
        <f t="shared" si="9"/>
        <v>8.5470085470085472E-2</v>
      </c>
      <c r="AP16" s="67">
        <f t="shared" si="10"/>
        <v>0.17094017094017094</v>
      </c>
      <c r="AQ16" s="67">
        <f t="shared" si="11"/>
        <v>0.25641025641025639</v>
      </c>
      <c r="AR16" s="67">
        <f t="shared" si="12"/>
        <v>0.34188034188034189</v>
      </c>
      <c r="AS16" s="67">
        <f t="shared" si="13"/>
        <v>0.95726495726495731</v>
      </c>
      <c r="AT16" s="67">
        <f t="shared" si="14"/>
        <v>0.46153846153846156</v>
      </c>
      <c r="AU16" s="67">
        <f t="shared" si="15"/>
        <v>1</v>
      </c>
      <c r="AV16" s="67">
        <f t="shared" si="16"/>
        <v>0.41880341880341881</v>
      </c>
      <c r="AX16">
        <f t="shared" si="17"/>
        <v>0.34188034188034189</v>
      </c>
      <c r="AY16">
        <f t="shared" si="18"/>
        <v>0.49572649572649574</v>
      </c>
      <c r="AZ16">
        <f t="shared" si="19"/>
        <v>0.58119658119658113</v>
      </c>
      <c r="BB16">
        <f t="shared" si="20"/>
        <v>0.24096385542168677</v>
      </c>
      <c r="BC16">
        <f t="shared" si="21"/>
        <v>0.34939759036144585</v>
      </c>
      <c r="BD16">
        <f t="shared" si="22"/>
        <v>0.40963855421686746</v>
      </c>
      <c r="BF16" t="str">
        <f t="shared" si="23"/>
        <v>Theme</v>
      </c>
      <c r="BG16" t="str">
        <f t="shared" si="24"/>
        <v>A</v>
      </c>
      <c r="BI16">
        <f t="shared" si="25"/>
        <v>3.5</v>
      </c>
      <c r="BJ16" t="str">
        <f t="shared" si="29"/>
        <v>Tennis</v>
      </c>
      <c r="BK16" t="str">
        <f t="shared" si="26"/>
        <v>A</v>
      </c>
      <c r="BM16" s="7">
        <f>COUNTIFS(BF:BF,BN16)</f>
        <v>53</v>
      </c>
      <c r="BN16" t="s">
        <v>117</v>
      </c>
    </row>
    <row r="17" spans="2:63">
      <c r="B17" s="18" t="s">
        <v>61</v>
      </c>
      <c r="C17" s="5">
        <v>4.5</v>
      </c>
      <c r="D17" s="19" t="s">
        <v>118</v>
      </c>
      <c r="E17" s="19" t="s">
        <v>121</v>
      </c>
      <c r="H17">
        <v>10</v>
      </c>
      <c r="I17">
        <v>2</v>
      </c>
      <c r="J17">
        <v>6</v>
      </c>
      <c r="K17">
        <v>10</v>
      </c>
      <c r="L17">
        <v>14</v>
      </c>
      <c r="M17">
        <v>18</v>
      </c>
      <c r="N17">
        <v>2</v>
      </c>
      <c r="O17">
        <v>6</v>
      </c>
      <c r="P17">
        <v>10</v>
      </c>
      <c r="Q17">
        <v>14</v>
      </c>
      <c r="R17">
        <v>18</v>
      </c>
      <c r="S17">
        <v>4</v>
      </c>
      <c r="T17">
        <v>8</v>
      </c>
      <c r="U17">
        <v>12</v>
      </c>
      <c r="V17">
        <v>16</v>
      </c>
      <c r="W17">
        <v>20</v>
      </c>
      <c r="X17">
        <v>4</v>
      </c>
      <c r="Y17">
        <v>8</v>
      </c>
      <c r="Z17">
        <v>12</v>
      </c>
      <c r="AA17">
        <v>16</v>
      </c>
      <c r="AB17">
        <v>20</v>
      </c>
      <c r="AD17">
        <f t="shared" si="27"/>
        <v>12</v>
      </c>
      <c r="AE17">
        <f t="shared" si="1"/>
        <v>28</v>
      </c>
      <c r="AF17">
        <f t="shared" si="2"/>
        <v>44</v>
      </c>
      <c r="AG17">
        <f t="shared" si="3"/>
        <v>60</v>
      </c>
      <c r="AH17">
        <f t="shared" si="4"/>
        <v>76</v>
      </c>
      <c r="AI17">
        <f t="shared" si="5"/>
        <v>100</v>
      </c>
      <c r="AJ17">
        <f t="shared" si="6"/>
        <v>120</v>
      </c>
      <c r="AK17">
        <f t="shared" si="7"/>
        <v>110</v>
      </c>
      <c r="AL17">
        <f t="shared" si="8"/>
        <v>110</v>
      </c>
      <c r="AN17" s="67">
        <f t="shared" si="28"/>
        <v>0</v>
      </c>
      <c r="AO17" s="67">
        <f t="shared" si="9"/>
        <v>0.14814814814814814</v>
      </c>
      <c r="AP17" s="67">
        <f t="shared" si="10"/>
        <v>0.29629629629629628</v>
      </c>
      <c r="AQ17" s="67">
        <f t="shared" si="11"/>
        <v>0.44444444444444442</v>
      </c>
      <c r="AR17" s="67">
        <f t="shared" si="12"/>
        <v>0.59259259259259256</v>
      </c>
      <c r="AS17" s="67">
        <f t="shared" si="13"/>
        <v>0.81481481481481477</v>
      </c>
      <c r="AT17" s="67">
        <f t="shared" si="14"/>
        <v>1</v>
      </c>
      <c r="AU17" s="67">
        <f t="shared" si="15"/>
        <v>0.90740740740740744</v>
      </c>
      <c r="AV17" s="67">
        <f t="shared" si="16"/>
        <v>0.90740740740740744</v>
      </c>
      <c r="AX17">
        <f t="shared" si="17"/>
        <v>0.59259259259259256</v>
      </c>
      <c r="AY17">
        <f t="shared" si="18"/>
        <v>0.18518518518518523</v>
      </c>
      <c r="AZ17">
        <f t="shared" si="19"/>
        <v>0</v>
      </c>
      <c r="BB17">
        <f t="shared" si="20"/>
        <v>0.76190476190476186</v>
      </c>
      <c r="BC17">
        <f t="shared" si="21"/>
        <v>0.23809523809523814</v>
      </c>
      <c r="BD17">
        <f t="shared" si="22"/>
        <v>0</v>
      </c>
      <c r="BF17" t="str">
        <f t="shared" si="23"/>
        <v>Price</v>
      </c>
      <c r="BG17">
        <f t="shared" si="24"/>
        <v>3.5</v>
      </c>
      <c r="BI17">
        <f t="shared" si="25"/>
        <v>3.5</v>
      </c>
      <c r="BJ17" t="str">
        <f t="shared" si="29"/>
        <v>Super Bowl</v>
      </c>
      <c r="BK17" t="str">
        <f t="shared" si="26"/>
        <v>B</v>
      </c>
    </row>
    <row r="18" spans="2:63">
      <c r="B18" s="18" t="s">
        <v>62</v>
      </c>
      <c r="C18" s="5">
        <v>3.5</v>
      </c>
      <c r="D18" s="19" t="s">
        <v>119</v>
      </c>
      <c r="E18" s="19" t="s">
        <v>120</v>
      </c>
      <c r="H18">
        <v>11</v>
      </c>
      <c r="I18">
        <v>11</v>
      </c>
      <c r="J18">
        <v>14</v>
      </c>
      <c r="K18">
        <v>17</v>
      </c>
      <c r="L18">
        <v>19</v>
      </c>
      <c r="M18">
        <v>20</v>
      </c>
      <c r="N18">
        <v>3</v>
      </c>
      <c r="O18">
        <v>6</v>
      </c>
      <c r="P18">
        <v>9</v>
      </c>
      <c r="Q18">
        <v>13</v>
      </c>
      <c r="R18">
        <v>16</v>
      </c>
      <c r="S18">
        <v>5</v>
      </c>
      <c r="T18">
        <v>8</v>
      </c>
      <c r="U18">
        <v>12</v>
      </c>
      <c r="V18">
        <v>15</v>
      </c>
      <c r="W18">
        <v>18</v>
      </c>
      <c r="X18">
        <v>1</v>
      </c>
      <c r="Y18">
        <v>2</v>
      </c>
      <c r="Z18">
        <v>4</v>
      </c>
      <c r="AA18">
        <v>7</v>
      </c>
      <c r="AB18">
        <v>10</v>
      </c>
      <c r="AD18">
        <f t="shared" si="27"/>
        <v>20</v>
      </c>
      <c r="AE18">
        <f t="shared" si="1"/>
        <v>30</v>
      </c>
      <c r="AF18">
        <f t="shared" si="2"/>
        <v>42</v>
      </c>
      <c r="AG18">
        <f t="shared" si="3"/>
        <v>54</v>
      </c>
      <c r="AH18">
        <f t="shared" si="4"/>
        <v>64</v>
      </c>
      <c r="AI18">
        <f t="shared" si="5"/>
        <v>128</v>
      </c>
      <c r="AJ18">
        <f t="shared" si="6"/>
        <v>82</v>
      </c>
      <c r="AK18">
        <f t="shared" si="7"/>
        <v>71</v>
      </c>
      <c r="AL18">
        <f t="shared" si="8"/>
        <v>139</v>
      </c>
      <c r="AN18" s="67">
        <f t="shared" si="28"/>
        <v>0</v>
      </c>
      <c r="AO18" s="67">
        <f t="shared" si="9"/>
        <v>8.4033613445378158E-2</v>
      </c>
      <c r="AP18" s="67">
        <f t="shared" si="10"/>
        <v>0.18487394957983194</v>
      </c>
      <c r="AQ18" s="67">
        <f t="shared" si="11"/>
        <v>0.2857142857142857</v>
      </c>
      <c r="AR18" s="67">
        <f t="shared" si="12"/>
        <v>0.36974789915966388</v>
      </c>
      <c r="AS18" s="67">
        <f t="shared" si="13"/>
        <v>0.90756302521008403</v>
      </c>
      <c r="AT18" s="67">
        <f t="shared" si="14"/>
        <v>0.52100840336134457</v>
      </c>
      <c r="AU18" s="67">
        <f t="shared" si="15"/>
        <v>0.42857142857142855</v>
      </c>
      <c r="AV18" s="67">
        <f t="shared" si="16"/>
        <v>1</v>
      </c>
      <c r="AX18">
        <f t="shared" si="17"/>
        <v>0.36974789915966388</v>
      </c>
      <c r="AY18">
        <f t="shared" si="18"/>
        <v>0.38655462184873945</v>
      </c>
      <c r="AZ18">
        <f t="shared" si="19"/>
        <v>0.5714285714285714</v>
      </c>
      <c r="BB18">
        <f t="shared" si="20"/>
        <v>0.27848101265822789</v>
      </c>
      <c r="BC18">
        <f t="shared" si="21"/>
        <v>0.29113924050632911</v>
      </c>
      <c r="BD18">
        <f t="shared" si="22"/>
        <v>0.43037974683544306</v>
      </c>
      <c r="BF18" t="str">
        <f t="shared" si="23"/>
        <v>Theme</v>
      </c>
      <c r="BG18" t="str">
        <f t="shared" si="24"/>
        <v>B</v>
      </c>
      <c r="BI18">
        <f t="shared" si="25"/>
        <v>3.5</v>
      </c>
      <c r="BJ18" t="str">
        <f t="shared" si="29"/>
        <v>Tennis</v>
      </c>
      <c r="BK18" t="str">
        <f t="shared" si="26"/>
        <v>B</v>
      </c>
    </row>
    <row r="19" spans="2:63">
      <c r="B19" s="18" t="s">
        <v>63</v>
      </c>
      <c r="C19" s="5">
        <v>3.75</v>
      </c>
      <c r="D19" s="19" t="s">
        <v>119</v>
      </c>
      <c r="E19" s="19" t="s">
        <v>120</v>
      </c>
      <c r="H19">
        <v>12</v>
      </c>
      <c r="I19">
        <v>4</v>
      </c>
      <c r="J19">
        <v>7</v>
      </c>
      <c r="K19">
        <v>10</v>
      </c>
      <c r="L19">
        <v>12</v>
      </c>
      <c r="M19">
        <v>15</v>
      </c>
      <c r="N19">
        <v>13</v>
      </c>
      <c r="O19">
        <v>16</v>
      </c>
      <c r="P19">
        <v>18</v>
      </c>
      <c r="Q19">
        <v>19</v>
      </c>
      <c r="R19">
        <v>20</v>
      </c>
      <c r="S19">
        <v>1</v>
      </c>
      <c r="T19">
        <v>2</v>
      </c>
      <c r="U19">
        <v>3</v>
      </c>
      <c r="V19">
        <v>5</v>
      </c>
      <c r="W19">
        <v>8</v>
      </c>
      <c r="X19">
        <v>6</v>
      </c>
      <c r="Y19">
        <v>9</v>
      </c>
      <c r="Z19">
        <v>11</v>
      </c>
      <c r="AA19">
        <v>14</v>
      </c>
      <c r="AB19">
        <v>17</v>
      </c>
      <c r="AD19">
        <f t="shared" si="27"/>
        <v>24</v>
      </c>
      <c r="AE19">
        <f t="shared" si="1"/>
        <v>34</v>
      </c>
      <c r="AF19">
        <f t="shared" si="2"/>
        <v>42</v>
      </c>
      <c r="AG19">
        <f t="shared" si="3"/>
        <v>50</v>
      </c>
      <c r="AH19">
        <f t="shared" si="4"/>
        <v>60</v>
      </c>
      <c r="AI19">
        <f t="shared" si="5"/>
        <v>134</v>
      </c>
      <c r="AJ19">
        <f t="shared" si="6"/>
        <v>76</v>
      </c>
      <c r="AK19">
        <f t="shared" si="7"/>
        <v>143</v>
      </c>
      <c r="AL19">
        <f t="shared" si="8"/>
        <v>67</v>
      </c>
      <c r="AN19" s="67">
        <f t="shared" si="28"/>
        <v>0</v>
      </c>
      <c r="AO19" s="67">
        <f t="shared" si="9"/>
        <v>8.4033613445378158E-2</v>
      </c>
      <c r="AP19" s="67">
        <f t="shared" si="10"/>
        <v>0.15126050420168066</v>
      </c>
      <c r="AQ19" s="67">
        <f t="shared" si="11"/>
        <v>0.21848739495798319</v>
      </c>
      <c r="AR19" s="67">
        <f t="shared" si="12"/>
        <v>0.30252100840336132</v>
      </c>
      <c r="AS19" s="67">
        <f t="shared" si="13"/>
        <v>0.92436974789915971</v>
      </c>
      <c r="AT19" s="67">
        <f t="shared" si="14"/>
        <v>0.43697478991596639</v>
      </c>
      <c r="AU19" s="67">
        <f t="shared" si="15"/>
        <v>1</v>
      </c>
      <c r="AV19" s="67">
        <f t="shared" si="16"/>
        <v>0.36134453781512604</v>
      </c>
      <c r="AX19">
        <f t="shared" si="17"/>
        <v>0.30252100840336132</v>
      </c>
      <c r="AY19">
        <f t="shared" si="18"/>
        <v>0.48739495798319332</v>
      </c>
      <c r="AZ19">
        <f t="shared" si="19"/>
        <v>0.6386554621848739</v>
      </c>
      <c r="BB19">
        <f t="shared" si="20"/>
        <v>0.21176470588235291</v>
      </c>
      <c r="BC19">
        <f t="shared" si="21"/>
        <v>0.3411764705882353</v>
      </c>
      <c r="BD19">
        <f t="shared" si="22"/>
        <v>0.44705882352941173</v>
      </c>
      <c r="BF19" t="str">
        <f t="shared" si="23"/>
        <v>Theme</v>
      </c>
      <c r="BG19" t="str">
        <f t="shared" si="24"/>
        <v>A</v>
      </c>
      <c r="BI19">
        <f t="shared" si="25"/>
        <v>3.5</v>
      </c>
      <c r="BJ19" t="str">
        <f t="shared" si="29"/>
        <v>Tennis</v>
      </c>
      <c r="BK19" t="str">
        <f t="shared" si="26"/>
        <v>A</v>
      </c>
    </row>
    <row r="20" spans="2:63">
      <c r="B20" s="18" t="s">
        <v>64</v>
      </c>
      <c r="C20" s="5">
        <v>4</v>
      </c>
      <c r="D20" s="19" t="s">
        <v>119</v>
      </c>
      <c r="E20" s="19" t="s">
        <v>120</v>
      </c>
      <c r="H20">
        <v>13</v>
      </c>
      <c r="I20">
        <v>2</v>
      </c>
      <c r="J20">
        <v>6</v>
      </c>
      <c r="K20">
        <v>10</v>
      </c>
      <c r="L20">
        <v>14</v>
      </c>
      <c r="M20">
        <v>18</v>
      </c>
      <c r="N20">
        <v>1</v>
      </c>
      <c r="O20">
        <v>5</v>
      </c>
      <c r="P20">
        <v>9</v>
      </c>
      <c r="Q20">
        <v>13</v>
      </c>
      <c r="R20">
        <v>17</v>
      </c>
      <c r="S20">
        <v>4</v>
      </c>
      <c r="T20">
        <v>8</v>
      </c>
      <c r="U20">
        <v>12</v>
      </c>
      <c r="V20">
        <v>16</v>
      </c>
      <c r="W20">
        <v>20</v>
      </c>
      <c r="X20">
        <v>3</v>
      </c>
      <c r="Y20">
        <v>7</v>
      </c>
      <c r="Z20">
        <v>11</v>
      </c>
      <c r="AA20">
        <v>15</v>
      </c>
      <c r="AB20">
        <v>19</v>
      </c>
      <c r="AD20">
        <f t="shared" si="27"/>
        <v>10</v>
      </c>
      <c r="AE20">
        <f t="shared" si="1"/>
        <v>26</v>
      </c>
      <c r="AF20">
        <f t="shared" si="2"/>
        <v>42</v>
      </c>
      <c r="AG20">
        <f t="shared" si="3"/>
        <v>58</v>
      </c>
      <c r="AH20">
        <f t="shared" si="4"/>
        <v>74</v>
      </c>
      <c r="AI20">
        <f t="shared" si="5"/>
        <v>95</v>
      </c>
      <c r="AJ20">
        <f t="shared" si="6"/>
        <v>115</v>
      </c>
      <c r="AK20">
        <f t="shared" si="7"/>
        <v>100</v>
      </c>
      <c r="AL20">
        <f t="shared" si="8"/>
        <v>110</v>
      </c>
      <c r="AN20" s="67">
        <f t="shared" si="28"/>
        <v>0</v>
      </c>
      <c r="AO20" s="67">
        <f t="shared" si="9"/>
        <v>0.15238095238095239</v>
      </c>
      <c r="AP20" s="67">
        <f t="shared" si="10"/>
        <v>0.30476190476190479</v>
      </c>
      <c r="AQ20" s="67">
        <f t="shared" si="11"/>
        <v>0.45714285714285713</v>
      </c>
      <c r="AR20" s="67">
        <f t="shared" si="12"/>
        <v>0.60952380952380958</v>
      </c>
      <c r="AS20" s="67">
        <f t="shared" si="13"/>
        <v>0.80952380952380953</v>
      </c>
      <c r="AT20" s="67">
        <f t="shared" si="14"/>
        <v>1</v>
      </c>
      <c r="AU20" s="67">
        <f t="shared" si="15"/>
        <v>0.8571428571428571</v>
      </c>
      <c r="AV20" s="67">
        <f t="shared" si="16"/>
        <v>0.95238095238095233</v>
      </c>
      <c r="AX20">
        <f t="shared" si="17"/>
        <v>0.60952380952380958</v>
      </c>
      <c r="AY20">
        <f t="shared" si="18"/>
        <v>0.19047619047619047</v>
      </c>
      <c r="AZ20">
        <f t="shared" si="19"/>
        <v>9.5238095238095233E-2</v>
      </c>
      <c r="BB20">
        <f t="shared" si="20"/>
        <v>0.68085106382978722</v>
      </c>
      <c r="BC20">
        <f t="shared" si="21"/>
        <v>0.21276595744680848</v>
      </c>
      <c r="BD20">
        <f t="shared" si="22"/>
        <v>0.10638297872340424</v>
      </c>
      <c r="BF20" t="str">
        <f t="shared" si="23"/>
        <v>Price</v>
      </c>
      <c r="BG20">
        <f t="shared" si="24"/>
        <v>3.5</v>
      </c>
      <c r="BI20">
        <f t="shared" si="25"/>
        <v>3.5</v>
      </c>
      <c r="BJ20" t="str">
        <f t="shared" si="29"/>
        <v>Super Bowl</v>
      </c>
      <c r="BK20" t="str">
        <f t="shared" si="26"/>
        <v>B</v>
      </c>
    </row>
    <row r="21" spans="2:63">
      <c r="B21" s="18" t="s">
        <v>65</v>
      </c>
      <c r="C21" s="5">
        <v>4.25</v>
      </c>
      <c r="D21" s="19" t="s">
        <v>119</v>
      </c>
      <c r="E21" s="19" t="s">
        <v>120</v>
      </c>
      <c r="H21">
        <v>14</v>
      </c>
      <c r="I21">
        <v>1</v>
      </c>
      <c r="J21">
        <v>2</v>
      </c>
      <c r="K21">
        <v>5</v>
      </c>
      <c r="L21">
        <v>8</v>
      </c>
      <c r="M21">
        <v>12</v>
      </c>
      <c r="N21">
        <v>3</v>
      </c>
      <c r="O21">
        <v>6</v>
      </c>
      <c r="P21">
        <v>10</v>
      </c>
      <c r="Q21">
        <v>14</v>
      </c>
      <c r="R21">
        <v>17</v>
      </c>
      <c r="S21">
        <v>4</v>
      </c>
      <c r="T21">
        <v>7</v>
      </c>
      <c r="U21">
        <v>11</v>
      </c>
      <c r="V21">
        <v>15</v>
      </c>
      <c r="W21">
        <v>18</v>
      </c>
      <c r="X21">
        <v>9</v>
      </c>
      <c r="Y21">
        <v>13</v>
      </c>
      <c r="Z21">
        <v>16</v>
      </c>
      <c r="AA21">
        <v>19</v>
      </c>
      <c r="AB21">
        <v>20</v>
      </c>
      <c r="AD21">
        <f t="shared" si="27"/>
        <v>17</v>
      </c>
      <c r="AE21">
        <f t="shared" si="1"/>
        <v>28</v>
      </c>
      <c r="AF21">
        <f t="shared" si="2"/>
        <v>42</v>
      </c>
      <c r="AG21">
        <f t="shared" si="3"/>
        <v>56</v>
      </c>
      <c r="AH21">
        <f t="shared" si="4"/>
        <v>67</v>
      </c>
      <c r="AI21">
        <f t="shared" si="5"/>
        <v>78</v>
      </c>
      <c r="AJ21">
        <f t="shared" si="6"/>
        <v>132</v>
      </c>
      <c r="AK21">
        <f t="shared" si="7"/>
        <v>127</v>
      </c>
      <c r="AL21">
        <f t="shared" si="8"/>
        <v>83</v>
      </c>
      <c r="AN21" s="67">
        <f t="shared" si="28"/>
        <v>0</v>
      </c>
      <c r="AO21" s="67">
        <f t="shared" si="9"/>
        <v>9.5652173913043481E-2</v>
      </c>
      <c r="AP21" s="67">
        <f t="shared" si="10"/>
        <v>0.21739130434782608</v>
      </c>
      <c r="AQ21" s="67">
        <f t="shared" si="11"/>
        <v>0.33913043478260868</v>
      </c>
      <c r="AR21" s="67">
        <f t="shared" si="12"/>
        <v>0.43478260869565216</v>
      </c>
      <c r="AS21" s="67">
        <f t="shared" si="13"/>
        <v>0.5304347826086957</v>
      </c>
      <c r="AT21" s="67">
        <f t="shared" si="14"/>
        <v>1</v>
      </c>
      <c r="AU21" s="67">
        <f t="shared" si="15"/>
        <v>0.95652173913043481</v>
      </c>
      <c r="AV21" s="67">
        <f t="shared" si="16"/>
        <v>0.57391304347826089</v>
      </c>
      <c r="AX21">
        <f t="shared" si="17"/>
        <v>0.43478260869565216</v>
      </c>
      <c r="AY21">
        <f t="shared" si="18"/>
        <v>0.4695652173913043</v>
      </c>
      <c r="AZ21">
        <f t="shared" si="19"/>
        <v>0.38260869565217392</v>
      </c>
      <c r="BB21">
        <f t="shared" si="20"/>
        <v>0.33783783783783783</v>
      </c>
      <c r="BC21">
        <f t="shared" si="21"/>
        <v>0.36486486486486486</v>
      </c>
      <c r="BD21">
        <f t="shared" si="22"/>
        <v>0.29729729729729731</v>
      </c>
      <c r="BF21" t="str">
        <f t="shared" si="23"/>
        <v xml:space="preserve">Brand </v>
      </c>
      <c r="BG21" t="str">
        <f t="shared" si="24"/>
        <v>Super Bowl</v>
      </c>
      <c r="BI21">
        <f t="shared" si="25"/>
        <v>3.5</v>
      </c>
      <c r="BJ21" t="str">
        <f t="shared" si="29"/>
        <v>Super Bowl</v>
      </c>
      <c r="BK21" t="str">
        <f t="shared" si="26"/>
        <v>A</v>
      </c>
    </row>
    <row r="22" spans="2:63">
      <c r="B22" s="18" t="s">
        <v>66</v>
      </c>
      <c r="C22" s="5">
        <v>4.5</v>
      </c>
      <c r="D22" s="19" t="s">
        <v>119</v>
      </c>
      <c r="E22" s="19" t="s">
        <v>120</v>
      </c>
      <c r="H22">
        <v>15</v>
      </c>
      <c r="I22">
        <v>1</v>
      </c>
      <c r="J22">
        <v>2</v>
      </c>
      <c r="K22">
        <v>4</v>
      </c>
      <c r="L22">
        <v>6</v>
      </c>
      <c r="M22">
        <v>9</v>
      </c>
      <c r="N22">
        <v>7</v>
      </c>
      <c r="O22">
        <v>10</v>
      </c>
      <c r="P22">
        <v>13</v>
      </c>
      <c r="Q22">
        <v>16</v>
      </c>
      <c r="R22">
        <v>18</v>
      </c>
      <c r="S22">
        <v>3</v>
      </c>
      <c r="T22">
        <v>5</v>
      </c>
      <c r="U22">
        <v>8</v>
      </c>
      <c r="V22">
        <v>11</v>
      </c>
      <c r="W22">
        <v>14</v>
      </c>
      <c r="X22">
        <v>12</v>
      </c>
      <c r="Y22">
        <v>15</v>
      </c>
      <c r="Z22">
        <v>17</v>
      </c>
      <c r="AA22">
        <v>19</v>
      </c>
      <c r="AB22">
        <v>20</v>
      </c>
      <c r="AD22">
        <f t="shared" si="27"/>
        <v>23</v>
      </c>
      <c r="AE22">
        <f t="shared" si="1"/>
        <v>32</v>
      </c>
      <c r="AF22">
        <f t="shared" si="2"/>
        <v>42</v>
      </c>
      <c r="AG22">
        <f t="shared" si="3"/>
        <v>52</v>
      </c>
      <c r="AH22">
        <f t="shared" si="4"/>
        <v>61</v>
      </c>
      <c r="AI22">
        <f t="shared" si="5"/>
        <v>86</v>
      </c>
      <c r="AJ22">
        <f t="shared" si="6"/>
        <v>124</v>
      </c>
      <c r="AK22">
        <f t="shared" si="7"/>
        <v>147</v>
      </c>
      <c r="AL22">
        <f t="shared" si="8"/>
        <v>63</v>
      </c>
      <c r="AN22" s="67">
        <f t="shared" si="28"/>
        <v>0</v>
      </c>
      <c r="AO22" s="67">
        <f t="shared" si="9"/>
        <v>7.2580645161290328E-2</v>
      </c>
      <c r="AP22" s="67">
        <f t="shared" si="10"/>
        <v>0.15322580645161291</v>
      </c>
      <c r="AQ22" s="67">
        <f t="shared" si="11"/>
        <v>0.23387096774193547</v>
      </c>
      <c r="AR22" s="67">
        <f t="shared" si="12"/>
        <v>0.30645161290322581</v>
      </c>
      <c r="AS22" s="67">
        <f t="shared" si="13"/>
        <v>0.50806451612903225</v>
      </c>
      <c r="AT22" s="67">
        <f t="shared" si="14"/>
        <v>0.81451612903225812</v>
      </c>
      <c r="AU22" s="67">
        <f t="shared" si="15"/>
        <v>1</v>
      </c>
      <c r="AV22" s="67">
        <f t="shared" si="16"/>
        <v>0.32258064516129031</v>
      </c>
      <c r="AX22">
        <f t="shared" si="17"/>
        <v>0.30645161290322581</v>
      </c>
      <c r="AY22">
        <f t="shared" si="18"/>
        <v>0.30645161290322587</v>
      </c>
      <c r="AZ22">
        <f t="shared" si="19"/>
        <v>0.67741935483870974</v>
      </c>
      <c r="BB22">
        <f t="shared" si="20"/>
        <v>0.23749999999999996</v>
      </c>
      <c r="BC22">
        <f t="shared" si="21"/>
        <v>0.23750000000000002</v>
      </c>
      <c r="BD22">
        <f t="shared" si="22"/>
        <v>0.52500000000000002</v>
      </c>
      <c r="BF22" t="str">
        <f t="shared" si="23"/>
        <v>Theme</v>
      </c>
      <c r="BG22" t="str">
        <f t="shared" si="24"/>
        <v>A</v>
      </c>
      <c r="BI22">
        <f t="shared" si="25"/>
        <v>3.5</v>
      </c>
      <c r="BJ22" t="str">
        <f t="shared" si="29"/>
        <v>Super Bowl</v>
      </c>
      <c r="BK22" t="str">
        <f t="shared" si="26"/>
        <v>A</v>
      </c>
    </row>
    <row r="23" spans="2:63">
      <c r="B23" s="18" t="s">
        <v>67</v>
      </c>
      <c r="C23" s="5">
        <v>3.5</v>
      </c>
      <c r="D23" s="19" t="s">
        <v>119</v>
      </c>
      <c r="E23" s="19" t="s">
        <v>121</v>
      </c>
      <c r="H23">
        <v>16</v>
      </c>
      <c r="I23">
        <v>1</v>
      </c>
      <c r="J23">
        <v>2</v>
      </c>
      <c r="K23">
        <v>3</v>
      </c>
      <c r="L23">
        <v>6</v>
      </c>
      <c r="M23">
        <v>9</v>
      </c>
      <c r="N23">
        <v>4</v>
      </c>
      <c r="O23">
        <v>7</v>
      </c>
      <c r="P23">
        <v>10</v>
      </c>
      <c r="Q23">
        <v>13</v>
      </c>
      <c r="R23">
        <v>16</v>
      </c>
      <c r="S23">
        <v>6</v>
      </c>
      <c r="T23">
        <v>9</v>
      </c>
      <c r="U23">
        <v>11</v>
      </c>
      <c r="V23">
        <v>14</v>
      </c>
      <c r="W23">
        <v>17</v>
      </c>
      <c r="X23">
        <v>13</v>
      </c>
      <c r="Y23">
        <v>16</v>
      </c>
      <c r="Z23">
        <v>18</v>
      </c>
      <c r="AA23">
        <v>19</v>
      </c>
      <c r="AB23">
        <v>20</v>
      </c>
      <c r="AD23">
        <f t="shared" si="27"/>
        <v>24</v>
      </c>
      <c r="AE23">
        <f t="shared" si="1"/>
        <v>34</v>
      </c>
      <c r="AF23">
        <f t="shared" si="2"/>
        <v>42</v>
      </c>
      <c r="AG23">
        <f t="shared" si="3"/>
        <v>52</v>
      </c>
      <c r="AH23">
        <f t="shared" si="4"/>
        <v>62</v>
      </c>
      <c r="AI23">
        <f t="shared" si="5"/>
        <v>71</v>
      </c>
      <c r="AJ23">
        <f t="shared" si="6"/>
        <v>143</v>
      </c>
      <c r="AK23">
        <f t="shared" si="7"/>
        <v>136</v>
      </c>
      <c r="AL23">
        <f t="shared" si="8"/>
        <v>78</v>
      </c>
      <c r="AN23" s="67">
        <f t="shared" si="28"/>
        <v>0</v>
      </c>
      <c r="AO23" s="67">
        <f t="shared" si="9"/>
        <v>8.4033613445378158E-2</v>
      </c>
      <c r="AP23" s="67">
        <f t="shared" si="10"/>
        <v>0.15126050420168066</v>
      </c>
      <c r="AQ23" s="67">
        <f t="shared" si="11"/>
        <v>0.23529411764705882</v>
      </c>
      <c r="AR23" s="67">
        <f t="shared" si="12"/>
        <v>0.31932773109243695</v>
      </c>
      <c r="AS23" s="67">
        <f t="shared" si="13"/>
        <v>0.3949579831932773</v>
      </c>
      <c r="AT23" s="67">
        <f t="shared" si="14"/>
        <v>1</v>
      </c>
      <c r="AU23" s="67">
        <f t="shared" si="15"/>
        <v>0.94117647058823528</v>
      </c>
      <c r="AV23" s="67">
        <f t="shared" si="16"/>
        <v>0.45378151260504201</v>
      </c>
      <c r="AX23">
        <f t="shared" si="17"/>
        <v>0.31932773109243695</v>
      </c>
      <c r="AY23">
        <f t="shared" si="18"/>
        <v>0.60504201680672276</v>
      </c>
      <c r="AZ23">
        <f t="shared" si="19"/>
        <v>0.48739495798319327</v>
      </c>
      <c r="BB23">
        <f t="shared" si="20"/>
        <v>0.22619047619047616</v>
      </c>
      <c r="BC23">
        <f t="shared" si="21"/>
        <v>0.4285714285714286</v>
      </c>
      <c r="BD23">
        <f t="shared" si="22"/>
        <v>0.34523809523809523</v>
      </c>
      <c r="BF23" t="str">
        <f t="shared" si="23"/>
        <v xml:space="preserve">Brand </v>
      </c>
      <c r="BG23" t="str">
        <f t="shared" si="24"/>
        <v>Super Bowl</v>
      </c>
      <c r="BI23">
        <f t="shared" si="25"/>
        <v>3.5</v>
      </c>
      <c r="BJ23" t="str">
        <f t="shared" si="29"/>
        <v>Super Bowl</v>
      </c>
      <c r="BK23" t="str">
        <f t="shared" si="26"/>
        <v>A</v>
      </c>
    </row>
    <row r="24" spans="2:63">
      <c r="B24" s="18" t="s">
        <v>68</v>
      </c>
      <c r="C24" s="5">
        <v>3.75</v>
      </c>
      <c r="D24" s="19" t="s">
        <v>119</v>
      </c>
      <c r="E24" s="19" t="s">
        <v>121</v>
      </c>
      <c r="H24">
        <v>17</v>
      </c>
      <c r="I24">
        <v>1</v>
      </c>
      <c r="J24">
        <v>2</v>
      </c>
      <c r="K24">
        <v>4</v>
      </c>
      <c r="L24">
        <v>7</v>
      </c>
      <c r="M24">
        <v>10</v>
      </c>
      <c r="N24">
        <v>3</v>
      </c>
      <c r="O24">
        <v>6</v>
      </c>
      <c r="P24">
        <v>9</v>
      </c>
      <c r="Q24">
        <v>13</v>
      </c>
      <c r="R24">
        <v>16</v>
      </c>
      <c r="S24">
        <v>5</v>
      </c>
      <c r="T24">
        <v>8</v>
      </c>
      <c r="U24">
        <v>12</v>
      </c>
      <c r="V24">
        <v>15</v>
      </c>
      <c r="W24">
        <v>18</v>
      </c>
      <c r="X24">
        <v>11</v>
      </c>
      <c r="Y24">
        <v>14</v>
      </c>
      <c r="Z24">
        <v>17</v>
      </c>
      <c r="AA24">
        <v>19</v>
      </c>
      <c r="AB24">
        <v>20</v>
      </c>
      <c r="AD24">
        <f t="shared" si="27"/>
        <v>20</v>
      </c>
      <c r="AE24">
        <f t="shared" si="1"/>
        <v>30</v>
      </c>
      <c r="AF24">
        <f t="shared" si="2"/>
        <v>42</v>
      </c>
      <c r="AG24">
        <f t="shared" si="3"/>
        <v>54</v>
      </c>
      <c r="AH24">
        <f t="shared" si="4"/>
        <v>64</v>
      </c>
      <c r="AI24">
        <f t="shared" si="5"/>
        <v>71</v>
      </c>
      <c r="AJ24">
        <f t="shared" si="6"/>
        <v>139</v>
      </c>
      <c r="AK24">
        <f t="shared" si="7"/>
        <v>128</v>
      </c>
      <c r="AL24">
        <f t="shared" si="8"/>
        <v>82</v>
      </c>
      <c r="AN24" s="67">
        <f t="shared" si="28"/>
        <v>0</v>
      </c>
      <c r="AO24" s="67">
        <f t="shared" si="9"/>
        <v>8.4033613445378158E-2</v>
      </c>
      <c r="AP24" s="67">
        <f t="shared" si="10"/>
        <v>0.18487394957983194</v>
      </c>
      <c r="AQ24" s="67">
        <f t="shared" si="11"/>
        <v>0.2857142857142857</v>
      </c>
      <c r="AR24" s="67">
        <f t="shared" si="12"/>
        <v>0.36974789915966388</v>
      </c>
      <c r="AS24" s="67">
        <f t="shared" si="13"/>
        <v>0.42857142857142855</v>
      </c>
      <c r="AT24" s="67">
        <f t="shared" si="14"/>
        <v>1</v>
      </c>
      <c r="AU24" s="67">
        <f t="shared" si="15"/>
        <v>0.90756302521008403</v>
      </c>
      <c r="AV24" s="67">
        <f t="shared" si="16"/>
        <v>0.52100840336134457</v>
      </c>
      <c r="AX24">
        <f t="shared" si="17"/>
        <v>0.36974789915966388</v>
      </c>
      <c r="AY24">
        <f t="shared" si="18"/>
        <v>0.5714285714285714</v>
      </c>
      <c r="AZ24">
        <f t="shared" si="19"/>
        <v>0.38655462184873945</v>
      </c>
      <c r="BB24">
        <f t="shared" si="20"/>
        <v>0.27848101265822789</v>
      </c>
      <c r="BC24">
        <f t="shared" si="21"/>
        <v>0.43037974683544306</v>
      </c>
      <c r="BD24">
        <f t="shared" si="22"/>
        <v>0.29113924050632911</v>
      </c>
      <c r="BF24" t="str">
        <f t="shared" si="23"/>
        <v xml:space="preserve">Brand </v>
      </c>
      <c r="BG24" t="str">
        <f t="shared" si="24"/>
        <v>Super Bowl</v>
      </c>
      <c r="BI24">
        <f t="shared" si="25"/>
        <v>3.5</v>
      </c>
      <c r="BJ24" t="str">
        <f t="shared" si="29"/>
        <v>Super Bowl</v>
      </c>
      <c r="BK24" t="str">
        <f t="shared" si="26"/>
        <v>A</v>
      </c>
    </row>
    <row r="25" spans="2:63">
      <c r="B25" s="18" t="s">
        <v>69</v>
      </c>
      <c r="C25" s="5">
        <v>4</v>
      </c>
      <c r="D25" s="19" t="s">
        <v>119</v>
      </c>
      <c r="E25" s="19" t="s">
        <v>121</v>
      </c>
      <c r="H25">
        <v>18</v>
      </c>
      <c r="I25">
        <v>6</v>
      </c>
      <c r="J25">
        <v>9</v>
      </c>
      <c r="K25">
        <v>13</v>
      </c>
      <c r="L25">
        <v>16</v>
      </c>
      <c r="M25">
        <v>18</v>
      </c>
      <c r="N25">
        <v>11</v>
      </c>
      <c r="O25">
        <v>14</v>
      </c>
      <c r="P25">
        <v>17</v>
      </c>
      <c r="Q25">
        <v>19</v>
      </c>
      <c r="R25">
        <v>20</v>
      </c>
      <c r="S25">
        <v>1</v>
      </c>
      <c r="T25">
        <v>2</v>
      </c>
      <c r="U25">
        <v>4</v>
      </c>
      <c r="V25">
        <v>7</v>
      </c>
      <c r="W25">
        <v>10</v>
      </c>
      <c r="X25">
        <v>3</v>
      </c>
      <c r="Y25">
        <v>5</v>
      </c>
      <c r="Z25">
        <v>8</v>
      </c>
      <c r="AA25">
        <v>12</v>
      </c>
      <c r="AB25">
        <v>15</v>
      </c>
      <c r="AD25">
        <f t="shared" si="27"/>
        <v>21</v>
      </c>
      <c r="AE25">
        <f t="shared" si="1"/>
        <v>30</v>
      </c>
      <c r="AF25">
        <f t="shared" si="2"/>
        <v>42</v>
      </c>
      <c r="AG25">
        <f t="shared" si="3"/>
        <v>54</v>
      </c>
      <c r="AH25">
        <f t="shared" si="4"/>
        <v>63</v>
      </c>
      <c r="AI25">
        <f t="shared" si="5"/>
        <v>143</v>
      </c>
      <c r="AJ25">
        <f t="shared" si="6"/>
        <v>67</v>
      </c>
      <c r="AK25">
        <f t="shared" si="7"/>
        <v>124</v>
      </c>
      <c r="AL25">
        <f t="shared" si="8"/>
        <v>86</v>
      </c>
      <c r="AN25" s="67">
        <f t="shared" si="28"/>
        <v>0</v>
      </c>
      <c r="AO25" s="67">
        <f t="shared" si="9"/>
        <v>7.3770491803278687E-2</v>
      </c>
      <c r="AP25" s="67">
        <f t="shared" si="10"/>
        <v>0.1721311475409836</v>
      </c>
      <c r="AQ25" s="67">
        <f t="shared" si="11"/>
        <v>0.27049180327868855</v>
      </c>
      <c r="AR25" s="67">
        <f t="shared" si="12"/>
        <v>0.34426229508196721</v>
      </c>
      <c r="AS25" s="67">
        <f t="shared" si="13"/>
        <v>1</v>
      </c>
      <c r="AT25" s="67">
        <f t="shared" si="14"/>
        <v>0.37704918032786883</v>
      </c>
      <c r="AU25" s="67">
        <f t="shared" si="15"/>
        <v>0.84426229508196726</v>
      </c>
      <c r="AV25" s="67">
        <f t="shared" si="16"/>
        <v>0.53278688524590168</v>
      </c>
      <c r="AX25">
        <f t="shared" si="17"/>
        <v>0.34426229508196721</v>
      </c>
      <c r="AY25">
        <f t="shared" si="18"/>
        <v>0.62295081967213117</v>
      </c>
      <c r="AZ25">
        <f t="shared" si="19"/>
        <v>0.31147540983606559</v>
      </c>
      <c r="BB25">
        <f t="shared" si="20"/>
        <v>0.26923076923076922</v>
      </c>
      <c r="BC25">
        <f t="shared" si="21"/>
        <v>0.48717948717948717</v>
      </c>
      <c r="BD25">
        <f t="shared" si="22"/>
        <v>0.24358974358974358</v>
      </c>
      <c r="BF25" t="str">
        <f t="shared" si="23"/>
        <v xml:space="preserve">Brand </v>
      </c>
      <c r="BG25" t="str">
        <f t="shared" si="24"/>
        <v>Tennis</v>
      </c>
      <c r="BI25">
        <f t="shared" si="25"/>
        <v>3.5</v>
      </c>
      <c r="BJ25" t="str">
        <f t="shared" si="29"/>
        <v>Tennis</v>
      </c>
      <c r="BK25" t="str">
        <f t="shared" si="26"/>
        <v>A</v>
      </c>
    </row>
    <row r="26" spans="2:63">
      <c r="B26" s="18" t="s">
        <v>70</v>
      </c>
      <c r="C26" s="5">
        <v>4.25</v>
      </c>
      <c r="D26" s="19" t="s">
        <v>119</v>
      </c>
      <c r="E26" s="19" t="s">
        <v>121</v>
      </c>
      <c r="H26">
        <v>19</v>
      </c>
      <c r="I26">
        <v>3</v>
      </c>
      <c r="J26">
        <v>7</v>
      </c>
      <c r="K26">
        <v>11</v>
      </c>
      <c r="L26">
        <v>15</v>
      </c>
      <c r="M26">
        <v>19</v>
      </c>
      <c r="N26">
        <v>4</v>
      </c>
      <c r="O26">
        <v>8</v>
      </c>
      <c r="P26">
        <v>12</v>
      </c>
      <c r="Q26">
        <v>16</v>
      </c>
      <c r="R26">
        <v>20</v>
      </c>
      <c r="S26">
        <v>1</v>
      </c>
      <c r="T26">
        <v>5</v>
      </c>
      <c r="U26">
        <v>9</v>
      </c>
      <c r="V26">
        <v>13</v>
      </c>
      <c r="W26">
        <v>17</v>
      </c>
      <c r="X26">
        <v>2</v>
      </c>
      <c r="Y26">
        <v>6</v>
      </c>
      <c r="Z26">
        <v>10</v>
      </c>
      <c r="AA26">
        <v>14</v>
      </c>
      <c r="AB26">
        <v>18</v>
      </c>
      <c r="AD26">
        <f t="shared" si="27"/>
        <v>10</v>
      </c>
      <c r="AE26">
        <f t="shared" si="1"/>
        <v>26</v>
      </c>
      <c r="AF26">
        <f t="shared" si="2"/>
        <v>42</v>
      </c>
      <c r="AG26">
        <f t="shared" si="3"/>
        <v>58</v>
      </c>
      <c r="AH26">
        <f t="shared" si="4"/>
        <v>74</v>
      </c>
      <c r="AI26">
        <f t="shared" si="5"/>
        <v>115</v>
      </c>
      <c r="AJ26">
        <f t="shared" si="6"/>
        <v>95</v>
      </c>
      <c r="AK26">
        <f t="shared" si="7"/>
        <v>110</v>
      </c>
      <c r="AL26">
        <f t="shared" si="8"/>
        <v>100</v>
      </c>
      <c r="AN26" s="67">
        <f t="shared" si="28"/>
        <v>0</v>
      </c>
      <c r="AO26" s="67">
        <f t="shared" si="9"/>
        <v>0.15238095238095239</v>
      </c>
      <c r="AP26" s="67">
        <f t="shared" si="10"/>
        <v>0.30476190476190479</v>
      </c>
      <c r="AQ26" s="67">
        <f t="shared" si="11"/>
        <v>0.45714285714285713</v>
      </c>
      <c r="AR26" s="67">
        <f t="shared" si="12"/>
        <v>0.60952380952380958</v>
      </c>
      <c r="AS26" s="67">
        <f t="shared" si="13"/>
        <v>1</v>
      </c>
      <c r="AT26" s="67">
        <f t="shared" si="14"/>
        <v>0.80952380952380953</v>
      </c>
      <c r="AU26" s="67">
        <f t="shared" si="15"/>
        <v>0.95238095238095233</v>
      </c>
      <c r="AV26" s="67">
        <f t="shared" si="16"/>
        <v>0.8571428571428571</v>
      </c>
      <c r="AX26">
        <f t="shared" si="17"/>
        <v>0.60952380952380958</v>
      </c>
      <c r="AY26">
        <f t="shared" si="18"/>
        <v>0.19047619047619047</v>
      </c>
      <c r="AZ26">
        <f t="shared" si="19"/>
        <v>9.5238095238095233E-2</v>
      </c>
      <c r="BB26">
        <f t="shared" si="20"/>
        <v>0.68085106382978722</v>
      </c>
      <c r="BC26">
        <f t="shared" si="21"/>
        <v>0.21276595744680848</v>
      </c>
      <c r="BD26">
        <f t="shared" si="22"/>
        <v>0.10638297872340424</v>
      </c>
      <c r="BF26" t="str">
        <f t="shared" si="23"/>
        <v>Price</v>
      </c>
      <c r="BG26">
        <f t="shared" si="24"/>
        <v>3.5</v>
      </c>
      <c r="BI26">
        <f t="shared" si="25"/>
        <v>3.5</v>
      </c>
      <c r="BJ26" t="str">
        <f t="shared" si="29"/>
        <v>Tennis</v>
      </c>
      <c r="BK26" t="str">
        <f t="shared" si="26"/>
        <v>A</v>
      </c>
    </row>
    <row r="27" spans="2:63">
      <c r="B27" s="18" t="s">
        <v>71</v>
      </c>
      <c r="C27" s="5">
        <v>4.5</v>
      </c>
      <c r="D27" s="19" t="s">
        <v>119</v>
      </c>
      <c r="E27" s="19" t="s">
        <v>121</v>
      </c>
      <c r="H27">
        <v>20</v>
      </c>
      <c r="I27">
        <v>10</v>
      </c>
      <c r="J27">
        <v>14</v>
      </c>
      <c r="K27">
        <v>17</v>
      </c>
      <c r="L27">
        <v>19</v>
      </c>
      <c r="M27">
        <v>20</v>
      </c>
      <c r="N27">
        <v>5</v>
      </c>
      <c r="O27">
        <v>8</v>
      </c>
      <c r="P27">
        <v>12</v>
      </c>
      <c r="Q27">
        <v>15</v>
      </c>
      <c r="R27">
        <v>18</v>
      </c>
      <c r="S27">
        <v>3</v>
      </c>
      <c r="T27">
        <v>6</v>
      </c>
      <c r="U27">
        <v>9</v>
      </c>
      <c r="V27">
        <v>13</v>
      </c>
      <c r="W27">
        <v>16</v>
      </c>
      <c r="X27">
        <v>1</v>
      </c>
      <c r="Y27">
        <v>2</v>
      </c>
      <c r="Z27">
        <v>4</v>
      </c>
      <c r="AA27">
        <v>7</v>
      </c>
      <c r="AB27">
        <v>11</v>
      </c>
      <c r="AD27">
        <f t="shared" si="27"/>
        <v>19</v>
      </c>
      <c r="AE27">
        <f t="shared" si="1"/>
        <v>30</v>
      </c>
      <c r="AF27">
        <f t="shared" si="2"/>
        <v>42</v>
      </c>
      <c r="AG27">
        <f t="shared" si="3"/>
        <v>54</v>
      </c>
      <c r="AH27">
        <f t="shared" si="4"/>
        <v>65</v>
      </c>
      <c r="AI27">
        <f t="shared" si="5"/>
        <v>138</v>
      </c>
      <c r="AJ27">
        <f t="shared" si="6"/>
        <v>72</v>
      </c>
      <c r="AK27">
        <f t="shared" si="7"/>
        <v>83</v>
      </c>
      <c r="AL27">
        <f t="shared" si="8"/>
        <v>127</v>
      </c>
      <c r="AN27" s="67">
        <f t="shared" si="28"/>
        <v>0</v>
      </c>
      <c r="AO27" s="67">
        <f t="shared" si="9"/>
        <v>9.2436974789915971E-2</v>
      </c>
      <c r="AP27" s="67">
        <f t="shared" si="10"/>
        <v>0.19327731092436976</v>
      </c>
      <c r="AQ27" s="67">
        <f t="shared" si="11"/>
        <v>0.29411764705882354</v>
      </c>
      <c r="AR27" s="67">
        <f t="shared" si="12"/>
        <v>0.38655462184873951</v>
      </c>
      <c r="AS27" s="67">
        <f t="shared" si="13"/>
        <v>1</v>
      </c>
      <c r="AT27" s="67">
        <f t="shared" si="14"/>
        <v>0.44537815126050423</v>
      </c>
      <c r="AU27" s="67">
        <f t="shared" si="15"/>
        <v>0.53781512605042014</v>
      </c>
      <c r="AV27" s="67">
        <f t="shared" si="16"/>
        <v>0.90756302521008403</v>
      </c>
      <c r="AX27">
        <f t="shared" si="17"/>
        <v>0.38655462184873951</v>
      </c>
      <c r="AY27">
        <f t="shared" si="18"/>
        <v>0.55462184873949583</v>
      </c>
      <c r="AZ27">
        <f t="shared" si="19"/>
        <v>0.36974789915966388</v>
      </c>
      <c r="BB27">
        <f t="shared" si="20"/>
        <v>0.29487179487179488</v>
      </c>
      <c r="BC27">
        <f t="shared" si="21"/>
        <v>0.42307692307692307</v>
      </c>
      <c r="BD27">
        <f t="shared" si="22"/>
        <v>0.28205128205128205</v>
      </c>
      <c r="BF27" t="str">
        <f t="shared" si="23"/>
        <v xml:space="preserve">Brand </v>
      </c>
      <c r="BG27" t="str">
        <f t="shared" si="24"/>
        <v>Tennis</v>
      </c>
      <c r="BI27">
        <f t="shared" si="25"/>
        <v>3.5</v>
      </c>
      <c r="BJ27" t="str">
        <f t="shared" si="29"/>
        <v>Tennis</v>
      </c>
      <c r="BK27" t="str">
        <f t="shared" si="26"/>
        <v>B</v>
      </c>
    </row>
    <row r="28" spans="2:63">
      <c r="H28">
        <v>21</v>
      </c>
      <c r="I28">
        <v>5</v>
      </c>
      <c r="J28">
        <v>9</v>
      </c>
      <c r="K28">
        <v>13</v>
      </c>
      <c r="L28">
        <v>16</v>
      </c>
      <c r="M28">
        <v>20</v>
      </c>
      <c r="N28">
        <v>2</v>
      </c>
      <c r="O28">
        <v>6</v>
      </c>
      <c r="P28">
        <v>10</v>
      </c>
      <c r="Q28">
        <v>14</v>
      </c>
      <c r="R28">
        <v>18</v>
      </c>
      <c r="S28">
        <v>3</v>
      </c>
      <c r="T28">
        <v>7</v>
      </c>
      <c r="U28">
        <v>11</v>
      </c>
      <c r="V28">
        <v>15</v>
      </c>
      <c r="W28">
        <v>19</v>
      </c>
      <c r="X28">
        <v>1</v>
      </c>
      <c r="Y28">
        <v>4</v>
      </c>
      <c r="Z28">
        <v>8</v>
      </c>
      <c r="AA28">
        <v>13</v>
      </c>
      <c r="AB28">
        <v>17</v>
      </c>
      <c r="AD28">
        <f t="shared" si="27"/>
        <v>11</v>
      </c>
      <c r="AE28">
        <f t="shared" si="1"/>
        <v>26</v>
      </c>
      <c r="AF28">
        <f t="shared" si="2"/>
        <v>42</v>
      </c>
      <c r="AG28">
        <f t="shared" si="3"/>
        <v>58</v>
      </c>
      <c r="AH28">
        <f t="shared" si="4"/>
        <v>74</v>
      </c>
      <c r="AI28">
        <f t="shared" si="5"/>
        <v>113</v>
      </c>
      <c r="AJ28">
        <f t="shared" si="6"/>
        <v>98</v>
      </c>
      <c r="AK28">
        <f t="shared" si="7"/>
        <v>93</v>
      </c>
      <c r="AL28">
        <f t="shared" si="8"/>
        <v>118</v>
      </c>
      <c r="AN28" s="67">
        <f t="shared" si="28"/>
        <v>0</v>
      </c>
      <c r="AO28" s="67">
        <f t="shared" si="9"/>
        <v>0.14018691588785046</v>
      </c>
      <c r="AP28" s="67">
        <f t="shared" si="10"/>
        <v>0.28971962616822428</v>
      </c>
      <c r="AQ28" s="67">
        <f t="shared" si="11"/>
        <v>0.43925233644859812</v>
      </c>
      <c r="AR28" s="67">
        <f t="shared" si="12"/>
        <v>0.58878504672897192</v>
      </c>
      <c r="AS28" s="67">
        <f t="shared" si="13"/>
        <v>0.95327102803738317</v>
      </c>
      <c r="AT28" s="67">
        <f t="shared" si="14"/>
        <v>0.81308411214953269</v>
      </c>
      <c r="AU28" s="67">
        <f t="shared" si="15"/>
        <v>0.76635514018691586</v>
      </c>
      <c r="AV28" s="67">
        <f t="shared" si="16"/>
        <v>1</v>
      </c>
      <c r="AX28">
        <f t="shared" si="17"/>
        <v>0.58878504672897192</v>
      </c>
      <c r="AY28">
        <f t="shared" si="18"/>
        <v>0.14018691588785048</v>
      </c>
      <c r="AZ28">
        <f t="shared" si="19"/>
        <v>0.23364485981308414</v>
      </c>
      <c r="BB28">
        <f t="shared" si="20"/>
        <v>0.61165048543689315</v>
      </c>
      <c r="BC28">
        <f t="shared" si="21"/>
        <v>0.14563106796116507</v>
      </c>
      <c r="BD28">
        <f t="shared" si="22"/>
        <v>0.24271844660194178</v>
      </c>
      <c r="BF28" t="str">
        <f t="shared" si="23"/>
        <v>Price</v>
      </c>
      <c r="BG28">
        <f t="shared" si="24"/>
        <v>3.5</v>
      </c>
      <c r="BI28">
        <f t="shared" si="25"/>
        <v>3.5</v>
      </c>
      <c r="BJ28" t="str">
        <f t="shared" si="29"/>
        <v>Tennis</v>
      </c>
      <c r="BK28" t="str">
        <f t="shared" si="26"/>
        <v>B</v>
      </c>
    </row>
    <row r="29" spans="2:63">
      <c r="B29" t="s">
        <v>78</v>
      </c>
      <c r="C29" s="5" t="s">
        <v>79</v>
      </c>
      <c r="D29" t="s">
        <v>80</v>
      </c>
      <c r="E29" t="s">
        <v>81</v>
      </c>
      <c r="H29">
        <v>22</v>
      </c>
      <c r="I29">
        <v>3</v>
      </c>
      <c r="J29">
        <v>6</v>
      </c>
      <c r="K29">
        <v>9</v>
      </c>
      <c r="L29">
        <v>13</v>
      </c>
      <c r="M29">
        <v>16</v>
      </c>
      <c r="N29">
        <v>11</v>
      </c>
      <c r="O29">
        <v>14</v>
      </c>
      <c r="P29">
        <v>17</v>
      </c>
      <c r="Q29">
        <v>19</v>
      </c>
      <c r="R29">
        <v>20</v>
      </c>
      <c r="S29">
        <v>1</v>
      </c>
      <c r="T29">
        <v>2</v>
      </c>
      <c r="U29">
        <v>4</v>
      </c>
      <c r="V29">
        <v>7</v>
      </c>
      <c r="W29">
        <v>10</v>
      </c>
      <c r="X29">
        <v>5</v>
      </c>
      <c r="Y29">
        <v>8</v>
      </c>
      <c r="Z29">
        <v>12</v>
      </c>
      <c r="AA29">
        <v>15</v>
      </c>
      <c r="AB29">
        <v>18</v>
      </c>
      <c r="AD29">
        <f t="shared" si="27"/>
        <v>20</v>
      </c>
      <c r="AE29">
        <f t="shared" si="1"/>
        <v>30</v>
      </c>
      <c r="AF29">
        <f t="shared" si="2"/>
        <v>42</v>
      </c>
      <c r="AG29">
        <f t="shared" si="3"/>
        <v>54</v>
      </c>
      <c r="AH29">
        <f t="shared" si="4"/>
        <v>64</v>
      </c>
      <c r="AI29">
        <f t="shared" si="5"/>
        <v>128</v>
      </c>
      <c r="AJ29">
        <f t="shared" si="6"/>
        <v>82</v>
      </c>
      <c r="AK29">
        <f t="shared" si="7"/>
        <v>139</v>
      </c>
      <c r="AL29">
        <f t="shared" si="8"/>
        <v>71</v>
      </c>
      <c r="AN29" s="67">
        <f t="shared" si="28"/>
        <v>0</v>
      </c>
      <c r="AO29" s="67">
        <f t="shared" si="9"/>
        <v>8.4033613445378158E-2</v>
      </c>
      <c r="AP29" s="67">
        <f t="shared" si="10"/>
        <v>0.18487394957983194</v>
      </c>
      <c r="AQ29" s="67">
        <f t="shared" si="11"/>
        <v>0.2857142857142857</v>
      </c>
      <c r="AR29" s="67">
        <f t="shared" si="12"/>
        <v>0.36974789915966388</v>
      </c>
      <c r="AS29" s="67">
        <f t="shared" si="13"/>
        <v>0.90756302521008403</v>
      </c>
      <c r="AT29" s="67">
        <f t="shared" si="14"/>
        <v>0.52100840336134457</v>
      </c>
      <c r="AU29" s="67">
        <f t="shared" si="15"/>
        <v>1</v>
      </c>
      <c r="AV29" s="67">
        <f t="shared" si="16"/>
        <v>0.42857142857142855</v>
      </c>
      <c r="AX29">
        <f t="shared" si="17"/>
        <v>0.36974789915966388</v>
      </c>
      <c r="AY29">
        <f t="shared" si="18"/>
        <v>0.38655462184873945</v>
      </c>
      <c r="AZ29">
        <f t="shared" si="19"/>
        <v>0.5714285714285714</v>
      </c>
      <c r="BB29">
        <f t="shared" si="20"/>
        <v>0.27848101265822789</v>
      </c>
      <c r="BC29">
        <f t="shared" si="21"/>
        <v>0.29113924050632911</v>
      </c>
      <c r="BD29">
        <f t="shared" si="22"/>
        <v>0.43037974683544306</v>
      </c>
      <c r="BF29" t="str">
        <f t="shared" si="23"/>
        <v>Theme</v>
      </c>
      <c r="BG29" t="str">
        <f t="shared" si="24"/>
        <v>A</v>
      </c>
      <c r="BI29">
        <f t="shared" si="25"/>
        <v>3.5</v>
      </c>
      <c r="BJ29" t="str">
        <f t="shared" si="29"/>
        <v>Tennis</v>
      </c>
      <c r="BK29" t="str">
        <f t="shared" si="26"/>
        <v>A</v>
      </c>
    </row>
    <row r="30" spans="2:63">
      <c r="B30" s="55">
        <v>3.5</v>
      </c>
      <c r="C30" s="56"/>
      <c r="D30" s="57"/>
      <c r="E30" s="58"/>
      <c r="H30">
        <v>23</v>
      </c>
      <c r="I30">
        <v>4</v>
      </c>
      <c r="J30">
        <v>8</v>
      </c>
      <c r="K30">
        <v>12</v>
      </c>
      <c r="L30">
        <v>16</v>
      </c>
      <c r="M30">
        <v>20</v>
      </c>
      <c r="N30">
        <v>2</v>
      </c>
      <c r="O30">
        <v>6</v>
      </c>
      <c r="P30">
        <v>10</v>
      </c>
      <c r="Q30">
        <v>14</v>
      </c>
      <c r="R30">
        <v>18</v>
      </c>
      <c r="S30">
        <v>4</v>
      </c>
      <c r="T30">
        <v>8</v>
      </c>
      <c r="U30">
        <v>12</v>
      </c>
      <c r="V30">
        <v>16</v>
      </c>
      <c r="W30">
        <v>20</v>
      </c>
      <c r="X30">
        <v>2</v>
      </c>
      <c r="Y30">
        <v>6</v>
      </c>
      <c r="Z30">
        <v>10</v>
      </c>
      <c r="AA30">
        <v>14</v>
      </c>
      <c r="AB30">
        <v>18</v>
      </c>
      <c r="AD30">
        <f t="shared" si="27"/>
        <v>12</v>
      </c>
      <c r="AE30">
        <f t="shared" si="1"/>
        <v>28</v>
      </c>
      <c r="AF30">
        <f t="shared" si="2"/>
        <v>44</v>
      </c>
      <c r="AG30">
        <f t="shared" si="3"/>
        <v>60</v>
      </c>
      <c r="AH30">
        <f t="shared" si="4"/>
        <v>76</v>
      </c>
      <c r="AI30">
        <f t="shared" si="5"/>
        <v>110</v>
      </c>
      <c r="AJ30">
        <f t="shared" si="6"/>
        <v>110</v>
      </c>
      <c r="AK30">
        <f t="shared" si="7"/>
        <v>100</v>
      </c>
      <c r="AL30">
        <f t="shared" si="8"/>
        <v>120</v>
      </c>
      <c r="AN30" s="67">
        <f t="shared" si="28"/>
        <v>0</v>
      </c>
      <c r="AO30" s="67">
        <f t="shared" si="9"/>
        <v>0.14814814814814814</v>
      </c>
      <c r="AP30" s="67">
        <f t="shared" si="10"/>
        <v>0.29629629629629628</v>
      </c>
      <c r="AQ30" s="67">
        <f t="shared" si="11"/>
        <v>0.44444444444444442</v>
      </c>
      <c r="AR30" s="67">
        <f t="shared" si="12"/>
        <v>0.59259259259259256</v>
      </c>
      <c r="AS30" s="67">
        <f t="shared" si="13"/>
        <v>0.90740740740740744</v>
      </c>
      <c r="AT30" s="67">
        <f t="shared" si="14"/>
        <v>0.90740740740740744</v>
      </c>
      <c r="AU30" s="67">
        <f t="shared" si="15"/>
        <v>0.81481481481481477</v>
      </c>
      <c r="AV30" s="67">
        <f t="shared" si="16"/>
        <v>1</v>
      </c>
      <c r="AX30">
        <f t="shared" si="17"/>
        <v>0.59259259259259256</v>
      </c>
      <c r="AY30">
        <f t="shared" si="18"/>
        <v>0</v>
      </c>
      <c r="AZ30">
        <f t="shared" si="19"/>
        <v>0.18518518518518523</v>
      </c>
      <c r="BB30">
        <f t="shared" si="20"/>
        <v>0.76190476190476186</v>
      </c>
      <c r="BC30">
        <f t="shared" si="21"/>
        <v>0</v>
      </c>
      <c r="BD30">
        <f t="shared" si="22"/>
        <v>0.23809523809523814</v>
      </c>
      <c r="BF30" t="str">
        <f t="shared" si="23"/>
        <v>Price</v>
      </c>
      <c r="BG30">
        <f t="shared" si="24"/>
        <v>3.5</v>
      </c>
      <c r="BI30">
        <f t="shared" si="25"/>
        <v>3.5</v>
      </c>
      <c r="BJ30" t="str">
        <f t="shared" si="29"/>
        <v>Super Bowl</v>
      </c>
      <c r="BK30" t="str">
        <f t="shared" si="26"/>
        <v>B</v>
      </c>
    </row>
    <row r="31" spans="2:63">
      <c r="B31" s="59">
        <v>3.75</v>
      </c>
      <c r="E31" s="60"/>
      <c r="H31">
        <v>24</v>
      </c>
      <c r="I31">
        <v>1</v>
      </c>
      <c r="J31">
        <v>2</v>
      </c>
      <c r="K31">
        <v>4</v>
      </c>
      <c r="L31">
        <v>7</v>
      </c>
      <c r="M31">
        <v>10</v>
      </c>
      <c r="N31">
        <v>3</v>
      </c>
      <c r="O31">
        <v>6</v>
      </c>
      <c r="P31">
        <v>9</v>
      </c>
      <c r="Q31">
        <v>13</v>
      </c>
      <c r="R31">
        <v>16</v>
      </c>
      <c r="S31">
        <v>5</v>
      </c>
      <c r="T31">
        <v>8</v>
      </c>
      <c r="U31">
        <v>12</v>
      </c>
      <c r="V31">
        <v>15</v>
      </c>
      <c r="W31">
        <v>18</v>
      </c>
      <c r="X31">
        <v>11</v>
      </c>
      <c r="Y31">
        <v>14</v>
      </c>
      <c r="Z31">
        <v>17</v>
      </c>
      <c r="AA31">
        <v>19</v>
      </c>
      <c r="AB31">
        <v>20</v>
      </c>
      <c r="AD31">
        <f t="shared" si="27"/>
        <v>20</v>
      </c>
      <c r="AE31">
        <f t="shared" si="1"/>
        <v>30</v>
      </c>
      <c r="AF31">
        <f t="shared" si="2"/>
        <v>42</v>
      </c>
      <c r="AG31">
        <f t="shared" si="3"/>
        <v>54</v>
      </c>
      <c r="AH31">
        <f t="shared" si="4"/>
        <v>64</v>
      </c>
      <c r="AI31">
        <f t="shared" si="5"/>
        <v>71</v>
      </c>
      <c r="AJ31">
        <f t="shared" si="6"/>
        <v>139</v>
      </c>
      <c r="AK31">
        <f t="shared" si="7"/>
        <v>128</v>
      </c>
      <c r="AL31">
        <f t="shared" si="8"/>
        <v>82</v>
      </c>
      <c r="AN31" s="67">
        <f t="shared" si="28"/>
        <v>0</v>
      </c>
      <c r="AO31" s="67">
        <f t="shared" si="9"/>
        <v>8.4033613445378158E-2</v>
      </c>
      <c r="AP31" s="67">
        <f t="shared" si="10"/>
        <v>0.18487394957983194</v>
      </c>
      <c r="AQ31" s="67">
        <f t="shared" si="11"/>
        <v>0.2857142857142857</v>
      </c>
      <c r="AR31" s="67">
        <f t="shared" si="12"/>
        <v>0.36974789915966388</v>
      </c>
      <c r="AS31" s="67">
        <f t="shared" si="13"/>
        <v>0.42857142857142855</v>
      </c>
      <c r="AT31" s="67">
        <f t="shared" si="14"/>
        <v>1</v>
      </c>
      <c r="AU31" s="67">
        <f t="shared" si="15"/>
        <v>0.90756302521008403</v>
      </c>
      <c r="AV31" s="67">
        <f t="shared" si="16"/>
        <v>0.52100840336134457</v>
      </c>
      <c r="AX31">
        <f t="shared" si="17"/>
        <v>0.36974789915966388</v>
      </c>
      <c r="AY31">
        <f t="shared" si="18"/>
        <v>0.5714285714285714</v>
      </c>
      <c r="AZ31">
        <f t="shared" si="19"/>
        <v>0.38655462184873945</v>
      </c>
      <c r="BB31">
        <f t="shared" si="20"/>
        <v>0.27848101265822789</v>
      </c>
      <c r="BC31">
        <f t="shared" si="21"/>
        <v>0.43037974683544306</v>
      </c>
      <c r="BD31">
        <f t="shared" si="22"/>
        <v>0.29113924050632911</v>
      </c>
      <c r="BF31" t="str">
        <f t="shared" si="23"/>
        <v xml:space="preserve">Brand </v>
      </c>
      <c r="BG31" t="str">
        <f t="shared" si="24"/>
        <v>Super Bowl</v>
      </c>
      <c r="BI31">
        <f t="shared" si="25"/>
        <v>3.5</v>
      </c>
      <c r="BJ31" t="str">
        <f t="shared" si="29"/>
        <v>Super Bowl</v>
      </c>
      <c r="BK31" t="str">
        <f t="shared" si="26"/>
        <v>A</v>
      </c>
    </row>
    <row r="32" spans="2:63">
      <c r="B32" s="59">
        <v>4</v>
      </c>
      <c r="E32" s="60"/>
      <c r="H32">
        <v>25</v>
      </c>
      <c r="I32">
        <v>13</v>
      </c>
      <c r="J32">
        <v>16</v>
      </c>
      <c r="K32">
        <v>18</v>
      </c>
      <c r="L32">
        <v>19</v>
      </c>
      <c r="M32">
        <v>20</v>
      </c>
      <c r="N32">
        <v>4</v>
      </c>
      <c r="O32">
        <v>7</v>
      </c>
      <c r="P32">
        <v>10</v>
      </c>
      <c r="Q32">
        <v>13</v>
      </c>
      <c r="R32">
        <v>16</v>
      </c>
      <c r="S32">
        <v>6</v>
      </c>
      <c r="T32">
        <v>9</v>
      </c>
      <c r="U32">
        <v>11</v>
      </c>
      <c r="V32">
        <v>14</v>
      </c>
      <c r="W32">
        <v>17</v>
      </c>
      <c r="X32">
        <v>1</v>
      </c>
      <c r="Y32">
        <v>2</v>
      </c>
      <c r="Z32">
        <v>3</v>
      </c>
      <c r="AA32">
        <v>6</v>
      </c>
      <c r="AB32">
        <v>9</v>
      </c>
      <c r="AD32">
        <f t="shared" si="27"/>
        <v>24</v>
      </c>
      <c r="AE32">
        <f t="shared" si="1"/>
        <v>34</v>
      </c>
      <c r="AF32">
        <f t="shared" si="2"/>
        <v>42</v>
      </c>
      <c r="AG32">
        <f t="shared" si="3"/>
        <v>52</v>
      </c>
      <c r="AH32">
        <f t="shared" si="4"/>
        <v>62</v>
      </c>
      <c r="AI32">
        <f t="shared" si="5"/>
        <v>136</v>
      </c>
      <c r="AJ32">
        <f t="shared" si="6"/>
        <v>78</v>
      </c>
      <c r="AK32">
        <f t="shared" si="7"/>
        <v>71</v>
      </c>
      <c r="AL32">
        <f t="shared" si="8"/>
        <v>143</v>
      </c>
      <c r="AN32" s="67">
        <f t="shared" si="28"/>
        <v>0</v>
      </c>
      <c r="AO32" s="67">
        <f t="shared" si="9"/>
        <v>8.4033613445378158E-2</v>
      </c>
      <c r="AP32" s="67">
        <f t="shared" si="10"/>
        <v>0.15126050420168066</v>
      </c>
      <c r="AQ32" s="67">
        <f t="shared" si="11"/>
        <v>0.23529411764705882</v>
      </c>
      <c r="AR32" s="67">
        <f t="shared" si="12"/>
        <v>0.31932773109243695</v>
      </c>
      <c r="AS32" s="67">
        <f t="shared" si="13"/>
        <v>0.94117647058823528</v>
      </c>
      <c r="AT32" s="67">
        <f t="shared" si="14"/>
        <v>0.45378151260504201</v>
      </c>
      <c r="AU32" s="67">
        <f t="shared" si="15"/>
        <v>0.3949579831932773</v>
      </c>
      <c r="AV32" s="67">
        <f t="shared" si="16"/>
        <v>1</v>
      </c>
      <c r="AX32">
        <f t="shared" si="17"/>
        <v>0.31932773109243695</v>
      </c>
      <c r="AY32">
        <f t="shared" si="18"/>
        <v>0.48739495798319327</v>
      </c>
      <c r="AZ32">
        <f t="shared" si="19"/>
        <v>0.60504201680672276</v>
      </c>
      <c r="BB32">
        <f t="shared" si="20"/>
        <v>0.22619047619047616</v>
      </c>
      <c r="BC32">
        <f t="shared" si="21"/>
        <v>0.34523809523809523</v>
      </c>
      <c r="BD32">
        <f t="shared" si="22"/>
        <v>0.4285714285714286</v>
      </c>
      <c r="BF32" t="str">
        <f t="shared" si="23"/>
        <v>Theme</v>
      </c>
      <c r="BG32" t="str">
        <f t="shared" si="24"/>
        <v>B</v>
      </c>
      <c r="BI32">
        <f t="shared" si="25"/>
        <v>3.5</v>
      </c>
      <c r="BJ32" t="str">
        <f t="shared" si="29"/>
        <v>Tennis</v>
      </c>
      <c r="BK32" t="str">
        <f t="shared" si="26"/>
        <v>B</v>
      </c>
    </row>
    <row r="33" spans="2:63">
      <c r="B33" s="59">
        <v>4.25</v>
      </c>
      <c r="E33" s="60"/>
      <c r="H33">
        <v>26</v>
      </c>
      <c r="I33">
        <v>13</v>
      </c>
      <c r="J33">
        <v>16</v>
      </c>
      <c r="K33">
        <v>18</v>
      </c>
      <c r="L33">
        <v>19</v>
      </c>
      <c r="M33">
        <v>20</v>
      </c>
      <c r="N33">
        <v>4</v>
      </c>
      <c r="O33">
        <v>7</v>
      </c>
      <c r="P33">
        <v>10</v>
      </c>
      <c r="Q33">
        <v>12</v>
      </c>
      <c r="R33">
        <v>15</v>
      </c>
      <c r="S33">
        <v>6</v>
      </c>
      <c r="T33">
        <v>9</v>
      </c>
      <c r="U33">
        <v>11</v>
      </c>
      <c r="V33">
        <v>14</v>
      </c>
      <c r="W33">
        <v>17</v>
      </c>
      <c r="X33">
        <v>1</v>
      </c>
      <c r="Y33">
        <v>2</v>
      </c>
      <c r="Z33">
        <v>3</v>
      </c>
      <c r="AA33">
        <v>5</v>
      </c>
      <c r="AB33">
        <v>8</v>
      </c>
      <c r="AD33">
        <f t="shared" si="27"/>
        <v>24</v>
      </c>
      <c r="AE33">
        <f t="shared" si="1"/>
        <v>34</v>
      </c>
      <c r="AF33">
        <f t="shared" si="2"/>
        <v>42</v>
      </c>
      <c r="AG33">
        <f t="shared" si="3"/>
        <v>50</v>
      </c>
      <c r="AH33">
        <f t="shared" si="4"/>
        <v>60</v>
      </c>
      <c r="AI33">
        <f t="shared" si="5"/>
        <v>134</v>
      </c>
      <c r="AJ33">
        <f t="shared" si="6"/>
        <v>76</v>
      </c>
      <c r="AK33">
        <f t="shared" si="7"/>
        <v>67</v>
      </c>
      <c r="AL33">
        <f t="shared" si="8"/>
        <v>143</v>
      </c>
      <c r="AN33" s="67">
        <f t="shared" si="28"/>
        <v>0</v>
      </c>
      <c r="AO33" s="67">
        <f t="shared" si="9"/>
        <v>8.4033613445378158E-2</v>
      </c>
      <c r="AP33" s="67">
        <f t="shared" si="10"/>
        <v>0.15126050420168066</v>
      </c>
      <c r="AQ33" s="67">
        <f t="shared" si="11"/>
        <v>0.21848739495798319</v>
      </c>
      <c r="AR33" s="67">
        <f t="shared" si="12"/>
        <v>0.30252100840336132</v>
      </c>
      <c r="AS33" s="67">
        <f t="shared" si="13"/>
        <v>0.92436974789915971</v>
      </c>
      <c r="AT33" s="67">
        <f t="shared" si="14"/>
        <v>0.43697478991596639</v>
      </c>
      <c r="AU33" s="67">
        <f t="shared" si="15"/>
        <v>0.36134453781512604</v>
      </c>
      <c r="AV33" s="67">
        <f t="shared" si="16"/>
        <v>1</v>
      </c>
      <c r="AX33">
        <f t="shared" si="17"/>
        <v>0.30252100840336132</v>
      </c>
      <c r="AY33">
        <f t="shared" si="18"/>
        <v>0.48739495798319332</v>
      </c>
      <c r="AZ33">
        <f t="shared" si="19"/>
        <v>0.6386554621848739</v>
      </c>
      <c r="BB33">
        <f t="shared" si="20"/>
        <v>0.21176470588235291</v>
      </c>
      <c r="BC33">
        <f t="shared" si="21"/>
        <v>0.3411764705882353</v>
      </c>
      <c r="BD33">
        <f t="shared" si="22"/>
        <v>0.44705882352941173</v>
      </c>
      <c r="BF33" t="str">
        <f t="shared" si="23"/>
        <v>Theme</v>
      </c>
      <c r="BG33" t="str">
        <f t="shared" si="24"/>
        <v>B</v>
      </c>
      <c r="BI33">
        <f t="shared" si="25"/>
        <v>3.5</v>
      </c>
      <c r="BJ33" t="str">
        <f t="shared" si="29"/>
        <v>Tennis</v>
      </c>
      <c r="BK33" t="str">
        <f t="shared" si="26"/>
        <v>B</v>
      </c>
    </row>
    <row r="34" spans="2:63">
      <c r="B34" s="61">
        <v>4.5</v>
      </c>
      <c r="C34" s="62"/>
      <c r="D34" s="63"/>
      <c r="E34" s="64"/>
      <c r="H34">
        <v>27</v>
      </c>
      <c r="I34">
        <v>1</v>
      </c>
      <c r="J34">
        <v>2</v>
      </c>
      <c r="K34">
        <v>3</v>
      </c>
      <c r="L34">
        <v>6</v>
      </c>
      <c r="M34">
        <v>9</v>
      </c>
      <c r="N34">
        <v>4</v>
      </c>
      <c r="O34">
        <v>7</v>
      </c>
      <c r="P34">
        <v>10</v>
      </c>
      <c r="Q34">
        <v>13</v>
      </c>
      <c r="R34">
        <v>16</v>
      </c>
      <c r="S34">
        <v>5</v>
      </c>
      <c r="T34">
        <v>8</v>
      </c>
      <c r="U34">
        <v>11</v>
      </c>
      <c r="V34">
        <v>14</v>
      </c>
      <c r="W34">
        <v>17</v>
      </c>
      <c r="X34">
        <v>12</v>
      </c>
      <c r="Y34">
        <v>15</v>
      </c>
      <c r="Z34">
        <v>18</v>
      </c>
      <c r="AA34">
        <v>19</v>
      </c>
      <c r="AB34">
        <v>20</v>
      </c>
      <c r="AD34">
        <f t="shared" si="27"/>
        <v>22</v>
      </c>
      <c r="AE34">
        <f t="shared" si="1"/>
        <v>32</v>
      </c>
      <c r="AF34">
        <f t="shared" si="2"/>
        <v>42</v>
      </c>
      <c r="AG34">
        <f t="shared" si="3"/>
        <v>52</v>
      </c>
      <c r="AH34">
        <f t="shared" si="4"/>
        <v>62</v>
      </c>
      <c r="AI34">
        <f t="shared" si="5"/>
        <v>71</v>
      </c>
      <c r="AJ34">
        <f t="shared" si="6"/>
        <v>139</v>
      </c>
      <c r="AK34">
        <f t="shared" si="7"/>
        <v>134</v>
      </c>
      <c r="AL34">
        <f t="shared" si="8"/>
        <v>76</v>
      </c>
      <c r="AN34" s="67">
        <f t="shared" si="28"/>
        <v>0</v>
      </c>
      <c r="AO34" s="67">
        <f t="shared" si="9"/>
        <v>8.5470085470085472E-2</v>
      </c>
      <c r="AP34" s="67">
        <f t="shared" si="10"/>
        <v>0.17094017094017094</v>
      </c>
      <c r="AQ34" s="67">
        <f t="shared" si="11"/>
        <v>0.25641025641025639</v>
      </c>
      <c r="AR34" s="67">
        <f t="shared" si="12"/>
        <v>0.34188034188034189</v>
      </c>
      <c r="AS34" s="67">
        <f t="shared" si="13"/>
        <v>0.41880341880341881</v>
      </c>
      <c r="AT34" s="67">
        <f t="shared" si="14"/>
        <v>1</v>
      </c>
      <c r="AU34" s="67">
        <f t="shared" si="15"/>
        <v>0.95726495726495731</v>
      </c>
      <c r="AV34" s="67">
        <f t="shared" si="16"/>
        <v>0.46153846153846156</v>
      </c>
      <c r="AX34">
        <f t="shared" si="17"/>
        <v>0.34188034188034189</v>
      </c>
      <c r="AY34">
        <f t="shared" si="18"/>
        <v>0.58119658119658113</v>
      </c>
      <c r="AZ34">
        <f t="shared" si="19"/>
        <v>0.49572649572649574</v>
      </c>
      <c r="BB34">
        <f t="shared" si="20"/>
        <v>0.24096385542168677</v>
      </c>
      <c r="BC34">
        <f t="shared" si="21"/>
        <v>0.40963855421686746</v>
      </c>
      <c r="BD34">
        <f t="shared" si="22"/>
        <v>0.34939759036144585</v>
      </c>
      <c r="BF34" t="str">
        <f t="shared" si="23"/>
        <v xml:space="preserve">Brand </v>
      </c>
      <c r="BG34" t="str">
        <f t="shared" si="24"/>
        <v>Super Bowl</v>
      </c>
      <c r="BI34">
        <f t="shared" si="25"/>
        <v>3.5</v>
      </c>
      <c r="BJ34" t="str">
        <f t="shared" si="29"/>
        <v>Super Bowl</v>
      </c>
      <c r="BK34" t="str">
        <f t="shared" si="26"/>
        <v>A</v>
      </c>
    </row>
    <row r="35" spans="2:63">
      <c r="B35" s="65" t="s">
        <v>118</v>
      </c>
      <c r="C35" s="56"/>
      <c r="D35" s="57"/>
      <c r="E35" s="58"/>
      <c r="H35">
        <v>28</v>
      </c>
      <c r="I35">
        <v>1</v>
      </c>
      <c r="J35">
        <v>2</v>
      </c>
      <c r="K35">
        <v>4</v>
      </c>
      <c r="L35">
        <v>7</v>
      </c>
      <c r="M35">
        <v>10</v>
      </c>
      <c r="N35">
        <v>5</v>
      </c>
      <c r="O35">
        <v>8</v>
      </c>
      <c r="P35">
        <v>12</v>
      </c>
      <c r="Q35">
        <v>15</v>
      </c>
      <c r="R35">
        <v>18</v>
      </c>
      <c r="S35">
        <v>3</v>
      </c>
      <c r="T35">
        <v>6</v>
      </c>
      <c r="U35">
        <v>9</v>
      </c>
      <c r="V35">
        <v>13</v>
      </c>
      <c r="W35">
        <v>16</v>
      </c>
      <c r="X35">
        <v>11</v>
      </c>
      <c r="Y35">
        <v>14</v>
      </c>
      <c r="Z35">
        <v>17</v>
      </c>
      <c r="AA35">
        <v>19</v>
      </c>
      <c r="AB35">
        <v>20</v>
      </c>
      <c r="AD35">
        <f t="shared" si="27"/>
        <v>20</v>
      </c>
      <c r="AE35">
        <f t="shared" si="1"/>
        <v>30</v>
      </c>
      <c r="AF35">
        <f t="shared" si="2"/>
        <v>42</v>
      </c>
      <c r="AG35">
        <f t="shared" si="3"/>
        <v>54</v>
      </c>
      <c r="AH35">
        <f t="shared" si="4"/>
        <v>64</v>
      </c>
      <c r="AI35">
        <f t="shared" si="5"/>
        <v>82</v>
      </c>
      <c r="AJ35">
        <f t="shared" si="6"/>
        <v>128</v>
      </c>
      <c r="AK35">
        <f t="shared" si="7"/>
        <v>139</v>
      </c>
      <c r="AL35">
        <f t="shared" si="8"/>
        <v>71</v>
      </c>
      <c r="AN35" s="67">
        <f t="shared" si="28"/>
        <v>0</v>
      </c>
      <c r="AO35" s="67">
        <f t="shared" si="9"/>
        <v>8.4033613445378158E-2</v>
      </c>
      <c r="AP35" s="67">
        <f t="shared" si="10"/>
        <v>0.18487394957983194</v>
      </c>
      <c r="AQ35" s="67">
        <f t="shared" si="11"/>
        <v>0.2857142857142857</v>
      </c>
      <c r="AR35" s="67">
        <f t="shared" si="12"/>
        <v>0.36974789915966388</v>
      </c>
      <c r="AS35" s="67">
        <f t="shared" si="13"/>
        <v>0.52100840336134457</v>
      </c>
      <c r="AT35" s="67">
        <f t="shared" si="14"/>
        <v>0.90756302521008403</v>
      </c>
      <c r="AU35" s="67">
        <f t="shared" si="15"/>
        <v>1</v>
      </c>
      <c r="AV35" s="67">
        <f t="shared" si="16"/>
        <v>0.42857142857142855</v>
      </c>
      <c r="AX35">
        <f t="shared" si="17"/>
        <v>0.36974789915966388</v>
      </c>
      <c r="AY35">
        <f t="shared" si="18"/>
        <v>0.38655462184873945</v>
      </c>
      <c r="AZ35">
        <f t="shared" si="19"/>
        <v>0.5714285714285714</v>
      </c>
      <c r="BB35">
        <f t="shared" si="20"/>
        <v>0.27848101265822789</v>
      </c>
      <c r="BC35">
        <f t="shared" si="21"/>
        <v>0.29113924050632911</v>
      </c>
      <c r="BD35">
        <f t="shared" si="22"/>
        <v>0.43037974683544306</v>
      </c>
      <c r="BF35" t="str">
        <f t="shared" si="23"/>
        <v>Theme</v>
      </c>
      <c r="BG35" t="str">
        <f t="shared" si="24"/>
        <v>A</v>
      </c>
      <c r="BI35">
        <f t="shared" si="25"/>
        <v>3.5</v>
      </c>
      <c r="BJ35" t="str">
        <f t="shared" si="29"/>
        <v>Super Bowl</v>
      </c>
      <c r="BK35" t="str">
        <f t="shared" si="26"/>
        <v>A</v>
      </c>
    </row>
    <row r="36" spans="2:63">
      <c r="B36" s="66" t="s">
        <v>119</v>
      </c>
      <c r="C36" s="62"/>
      <c r="D36" s="63"/>
      <c r="E36" s="64"/>
      <c r="H36">
        <v>29</v>
      </c>
      <c r="I36">
        <v>12</v>
      </c>
      <c r="J36">
        <v>15</v>
      </c>
      <c r="K36">
        <v>18</v>
      </c>
      <c r="L36">
        <v>19</v>
      </c>
      <c r="M36">
        <v>20</v>
      </c>
      <c r="N36">
        <v>5</v>
      </c>
      <c r="O36">
        <v>8</v>
      </c>
      <c r="P36">
        <v>11</v>
      </c>
      <c r="Q36">
        <v>14</v>
      </c>
      <c r="R36">
        <v>17</v>
      </c>
      <c r="S36">
        <v>4</v>
      </c>
      <c r="T36">
        <v>7</v>
      </c>
      <c r="U36">
        <v>10</v>
      </c>
      <c r="V36">
        <v>13</v>
      </c>
      <c r="W36">
        <v>16</v>
      </c>
      <c r="X36">
        <v>1</v>
      </c>
      <c r="Y36">
        <v>2</v>
      </c>
      <c r="Z36">
        <v>3</v>
      </c>
      <c r="AA36">
        <v>6</v>
      </c>
      <c r="AB36">
        <v>9</v>
      </c>
      <c r="AD36">
        <f t="shared" si="27"/>
        <v>22</v>
      </c>
      <c r="AE36">
        <f t="shared" si="1"/>
        <v>32</v>
      </c>
      <c r="AF36">
        <f t="shared" si="2"/>
        <v>42</v>
      </c>
      <c r="AG36">
        <f t="shared" si="3"/>
        <v>52</v>
      </c>
      <c r="AH36">
        <f t="shared" si="4"/>
        <v>62</v>
      </c>
      <c r="AI36">
        <f t="shared" si="5"/>
        <v>139</v>
      </c>
      <c r="AJ36">
        <f t="shared" si="6"/>
        <v>71</v>
      </c>
      <c r="AK36">
        <f t="shared" si="7"/>
        <v>76</v>
      </c>
      <c r="AL36">
        <f t="shared" si="8"/>
        <v>134</v>
      </c>
      <c r="AN36" s="67">
        <f t="shared" si="28"/>
        <v>0</v>
      </c>
      <c r="AO36" s="67">
        <f t="shared" si="9"/>
        <v>8.5470085470085472E-2</v>
      </c>
      <c r="AP36" s="67">
        <f t="shared" si="10"/>
        <v>0.17094017094017094</v>
      </c>
      <c r="AQ36" s="67">
        <f t="shared" si="11"/>
        <v>0.25641025641025639</v>
      </c>
      <c r="AR36" s="67">
        <f t="shared" si="12"/>
        <v>0.34188034188034189</v>
      </c>
      <c r="AS36" s="67">
        <f t="shared" si="13"/>
        <v>1</v>
      </c>
      <c r="AT36" s="67">
        <f t="shared" si="14"/>
        <v>0.41880341880341881</v>
      </c>
      <c r="AU36" s="67">
        <f t="shared" si="15"/>
        <v>0.46153846153846156</v>
      </c>
      <c r="AV36" s="67">
        <f t="shared" si="16"/>
        <v>0.95726495726495731</v>
      </c>
      <c r="AX36">
        <f t="shared" si="17"/>
        <v>0.34188034188034189</v>
      </c>
      <c r="AY36">
        <f t="shared" si="18"/>
        <v>0.58119658119658113</v>
      </c>
      <c r="AZ36">
        <f t="shared" si="19"/>
        <v>0.49572649572649574</v>
      </c>
      <c r="BB36">
        <f t="shared" si="20"/>
        <v>0.24096385542168677</v>
      </c>
      <c r="BC36">
        <f t="shared" si="21"/>
        <v>0.40963855421686746</v>
      </c>
      <c r="BD36">
        <f t="shared" si="22"/>
        <v>0.34939759036144585</v>
      </c>
      <c r="BF36" t="str">
        <f t="shared" si="23"/>
        <v xml:space="preserve">Brand </v>
      </c>
      <c r="BG36" t="str">
        <f t="shared" si="24"/>
        <v>Tennis</v>
      </c>
      <c r="BI36">
        <f t="shared" si="25"/>
        <v>3.5</v>
      </c>
      <c r="BJ36" t="str">
        <f t="shared" si="29"/>
        <v>Tennis</v>
      </c>
      <c r="BK36" t="str">
        <f t="shared" si="26"/>
        <v>B</v>
      </c>
    </row>
    <row r="37" spans="2:63">
      <c r="B37" s="65" t="s">
        <v>121</v>
      </c>
      <c r="C37" s="56"/>
      <c r="D37" s="57"/>
      <c r="E37" s="58"/>
      <c r="H37">
        <v>30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3</v>
      </c>
      <c r="O37">
        <v>6</v>
      </c>
      <c r="P37">
        <v>9</v>
      </c>
      <c r="Q37">
        <v>13</v>
      </c>
      <c r="R37">
        <v>16</v>
      </c>
      <c r="S37">
        <v>5</v>
      </c>
      <c r="T37">
        <v>8</v>
      </c>
      <c r="U37">
        <v>12</v>
      </c>
      <c r="V37">
        <v>15</v>
      </c>
      <c r="W37">
        <v>18</v>
      </c>
      <c r="X37">
        <v>1</v>
      </c>
      <c r="Y37">
        <v>2</v>
      </c>
      <c r="Z37">
        <v>4</v>
      </c>
      <c r="AA37">
        <v>7</v>
      </c>
      <c r="AB37">
        <v>10</v>
      </c>
      <c r="AD37">
        <f t="shared" si="27"/>
        <v>20</v>
      </c>
      <c r="AE37">
        <f t="shared" si="1"/>
        <v>30</v>
      </c>
      <c r="AF37">
        <f t="shared" si="2"/>
        <v>42</v>
      </c>
      <c r="AG37">
        <f t="shared" si="3"/>
        <v>54</v>
      </c>
      <c r="AH37">
        <f t="shared" si="4"/>
        <v>64</v>
      </c>
      <c r="AI37">
        <f t="shared" si="5"/>
        <v>128</v>
      </c>
      <c r="AJ37">
        <f t="shared" si="6"/>
        <v>82</v>
      </c>
      <c r="AK37">
        <f t="shared" si="7"/>
        <v>71</v>
      </c>
      <c r="AL37">
        <f t="shared" si="8"/>
        <v>139</v>
      </c>
      <c r="AN37" s="67">
        <f t="shared" si="28"/>
        <v>0</v>
      </c>
      <c r="AO37" s="67">
        <f t="shared" si="9"/>
        <v>8.4033613445378158E-2</v>
      </c>
      <c r="AP37" s="67">
        <f t="shared" si="10"/>
        <v>0.18487394957983194</v>
      </c>
      <c r="AQ37" s="67">
        <f t="shared" si="11"/>
        <v>0.2857142857142857</v>
      </c>
      <c r="AR37" s="67">
        <f t="shared" si="12"/>
        <v>0.36974789915966388</v>
      </c>
      <c r="AS37" s="67">
        <f t="shared" si="13"/>
        <v>0.90756302521008403</v>
      </c>
      <c r="AT37" s="67">
        <f t="shared" si="14"/>
        <v>0.52100840336134457</v>
      </c>
      <c r="AU37" s="67">
        <f t="shared" si="15"/>
        <v>0.42857142857142855</v>
      </c>
      <c r="AV37" s="67">
        <f t="shared" si="16"/>
        <v>1</v>
      </c>
      <c r="AX37">
        <f t="shared" si="17"/>
        <v>0.36974789915966388</v>
      </c>
      <c r="AY37">
        <f t="shared" si="18"/>
        <v>0.38655462184873945</v>
      </c>
      <c r="AZ37">
        <f t="shared" si="19"/>
        <v>0.5714285714285714</v>
      </c>
      <c r="BB37">
        <f t="shared" si="20"/>
        <v>0.27848101265822789</v>
      </c>
      <c r="BC37">
        <f t="shared" si="21"/>
        <v>0.29113924050632911</v>
      </c>
      <c r="BD37">
        <f t="shared" si="22"/>
        <v>0.43037974683544306</v>
      </c>
      <c r="BF37" t="str">
        <f t="shared" si="23"/>
        <v>Theme</v>
      </c>
      <c r="BG37" t="str">
        <f t="shared" si="24"/>
        <v>B</v>
      </c>
      <c r="BI37">
        <f t="shared" si="25"/>
        <v>3.5</v>
      </c>
      <c r="BJ37" t="str">
        <f t="shared" si="29"/>
        <v>Tennis</v>
      </c>
      <c r="BK37" t="str">
        <f t="shared" si="26"/>
        <v>B</v>
      </c>
    </row>
    <row r="38" spans="2:63">
      <c r="B38" s="66" t="s">
        <v>120</v>
      </c>
      <c r="C38" s="62"/>
      <c r="D38" s="63"/>
      <c r="E38" s="64"/>
      <c r="H38">
        <v>31</v>
      </c>
      <c r="I38">
        <v>12</v>
      </c>
      <c r="J38">
        <v>15</v>
      </c>
      <c r="K38">
        <v>18</v>
      </c>
      <c r="L38">
        <v>19</v>
      </c>
      <c r="M38">
        <v>20</v>
      </c>
      <c r="N38">
        <v>4</v>
      </c>
      <c r="O38">
        <v>7</v>
      </c>
      <c r="P38">
        <v>10</v>
      </c>
      <c r="Q38">
        <v>13</v>
      </c>
      <c r="R38">
        <v>16</v>
      </c>
      <c r="S38">
        <v>5</v>
      </c>
      <c r="T38">
        <v>8</v>
      </c>
      <c r="U38">
        <v>11</v>
      </c>
      <c r="V38">
        <v>14</v>
      </c>
      <c r="W38">
        <v>17</v>
      </c>
      <c r="X38">
        <v>1</v>
      </c>
      <c r="Y38">
        <v>2</v>
      </c>
      <c r="Z38">
        <v>3</v>
      </c>
      <c r="AA38">
        <v>6</v>
      </c>
      <c r="AB38">
        <v>9</v>
      </c>
      <c r="AD38">
        <f t="shared" si="27"/>
        <v>22</v>
      </c>
      <c r="AE38">
        <f t="shared" si="1"/>
        <v>32</v>
      </c>
      <c r="AF38">
        <f t="shared" si="2"/>
        <v>42</v>
      </c>
      <c r="AG38">
        <f t="shared" si="3"/>
        <v>52</v>
      </c>
      <c r="AH38">
        <f t="shared" si="4"/>
        <v>62</v>
      </c>
      <c r="AI38">
        <f t="shared" si="5"/>
        <v>134</v>
      </c>
      <c r="AJ38">
        <f t="shared" si="6"/>
        <v>76</v>
      </c>
      <c r="AK38">
        <f t="shared" si="7"/>
        <v>71</v>
      </c>
      <c r="AL38">
        <f t="shared" si="8"/>
        <v>139</v>
      </c>
      <c r="AN38" s="67">
        <f t="shared" si="28"/>
        <v>0</v>
      </c>
      <c r="AO38" s="67">
        <f t="shared" si="9"/>
        <v>8.5470085470085472E-2</v>
      </c>
      <c r="AP38" s="67">
        <f t="shared" si="10"/>
        <v>0.17094017094017094</v>
      </c>
      <c r="AQ38" s="67">
        <f t="shared" si="11"/>
        <v>0.25641025641025639</v>
      </c>
      <c r="AR38" s="67">
        <f t="shared" si="12"/>
        <v>0.34188034188034189</v>
      </c>
      <c r="AS38" s="67">
        <f t="shared" si="13"/>
        <v>0.95726495726495731</v>
      </c>
      <c r="AT38" s="67">
        <f t="shared" si="14"/>
        <v>0.46153846153846156</v>
      </c>
      <c r="AU38" s="67">
        <f t="shared" si="15"/>
        <v>0.41880341880341881</v>
      </c>
      <c r="AV38" s="67">
        <f t="shared" si="16"/>
        <v>1</v>
      </c>
      <c r="AX38">
        <f t="shared" si="17"/>
        <v>0.34188034188034189</v>
      </c>
      <c r="AY38">
        <f t="shared" si="18"/>
        <v>0.49572649572649574</v>
      </c>
      <c r="AZ38">
        <f t="shared" si="19"/>
        <v>0.58119658119658113</v>
      </c>
      <c r="BB38">
        <f t="shared" si="20"/>
        <v>0.24096385542168677</v>
      </c>
      <c r="BC38">
        <f t="shared" si="21"/>
        <v>0.34939759036144585</v>
      </c>
      <c r="BD38">
        <f t="shared" si="22"/>
        <v>0.40963855421686746</v>
      </c>
      <c r="BF38" t="str">
        <f t="shared" si="23"/>
        <v>Theme</v>
      </c>
      <c r="BG38" t="str">
        <f t="shared" si="24"/>
        <v>B</v>
      </c>
      <c r="BI38">
        <f t="shared" si="25"/>
        <v>3.5</v>
      </c>
      <c r="BJ38" t="str">
        <f t="shared" si="29"/>
        <v>Tennis</v>
      </c>
      <c r="BK38" t="str">
        <f t="shared" si="26"/>
        <v>B</v>
      </c>
    </row>
    <row r="39" spans="2:63">
      <c r="H39">
        <v>32</v>
      </c>
      <c r="I39">
        <v>2</v>
      </c>
      <c r="J39">
        <v>6</v>
      </c>
      <c r="K39">
        <v>10</v>
      </c>
      <c r="L39">
        <v>14</v>
      </c>
      <c r="M39">
        <v>18</v>
      </c>
      <c r="N39">
        <v>4</v>
      </c>
      <c r="O39">
        <v>8</v>
      </c>
      <c r="P39">
        <v>12</v>
      </c>
      <c r="Q39">
        <v>16</v>
      </c>
      <c r="R39">
        <v>20</v>
      </c>
      <c r="S39">
        <v>2</v>
      </c>
      <c r="T39">
        <v>6</v>
      </c>
      <c r="U39">
        <v>10</v>
      </c>
      <c r="V39">
        <v>14</v>
      </c>
      <c r="W39">
        <v>18</v>
      </c>
      <c r="X39">
        <v>4</v>
      </c>
      <c r="Y39">
        <v>8</v>
      </c>
      <c r="Z39">
        <v>12</v>
      </c>
      <c r="AA39">
        <v>16</v>
      </c>
      <c r="AB39">
        <v>20</v>
      </c>
      <c r="AD39">
        <f t="shared" si="27"/>
        <v>12</v>
      </c>
      <c r="AE39">
        <f t="shared" si="1"/>
        <v>28</v>
      </c>
      <c r="AF39">
        <f t="shared" si="2"/>
        <v>44</v>
      </c>
      <c r="AG39">
        <f t="shared" si="3"/>
        <v>60</v>
      </c>
      <c r="AH39">
        <f t="shared" si="4"/>
        <v>76</v>
      </c>
      <c r="AI39">
        <f t="shared" si="5"/>
        <v>110</v>
      </c>
      <c r="AJ39">
        <f t="shared" si="6"/>
        <v>110</v>
      </c>
      <c r="AK39">
        <f t="shared" si="7"/>
        <v>120</v>
      </c>
      <c r="AL39">
        <f t="shared" si="8"/>
        <v>100</v>
      </c>
      <c r="AN39" s="67">
        <f t="shared" si="28"/>
        <v>0</v>
      </c>
      <c r="AO39" s="67">
        <f t="shared" si="9"/>
        <v>0.14814814814814814</v>
      </c>
      <c r="AP39" s="67">
        <f t="shared" si="10"/>
        <v>0.29629629629629628</v>
      </c>
      <c r="AQ39" s="67">
        <f t="shared" si="11"/>
        <v>0.44444444444444442</v>
      </c>
      <c r="AR39" s="67">
        <f t="shared" si="12"/>
        <v>0.59259259259259256</v>
      </c>
      <c r="AS39" s="67">
        <f t="shared" si="13"/>
        <v>0.90740740740740744</v>
      </c>
      <c r="AT39" s="67">
        <f t="shared" si="14"/>
        <v>0.90740740740740744</v>
      </c>
      <c r="AU39" s="67">
        <f t="shared" si="15"/>
        <v>1</v>
      </c>
      <c r="AV39" s="67">
        <f t="shared" si="16"/>
        <v>0.81481481481481477</v>
      </c>
      <c r="AX39">
        <f t="shared" si="17"/>
        <v>0.59259259259259256</v>
      </c>
      <c r="AY39">
        <f t="shared" si="18"/>
        <v>0</v>
      </c>
      <c r="AZ39">
        <f t="shared" si="19"/>
        <v>0.18518518518518523</v>
      </c>
      <c r="BB39">
        <f t="shared" si="20"/>
        <v>0.76190476190476186</v>
      </c>
      <c r="BC39">
        <f t="shared" si="21"/>
        <v>0</v>
      </c>
      <c r="BD39">
        <f t="shared" si="22"/>
        <v>0.23809523809523814</v>
      </c>
      <c r="BF39" t="str">
        <f t="shared" ref="BF39:BF70" si="30">INDEX($BB$7:$BD$7,,MATCH(MAX(BB39:BD39),BB39:BD39,0))</f>
        <v>Price</v>
      </c>
      <c r="BG39">
        <f t="shared" si="24"/>
        <v>3.5</v>
      </c>
      <c r="BI39">
        <f t="shared" si="25"/>
        <v>3.5</v>
      </c>
      <c r="BJ39" t="str">
        <f t="shared" si="29"/>
        <v>Super Bowl</v>
      </c>
      <c r="BK39" t="str">
        <f t="shared" si="26"/>
        <v>A</v>
      </c>
    </row>
    <row r="40" spans="2:63">
      <c r="H40">
        <v>33</v>
      </c>
      <c r="I40">
        <v>13</v>
      </c>
      <c r="J40">
        <v>16</v>
      </c>
      <c r="K40">
        <v>18</v>
      </c>
      <c r="L40">
        <v>19</v>
      </c>
      <c r="M40">
        <v>20</v>
      </c>
      <c r="N40">
        <v>4</v>
      </c>
      <c r="O40">
        <v>7</v>
      </c>
      <c r="P40">
        <v>10</v>
      </c>
      <c r="Q40">
        <v>12</v>
      </c>
      <c r="R40">
        <v>15</v>
      </c>
      <c r="S40">
        <v>6</v>
      </c>
      <c r="T40">
        <v>9</v>
      </c>
      <c r="U40">
        <v>11</v>
      </c>
      <c r="V40">
        <v>14</v>
      </c>
      <c r="W40">
        <v>17</v>
      </c>
      <c r="X40">
        <v>1</v>
      </c>
      <c r="Y40">
        <v>2</v>
      </c>
      <c r="Z40">
        <v>3</v>
      </c>
      <c r="AA40">
        <v>5</v>
      </c>
      <c r="AB40">
        <v>8</v>
      </c>
      <c r="AD40">
        <f t="shared" si="27"/>
        <v>24</v>
      </c>
      <c r="AE40">
        <f t="shared" si="1"/>
        <v>34</v>
      </c>
      <c r="AF40">
        <f t="shared" si="2"/>
        <v>42</v>
      </c>
      <c r="AG40">
        <f t="shared" si="3"/>
        <v>50</v>
      </c>
      <c r="AH40">
        <f t="shared" si="4"/>
        <v>60</v>
      </c>
      <c r="AI40">
        <f t="shared" si="5"/>
        <v>134</v>
      </c>
      <c r="AJ40">
        <f t="shared" si="6"/>
        <v>76</v>
      </c>
      <c r="AK40">
        <f t="shared" si="7"/>
        <v>67</v>
      </c>
      <c r="AL40">
        <f t="shared" si="8"/>
        <v>143</v>
      </c>
      <c r="AN40" s="67">
        <f t="shared" si="28"/>
        <v>0</v>
      </c>
      <c r="AO40" s="67">
        <f t="shared" si="9"/>
        <v>8.4033613445378158E-2</v>
      </c>
      <c r="AP40" s="67">
        <f t="shared" si="10"/>
        <v>0.15126050420168066</v>
      </c>
      <c r="AQ40" s="67">
        <f t="shared" si="11"/>
        <v>0.21848739495798319</v>
      </c>
      <c r="AR40" s="67">
        <f t="shared" si="12"/>
        <v>0.30252100840336132</v>
      </c>
      <c r="AS40" s="67">
        <f t="shared" si="13"/>
        <v>0.92436974789915971</v>
      </c>
      <c r="AT40" s="67">
        <f t="shared" si="14"/>
        <v>0.43697478991596639</v>
      </c>
      <c r="AU40" s="67">
        <f t="shared" si="15"/>
        <v>0.36134453781512604</v>
      </c>
      <c r="AV40" s="67">
        <f t="shared" si="16"/>
        <v>1</v>
      </c>
      <c r="AX40">
        <f t="shared" si="17"/>
        <v>0.30252100840336132</v>
      </c>
      <c r="AY40">
        <f t="shared" si="18"/>
        <v>0.48739495798319332</v>
      </c>
      <c r="AZ40">
        <f t="shared" si="19"/>
        <v>0.6386554621848739</v>
      </c>
      <c r="BB40">
        <f t="shared" si="20"/>
        <v>0.21176470588235291</v>
      </c>
      <c r="BC40">
        <f t="shared" si="21"/>
        <v>0.3411764705882353</v>
      </c>
      <c r="BD40">
        <f t="shared" si="22"/>
        <v>0.44705882352941173</v>
      </c>
      <c r="BF40" t="str">
        <f t="shared" si="30"/>
        <v>Theme</v>
      </c>
      <c r="BG40" t="str">
        <f t="shared" si="24"/>
        <v>B</v>
      </c>
      <c r="BI40">
        <f t="shared" si="25"/>
        <v>3.5</v>
      </c>
      <c r="BJ40" t="str">
        <f t="shared" si="29"/>
        <v>Tennis</v>
      </c>
      <c r="BK40" t="str">
        <f t="shared" si="26"/>
        <v>B</v>
      </c>
    </row>
    <row r="41" spans="2:63">
      <c r="H41">
        <v>34</v>
      </c>
      <c r="I41">
        <v>1</v>
      </c>
      <c r="J41">
        <v>2</v>
      </c>
      <c r="K41">
        <v>3</v>
      </c>
      <c r="L41">
        <v>5</v>
      </c>
      <c r="M41">
        <v>8</v>
      </c>
      <c r="N41">
        <v>6</v>
      </c>
      <c r="O41">
        <v>9</v>
      </c>
      <c r="P41">
        <v>11</v>
      </c>
      <c r="Q41">
        <v>14</v>
      </c>
      <c r="R41">
        <v>17</v>
      </c>
      <c r="S41">
        <v>4</v>
      </c>
      <c r="T41">
        <v>7</v>
      </c>
      <c r="U41">
        <v>10</v>
      </c>
      <c r="V41">
        <v>12</v>
      </c>
      <c r="W41">
        <v>15</v>
      </c>
      <c r="X41">
        <v>13</v>
      </c>
      <c r="Y41">
        <v>16</v>
      </c>
      <c r="Z41">
        <v>18</v>
      </c>
      <c r="AA41">
        <v>19</v>
      </c>
      <c r="AB41">
        <v>20</v>
      </c>
      <c r="AD41">
        <f t="shared" ref="AD41:AD72" si="31">SUMIFS($I41:$AB41,$I$2:$AB$2,AD$7)</f>
        <v>24</v>
      </c>
      <c r="AE41">
        <f t="shared" ref="AE41:AE72" si="32">SUMIFS($I41:$AB41,$I$2:$AB$2,AE$7)</f>
        <v>34</v>
      </c>
      <c r="AF41">
        <f t="shared" ref="AF41:AF72" si="33">SUMIFS($I41:$AB41,$I$2:$AB$2,AF$7)</f>
        <v>42</v>
      </c>
      <c r="AG41">
        <f t="shared" ref="AG41:AG72" si="34">SUMIFS($I41:$AB41,$I$2:$AB$2,AG$7)</f>
        <v>50</v>
      </c>
      <c r="AH41">
        <f t="shared" ref="AH41:AH72" si="35">SUMIFS($I41:$AB41,$I$2:$AB$2,AH$7)</f>
        <v>60</v>
      </c>
      <c r="AI41">
        <f t="shared" ref="AI41:AI72" si="36">SUMIFS($I41:$AB41,$I$3:$AB$3,AI$7)</f>
        <v>76</v>
      </c>
      <c r="AJ41">
        <f t="shared" ref="AJ41:AJ72" si="37">SUMIFS($I41:$AB41,$I$3:$AB$3,AJ$7)</f>
        <v>134</v>
      </c>
      <c r="AK41">
        <f t="shared" ref="AK41:AK72" si="38">SUMIFS($I41:$AB41,$I$4:$AB$4,AK$7)</f>
        <v>143</v>
      </c>
      <c r="AL41">
        <f t="shared" ref="AL41:AL72" si="39">SUMIFS($I41:$AB41,$I$4:$AB$4,AL$7)</f>
        <v>67</v>
      </c>
      <c r="AN41" s="67">
        <f t="shared" ref="AN41:AN72" si="40">((AD41-MIN($AD41:$AL41))/(MAX($AD41:$AL41)-MIN($AD41:$AL41)))</f>
        <v>0</v>
      </c>
      <c r="AO41" s="67">
        <f t="shared" ref="AO41:AO72" si="41">((AE41-MIN($AD41:$AL41))/(MAX($AD41:$AL41)-MIN($AD41:$AL41)))</f>
        <v>8.4033613445378158E-2</v>
      </c>
      <c r="AP41" s="67">
        <f t="shared" ref="AP41:AP72" si="42">((AF41-MIN($AD41:$AL41))/(MAX($AD41:$AL41)-MIN($AD41:$AL41)))</f>
        <v>0.15126050420168066</v>
      </c>
      <c r="AQ41" s="67">
        <f t="shared" ref="AQ41:AQ72" si="43">((AG41-MIN($AD41:$AL41))/(MAX($AD41:$AL41)-MIN($AD41:$AL41)))</f>
        <v>0.21848739495798319</v>
      </c>
      <c r="AR41" s="67">
        <f t="shared" ref="AR41:AR72" si="44">((AH41-MIN($AD41:$AL41))/(MAX($AD41:$AL41)-MIN($AD41:$AL41)))</f>
        <v>0.30252100840336132</v>
      </c>
      <c r="AS41" s="67">
        <f t="shared" ref="AS41:AS72" si="45">((AI41-MIN($AD41:$AL41))/(MAX($AD41:$AL41)-MIN($AD41:$AL41)))</f>
        <v>0.43697478991596639</v>
      </c>
      <c r="AT41" s="67">
        <f t="shared" ref="AT41:AT72" si="46">((AJ41-MIN($AD41:$AL41))/(MAX($AD41:$AL41)-MIN($AD41:$AL41)))</f>
        <v>0.92436974789915971</v>
      </c>
      <c r="AU41" s="67">
        <f t="shared" ref="AU41:AU72" si="47">((AK41-MIN($AD41:$AL41))/(MAX($AD41:$AL41)-MIN($AD41:$AL41)))</f>
        <v>1</v>
      </c>
      <c r="AV41" s="67">
        <f t="shared" ref="AV41:AV72" si="48">((AL41-MIN($AD41:$AL41))/(MAX($AD41:$AL41)-MIN($AD41:$AL41)))</f>
        <v>0.36134453781512604</v>
      </c>
      <c r="AX41">
        <f t="shared" ref="AX41:AX72" si="49">MAX($AN41:$AR41)-MIN($AN41:$AR41)</f>
        <v>0.30252100840336132</v>
      </c>
      <c r="AY41">
        <f t="shared" ref="AY41:AY72" si="50">MAX($AS41:$AT41)-MIN($AS41:$AT41)</f>
        <v>0.48739495798319332</v>
      </c>
      <c r="AZ41">
        <f t="shared" ref="AZ41:AZ72" si="51">MAX($AU41:$AV41)-MIN($AU41:$AV41)</f>
        <v>0.6386554621848739</v>
      </c>
      <c r="BB41">
        <f t="shared" ref="BB41:BB72" si="52">AX41/SUM($AX41:$AZ41)</f>
        <v>0.21176470588235291</v>
      </c>
      <c r="BC41">
        <f t="shared" ref="BC41:BC72" si="53">AY41/SUM($AX41:$AZ41)</f>
        <v>0.3411764705882353</v>
      </c>
      <c r="BD41">
        <f t="shared" ref="BD41:BD72" si="54">AZ41/SUM($AX41:$AZ41)</f>
        <v>0.44705882352941173</v>
      </c>
      <c r="BF41" t="str">
        <f t="shared" si="30"/>
        <v>Theme</v>
      </c>
      <c r="BG41" t="str">
        <f t="shared" ref="BG41:BG72" si="55">INDEX(BI41:BK41,,MATCH(BF41,$BI$7:$BK$7,0))</f>
        <v>A</v>
      </c>
      <c r="BI41">
        <f t="shared" ref="BI41:BI72" si="56">INDEX($AN$7:$AR$7,,MATCH(MIN(AN41:AR41),AN41:AR41,0))</f>
        <v>3.5</v>
      </c>
      <c r="BJ41" t="str">
        <f t="shared" ref="BJ41:BJ72" si="57">INDEX($AS$7:$AT$7,,MATCH(MIN(AS41:AT41),AS41:AT41,0))</f>
        <v>Super Bowl</v>
      </c>
      <c r="BK41" t="str">
        <f t="shared" ref="BK41:BK72" si="58">INDEX($AU$7:$AV$7,,MATCH(MIN(AU41:AV41),AU41:AV41,0))</f>
        <v>A</v>
      </c>
    </row>
    <row r="42" spans="2:63">
      <c r="H42">
        <v>35</v>
      </c>
      <c r="I42">
        <v>1</v>
      </c>
      <c r="J42">
        <v>2</v>
      </c>
      <c r="K42">
        <v>4</v>
      </c>
      <c r="L42">
        <v>7</v>
      </c>
      <c r="M42">
        <v>10</v>
      </c>
      <c r="N42">
        <v>5</v>
      </c>
      <c r="O42">
        <v>8</v>
      </c>
      <c r="P42">
        <v>12</v>
      </c>
      <c r="Q42">
        <v>15</v>
      </c>
      <c r="R42">
        <v>18</v>
      </c>
      <c r="S42">
        <v>3</v>
      </c>
      <c r="T42">
        <v>6</v>
      </c>
      <c r="U42">
        <v>9</v>
      </c>
      <c r="V42">
        <v>13</v>
      </c>
      <c r="W42">
        <v>16</v>
      </c>
      <c r="X42">
        <v>11</v>
      </c>
      <c r="Y42">
        <v>14</v>
      </c>
      <c r="Z42">
        <v>17</v>
      </c>
      <c r="AA42">
        <v>19</v>
      </c>
      <c r="AB42">
        <v>20</v>
      </c>
      <c r="AD42">
        <f t="shared" si="31"/>
        <v>20</v>
      </c>
      <c r="AE42">
        <f t="shared" si="32"/>
        <v>30</v>
      </c>
      <c r="AF42">
        <f t="shared" si="33"/>
        <v>42</v>
      </c>
      <c r="AG42">
        <f t="shared" si="34"/>
        <v>54</v>
      </c>
      <c r="AH42">
        <f t="shared" si="35"/>
        <v>64</v>
      </c>
      <c r="AI42">
        <f t="shared" si="36"/>
        <v>82</v>
      </c>
      <c r="AJ42">
        <f t="shared" si="37"/>
        <v>128</v>
      </c>
      <c r="AK42">
        <f t="shared" si="38"/>
        <v>139</v>
      </c>
      <c r="AL42">
        <f t="shared" si="39"/>
        <v>71</v>
      </c>
      <c r="AN42" s="67">
        <f t="shared" si="40"/>
        <v>0</v>
      </c>
      <c r="AO42" s="67">
        <f t="shared" si="41"/>
        <v>8.4033613445378158E-2</v>
      </c>
      <c r="AP42" s="67">
        <f t="shared" si="42"/>
        <v>0.18487394957983194</v>
      </c>
      <c r="AQ42" s="67">
        <f t="shared" si="43"/>
        <v>0.2857142857142857</v>
      </c>
      <c r="AR42" s="67">
        <f t="shared" si="44"/>
        <v>0.36974789915966388</v>
      </c>
      <c r="AS42" s="67">
        <f t="shared" si="45"/>
        <v>0.52100840336134457</v>
      </c>
      <c r="AT42" s="67">
        <f t="shared" si="46"/>
        <v>0.90756302521008403</v>
      </c>
      <c r="AU42" s="67">
        <f t="shared" si="47"/>
        <v>1</v>
      </c>
      <c r="AV42" s="67">
        <f t="shared" si="48"/>
        <v>0.42857142857142855</v>
      </c>
      <c r="AX42">
        <f t="shared" si="49"/>
        <v>0.36974789915966388</v>
      </c>
      <c r="AY42">
        <f t="shared" si="50"/>
        <v>0.38655462184873945</v>
      </c>
      <c r="AZ42">
        <f t="shared" si="51"/>
        <v>0.5714285714285714</v>
      </c>
      <c r="BB42">
        <f t="shared" si="52"/>
        <v>0.27848101265822789</v>
      </c>
      <c r="BC42">
        <f t="shared" si="53"/>
        <v>0.29113924050632911</v>
      </c>
      <c r="BD42">
        <f t="shared" si="54"/>
        <v>0.43037974683544306</v>
      </c>
      <c r="BF42" t="str">
        <f t="shared" si="30"/>
        <v>Theme</v>
      </c>
      <c r="BG42" t="str">
        <f t="shared" si="55"/>
        <v>A</v>
      </c>
      <c r="BI42">
        <f t="shared" si="56"/>
        <v>3.5</v>
      </c>
      <c r="BJ42" t="str">
        <f t="shared" si="57"/>
        <v>Super Bowl</v>
      </c>
      <c r="BK42" t="str">
        <f t="shared" si="58"/>
        <v>A</v>
      </c>
    </row>
    <row r="43" spans="2:63">
      <c r="H43">
        <v>36</v>
      </c>
      <c r="I43">
        <v>11</v>
      </c>
      <c r="J43">
        <v>14</v>
      </c>
      <c r="K43">
        <v>17</v>
      </c>
      <c r="L43">
        <v>19</v>
      </c>
      <c r="M43">
        <v>20</v>
      </c>
      <c r="N43">
        <v>3</v>
      </c>
      <c r="O43">
        <v>6</v>
      </c>
      <c r="P43">
        <v>9</v>
      </c>
      <c r="Q43">
        <v>13</v>
      </c>
      <c r="R43">
        <v>16</v>
      </c>
      <c r="S43">
        <v>5</v>
      </c>
      <c r="T43">
        <v>8</v>
      </c>
      <c r="U43">
        <v>12</v>
      </c>
      <c r="V43">
        <v>15</v>
      </c>
      <c r="W43">
        <v>18</v>
      </c>
      <c r="X43">
        <v>1</v>
      </c>
      <c r="Y43">
        <v>2</v>
      </c>
      <c r="Z43">
        <v>4</v>
      </c>
      <c r="AA43">
        <v>7</v>
      </c>
      <c r="AB43">
        <v>10</v>
      </c>
      <c r="AD43">
        <f t="shared" si="31"/>
        <v>20</v>
      </c>
      <c r="AE43">
        <f t="shared" si="32"/>
        <v>30</v>
      </c>
      <c r="AF43">
        <f t="shared" si="33"/>
        <v>42</v>
      </c>
      <c r="AG43">
        <f t="shared" si="34"/>
        <v>54</v>
      </c>
      <c r="AH43">
        <f t="shared" si="35"/>
        <v>64</v>
      </c>
      <c r="AI43">
        <f t="shared" si="36"/>
        <v>128</v>
      </c>
      <c r="AJ43">
        <f t="shared" si="37"/>
        <v>82</v>
      </c>
      <c r="AK43">
        <f t="shared" si="38"/>
        <v>71</v>
      </c>
      <c r="AL43">
        <f t="shared" si="39"/>
        <v>139</v>
      </c>
      <c r="AN43" s="67">
        <f t="shared" si="40"/>
        <v>0</v>
      </c>
      <c r="AO43" s="67">
        <f t="shared" si="41"/>
        <v>8.4033613445378158E-2</v>
      </c>
      <c r="AP43" s="67">
        <f t="shared" si="42"/>
        <v>0.18487394957983194</v>
      </c>
      <c r="AQ43" s="67">
        <f t="shared" si="43"/>
        <v>0.2857142857142857</v>
      </c>
      <c r="AR43" s="67">
        <f t="shared" si="44"/>
        <v>0.36974789915966388</v>
      </c>
      <c r="AS43" s="67">
        <f t="shared" si="45"/>
        <v>0.90756302521008403</v>
      </c>
      <c r="AT43" s="67">
        <f t="shared" si="46"/>
        <v>0.52100840336134457</v>
      </c>
      <c r="AU43" s="67">
        <f t="shared" si="47"/>
        <v>0.42857142857142855</v>
      </c>
      <c r="AV43" s="67">
        <f t="shared" si="48"/>
        <v>1</v>
      </c>
      <c r="AX43">
        <f t="shared" si="49"/>
        <v>0.36974789915966388</v>
      </c>
      <c r="AY43">
        <f t="shared" si="50"/>
        <v>0.38655462184873945</v>
      </c>
      <c r="AZ43">
        <f t="shared" si="51"/>
        <v>0.5714285714285714</v>
      </c>
      <c r="BB43">
        <f t="shared" si="52"/>
        <v>0.27848101265822789</v>
      </c>
      <c r="BC43">
        <f t="shared" si="53"/>
        <v>0.29113924050632911</v>
      </c>
      <c r="BD43">
        <f t="shared" si="54"/>
        <v>0.43037974683544306</v>
      </c>
      <c r="BF43" t="str">
        <f t="shared" si="30"/>
        <v>Theme</v>
      </c>
      <c r="BG43" t="str">
        <f t="shared" si="55"/>
        <v>B</v>
      </c>
      <c r="BI43">
        <f t="shared" si="56"/>
        <v>3.5</v>
      </c>
      <c r="BJ43" t="str">
        <f t="shared" si="57"/>
        <v>Tennis</v>
      </c>
      <c r="BK43" t="str">
        <f t="shared" si="58"/>
        <v>B</v>
      </c>
    </row>
    <row r="44" spans="2:63">
      <c r="H44">
        <v>37</v>
      </c>
      <c r="I44">
        <v>4</v>
      </c>
      <c r="J44">
        <v>7</v>
      </c>
      <c r="K44">
        <v>10</v>
      </c>
      <c r="L44">
        <v>13</v>
      </c>
      <c r="M44">
        <v>16</v>
      </c>
      <c r="N44">
        <v>1</v>
      </c>
      <c r="O44">
        <v>2</v>
      </c>
      <c r="P44">
        <v>4</v>
      </c>
      <c r="Q44">
        <v>7</v>
      </c>
      <c r="R44">
        <v>10</v>
      </c>
      <c r="S44">
        <v>13</v>
      </c>
      <c r="T44">
        <v>16</v>
      </c>
      <c r="U44">
        <v>18</v>
      </c>
      <c r="V44">
        <v>19</v>
      </c>
      <c r="W44">
        <v>20</v>
      </c>
      <c r="X44">
        <v>7</v>
      </c>
      <c r="Y44">
        <v>10</v>
      </c>
      <c r="Z44">
        <v>13</v>
      </c>
      <c r="AA44">
        <v>16</v>
      </c>
      <c r="AB44">
        <v>18</v>
      </c>
      <c r="AD44">
        <f t="shared" si="31"/>
        <v>25</v>
      </c>
      <c r="AE44">
        <f t="shared" si="32"/>
        <v>35</v>
      </c>
      <c r="AF44">
        <f t="shared" si="33"/>
        <v>45</v>
      </c>
      <c r="AG44">
        <f t="shared" si="34"/>
        <v>55</v>
      </c>
      <c r="AH44">
        <f t="shared" si="35"/>
        <v>64</v>
      </c>
      <c r="AI44">
        <f t="shared" si="36"/>
        <v>74</v>
      </c>
      <c r="AJ44">
        <f t="shared" si="37"/>
        <v>150</v>
      </c>
      <c r="AK44">
        <f t="shared" si="38"/>
        <v>88</v>
      </c>
      <c r="AL44">
        <f t="shared" si="39"/>
        <v>136</v>
      </c>
      <c r="AN44" s="67">
        <f t="shared" si="40"/>
        <v>0</v>
      </c>
      <c r="AO44" s="67">
        <f t="shared" si="41"/>
        <v>0.08</v>
      </c>
      <c r="AP44" s="67">
        <f t="shared" si="42"/>
        <v>0.16</v>
      </c>
      <c r="AQ44" s="67">
        <f t="shared" si="43"/>
        <v>0.24</v>
      </c>
      <c r="AR44" s="67">
        <f t="shared" si="44"/>
        <v>0.312</v>
      </c>
      <c r="AS44" s="67">
        <f t="shared" si="45"/>
        <v>0.39200000000000002</v>
      </c>
      <c r="AT44" s="67">
        <f t="shared" si="46"/>
        <v>1</v>
      </c>
      <c r="AU44" s="67">
        <f t="shared" si="47"/>
        <v>0.504</v>
      </c>
      <c r="AV44" s="67">
        <f t="shared" si="48"/>
        <v>0.88800000000000001</v>
      </c>
      <c r="AX44">
        <f t="shared" si="49"/>
        <v>0.312</v>
      </c>
      <c r="AY44">
        <f t="shared" si="50"/>
        <v>0.60799999999999998</v>
      </c>
      <c r="AZ44">
        <f t="shared" si="51"/>
        <v>0.38400000000000001</v>
      </c>
      <c r="BB44">
        <f t="shared" si="52"/>
        <v>0.23926380368098163</v>
      </c>
      <c r="BC44">
        <f t="shared" si="53"/>
        <v>0.46625766871165647</v>
      </c>
      <c r="BD44">
        <f t="shared" si="54"/>
        <v>0.29447852760736198</v>
      </c>
      <c r="BF44" t="str">
        <f t="shared" si="30"/>
        <v xml:space="preserve">Brand </v>
      </c>
      <c r="BG44" t="str">
        <f t="shared" si="55"/>
        <v>Super Bowl</v>
      </c>
      <c r="BI44">
        <f t="shared" si="56"/>
        <v>3.5</v>
      </c>
      <c r="BJ44" t="str">
        <f t="shared" si="57"/>
        <v>Super Bowl</v>
      </c>
      <c r="BK44" t="str">
        <f t="shared" si="58"/>
        <v>B</v>
      </c>
    </row>
    <row r="45" spans="2:63">
      <c r="H45">
        <v>38</v>
      </c>
      <c r="I45">
        <v>12</v>
      </c>
      <c r="J45">
        <v>15</v>
      </c>
      <c r="K45">
        <v>18</v>
      </c>
      <c r="L45">
        <v>19</v>
      </c>
      <c r="M45">
        <v>20</v>
      </c>
      <c r="N45">
        <v>5</v>
      </c>
      <c r="O45">
        <v>8</v>
      </c>
      <c r="P45">
        <v>11</v>
      </c>
      <c r="Q45">
        <v>14</v>
      </c>
      <c r="R45">
        <v>17</v>
      </c>
      <c r="S45">
        <v>4</v>
      </c>
      <c r="T45">
        <v>7</v>
      </c>
      <c r="U45">
        <v>10</v>
      </c>
      <c r="V45">
        <v>13</v>
      </c>
      <c r="W45">
        <v>16</v>
      </c>
      <c r="X45">
        <v>1</v>
      </c>
      <c r="Y45">
        <v>2</v>
      </c>
      <c r="Z45">
        <v>3</v>
      </c>
      <c r="AA45">
        <v>6</v>
      </c>
      <c r="AB45">
        <v>9</v>
      </c>
      <c r="AD45">
        <f t="shared" si="31"/>
        <v>22</v>
      </c>
      <c r="AE45">
        <f t="shared" si="32"/>
        <v>32</v>
      </c>
      <c r="AF45">
        <f t="shared" si="33"/>
        <v>42</v>
      </c>
      <c r="AG45">
        <f t="shared" si="34"/>
        <v>52</v>
      </c>
      <c r="AH45">
        <f t="shared" si="35"/>
        <v>62</v>
      </c>
      <c r="AI45">
        <f t="shared" si="36"/>
        <v>139</v>
      </c>
      <c r="AJ45">
        <f t="shared" si="37"/>
        <v>71</v>
      </c>
      <c r="AK45">
        <f t="shared" si="38"/>
        <v>76</v>
      </c>
      <c r="AL45">
        <f t="shared" si="39"/>
        <v>134</v>
      </c>
      <c r="AN45" s="67">
        <f t="shared" si="40"/>
        <v>0</v>
      </c>
      <c r="AO45" s="67">
        <f t="shared" si="41"/>
        <v>8.5470085470085472E-2</v>
      </c>
      <c r="AP45" s="67">
        <f t="shared" si="42"/>
        <v>0.17094017094017094</v>
      </c>
      <c r="AQ45" s="67">
        <f t="shared" si="43"/>
        <v>0.25641025641025639</v>
      </c>
      <c r="AR45" s="67">
        <f t="shared" si="44"/>
        <v>0.34188034188034189</v>
      </c>
      <c r="AS45" s="67">
        <f t="shared" si="45"/>
        <v>1</v>
      </c>
      <c r="AT45" s="67">
        <f t="shared" si="46"/>
        <v>0.41880341880341881</v>
      </c>
      <c r="AU45" s="67">
        <f t="shared" si="47"/>
        <v>0.46153846153846156</v>
      </c>
      <c r="AV45" s="67">
        <f t="shared" si="48"/>
        <v>0.95726495726495731</v>
      </c>
      <c r="AX45">
        <f t="shared" si="49"/>
        <v>0.34188034188034189</v>
      </c>
      <c r="AY45">
        <f t="shared" si="50"/>
        <v>0.58119658119658113</v>
      </c>
      <c r="AZ45">
        <f t="shared" si="51"/>
        <v>0.49572649572649574</v>
      </c>
      <c r="BB45">
        <f t="shared" si="52"/>
        <v>0.24096385542168677</v>
      </c>
      <c r="BC45">
        <f t="shared" si="53"/>
        <v>0.40963855421686746</v>
      </c>
      <c r="BD45">
        <f t="shared" si="54"/>
        <v>0.34939759036144585</v>
      </c>
      <c r="BF45" t="str">
        <f t="shared" si="30"/>
        <v xml:space="preserve">Brand </v>
      </c>
      <c r="BG45" t="str">
        <f t="shared" si="55"/>
        <v>Tennis</v>
      </c>
      <c r="BI45">
        <f t="shared" si="56"/>
        <v>3.5</v>
      </c>
      <c r="BJ45" t="str">
        <f t="shared" si="57"/>
        <v>Tennis</v>
      </c>
      <c r="BK45" t="str">
        <f t="shared" si="58"/>
        <v>B</v>
      </c>
    </row>
    <row r="46" spans="2:63">
      <c r="H46">
        <v>39</v>
      </c>
      <c r="I46">
        <v>11</v>
      </c>
      <c r="J46">
        <v>14</v>
      </c>
      <c r="K46">
        <v>17</v>
      </c>
      <c r="L46">
        <v>19</v>
      </c>
      <c r="M46">
        <v>20</v>
      </c>
      <c r="N46">
        <v>3</v>
      </c>
      <c r="O46">
        <v>6</v>
      </c>
      <c r="P46">
        <v>9</v>
      </c>
      <c r="Q46">
        <v>13</v>
      </c>
      <c r="R46">
        <v>16</v>
      </c>
      <c r="S46">
        <v>5</v>
      </c>
      <c r="T46">
        <v>8</v>
      </c>
      <c r="U46">
        <v>12</v>
      </c>
      <c r="V46">
        <v>15</v>
      </c>
      <c r="W46">
        <v>18</v>
      </c>
      <c r="X46">
        <v>1</v>
      </c>
      <c r="Y46">
        <v>2</v>
      </c>
      <c r="Z46">
        <v>4</v>
      </c>
      <c r="AA46">
        <v>7</v>
      </c>
      <c r="AB46">
        <v>10</v>
      </c>
      <c r="AD46">
        <f t="shared" si="31"/>
        <v>20</v>
      </c>
      <c r="AE46">
        <f t="shared" si="32"/>
        <v>30</v>
      </c>
      <c r="AF46">
        <f t="shared" si="33"/>
        <v>42</v>
      </c>
      <c r="AG46">
        <f t="shared" si="34"/>
        <v>54</v>
      </c>
      <c r="AH46">
        <f t="shared" si="35"/>
        <v>64</v>
      </c>
      <c r="AI46">
        <f t="shared" si="36"/>
        <v>128</v>
      </c>
      <c r="AJ46">
        <f t="shared" si="37"/>
        <v>82</v>
      </c>
      <c r="AK46">
        <f t="shared" si="38"/>
        <v>71</v>
      </c>
      <c r="AL46">
        <f t="shared" si="39"/>
        <v>139</v>
      </c>
      <c r="AN46" s="67">
        <f t="shared" si="40"/>
        <v>0</v>
      </c>
      <c r="AO46" s="67">
        <f t="shared" si="41"/>
        <v>8.4033613445378158E-2</v>
      </c>
      <c r="AP46" s="67">
        <f t="shared" si="42"/>
        <v>0.18487394957983194</v>
      </c>
      <c r="AQ46" s="67">
        <f t="shared" si="43"/>
        <v>0.2857142857142857</v>
      </c>
      <c r="AR46" s="67">
        <f t="shared" si="44"/>
        <v>0.36974789915966388</v>
      </c>
      <c r="AS46" s="67">
        <f t="shared" si="45"/>
        <v>0.90756302521008403</v>
      </c>
      <c r="AT46" s="67">
        <f t="shared" si="46"/>
        <v>0.52100840336134457</v>
      </c>
      <c r="AU46" s="67">
        <f t="shared" si="47"/>
        <v>0.42857142857142855</v>
      </c>
      <c r="AV46" s="67">
        <f t="shared" si="48"/>
        <v>1</v>
      </c>
      <c r="AX46">
        <f t="shared" si="49"/>
        <v>0.36974789915966388</v>
      </c>
      <c r="AY46">
        <f t="shared" si="50"/>
        <v>0.38655462184873945</v>
      </c>
      <c r="AZ46">
        <f t="shared" si="51"/>
        <v>0.5714285714285714</v>
      </c>
      <c r="BB46">
        <f t="shared" si="52"/>
        <v>0.27848101265822789</v>
      </c>
      <c r="BC46">
        <f t="shared" si="53"/>
        <v>0.29113924050632911</v>
      </c>
      <c r="BD46">
        <f t="shared" si="54"/>
        <v>0.43037974683544306</v>
      </c>
      <c r="BF46" t="str">
        <f t="shared" si="30"/>
        <v>Theme</v>
      </c>
      <c r="BG46" t="str">
        <f t="shared" si="55"/>
        <v>B</v>
      </c>
      <c r="BI46">
        <f t="shared" si="56"/>
        <v>3.5</v>
      </c>
      <c r="BJ46" t="str">
        <f t="shared" si="57"/>
        <v>Tennis</v>
      </c>
      <c r="BK46" t="str">
        <f t="shared" si="58"/>
        <v>B</v>
      </c>
    </row>
    <row r="47" spans="2:63">
      <c r="H47">
        <v>40</v>
      </c>
      <c r="I47">
        <v>12</v>
      </c>
      <c r="J47">
        <v>15</v>
      </c>
      <c r="K47">
        <v>18</v>
      </c>
      <c r="L47">
        <v>19</v>
      </c>
      <c r="M47">
        <v>20</v>
      </c>
      <c r="N47">
        <v>5</v>
      </c>
      <c r="O47">
        <v>8</v>
      </c>
      <c r="P47">
        <v>11</v>
      </c>
      <c r="Q47">
        <v>14</v>
      </c>
      <c r="R47">
        <v>17</v>
      </c>
      <c r="S47">
        <v>5</v>
      </c>
      <c r="T47">
        <v>8</v>
      </c>
      <c r="U47">
        <v>11</v>
      </c>
      <c r="V47">
        <v>14</v>
      </c>
      <c r="W47">
        <v>17</v>
      </c>
      <c r="X47">
        <v>1</v>
      </c>
      <c r="Y47">
        <v>2</v>
      </c>
      <c r="Z47">
        <v>3</v>
      </c>
      <c r="AA47">
        <v>6</v>
      </c>
      <c r="AB47">
        <v>9</v>
      </c>
      <c r="AD47">
        <f t="shared" si="31"/>
        <v>23</v>
      </c>
      <c r="AE47">
        <f t="shared" si="32"/>
        <v>33</v>
      </c>
      <c r="AF47">
        <f t="shared" si="33"/>
        <v>43</v>
      </c>
      <c r="AG47">
        <f t="shared" si="34"/>
        <v>53</v>
      </c>
      <c r="AH47">
        <f t="shared" si="35"/>
        <v>63</v>
      </c>
      <c r="AI47">
        <f t="shared" si="36"/>
        <v>139</v>
      </c>
      <c r="AJ47">
        <f t="shared" si="37"/>
        <v>76</v>
      </c>
      <c r="AK47">
        <f t="shared" si="38"/>
        <v>76</v>
      </c>
      <c r="AL47">
        <f t="shared" si="39"/>
        <v>139</v>
      </c>
      <c r="AN47" s="67">
        <f t="shared" si="40"/>
        <v>0</v>
      </c>
      <c r="AO47" s="67">
        <f t="shared" si="41"/>
        <v>8.6206896551724144E-2</v>
      </c>
      <c r="AP47" s="67">
        <f t="shared" si="42"/>
        <v>0.17241379310344829</v>
      </c>
      <c r="AQ47" s="67">
        <f t="shared" si="43"/>
        <v>0.25862068965517243</v>
      </c>
      <c r="AR47" s="67">
        <f t="shared" si="44"/>
        <v>0.34482758620689657</v>
      </c>
      <c r="AS47" s="67">
        <f t="shared" si="45"/>
        <v>1</v>
      </c>
      <c r="AT47" s="67">
        <f t="shared" si="46"/>
        <v>0.45689655172413796</v>
      </c>
      <c r="AU47" s="67">
        <f t="shared" si="47"/>
        <v>0.45689655172413796</v>
      </c>
      <c r="AV47" s="67">
        <f t="shared" si="48"/>
        <v>1</v>
      </c>
      <c r="AX47">
        <f t="shared" si="49"/>
        <v>0.34482758620689657</v>
      </c>
      <c r="AY47">
        <f t="shared" si="50"/>
        <v>0.5431034482758621</v>
      </c>
      <c r="AZ47">
        <f t="shared" si="51"/>
        <v>0.5431034482758621</v>
      </c>
      <c r="BB47">
        <f t="shared" si="52"/>
        <v>0.24096385542168675</v>
      </c>
      <c r="BC47">
        <f t="shared" si="53"/>
        <v>0.37951807228915663</v>
      </c>
      <c r="BD47">
        <f t="shared" si="54"/>
        <v>0.37951807228915663</v>
      </c>
      <c r="BF47" t="str">
        <f t="shared" si="30"/>
        <v xml:space="preserve">Brand </v>
      </c>
      <c r="BG47" t="str">
        <f t="shared" si="55"/>
        <v>Tennis</v>
      </c>
      <c r="BI47">
        <f t="shared" si="56"/>
        <v>3.5</v>
      </c>
      <c r="BJ47" t="str">
        <f t="shared" si="57"/>
        <v>Tennis</v>
      </c>
      <c r="BK47" t="str">
        <f t="shared" si="58"/>
        <v>B</v>
      </c>
    </row>
    <row r="48" spans="2:63">
      <c r="H48">
        <v>41</v>
      </c>
      <c r="I48">
        <v>1</v>
      </c>
      <c r="J48">
        <v>5</v>
      </c>
      <c r="K48">
        <v>9</v>
      </c>
      <c r="L48">
        <v>13</v>
      </c>
      <c r="M48">
        <v>17</v>
      </c>
      <c r="N48">
        <v>2</v>
      </c>
      <c r="O48">
        <v>6</v>
      </c>
      <c r="P48">
        <v>10</v>
      </c>
      <c r="Q48">
        <v>14</v>
      </c>
      <c r="R48">
        <v>18</v>
      </c>
      <c r="S48">
        <v>3</v>
      </c>
      <c r="T48">
        <v>7</v>
      </c>
      <c r="U48">
        <v>11</v>
      </c>
      <c r="V48">
        <v>15</v>
      </c>
      <c r="W48">
        <v>19</v>
      </c>
      <c r="X48">
        <v>4</v>
      </c>
      <c r="Y48">
        <v>8</v>
      </c>
      <c r="Z48">
        <v>12</v>
      </c>
      <c r="AA48">
        <v>16</v>
      </c>
      <c r="AB48">
        <v>20</v>
      </c>
      <c r="AD48">
        <f t="shared" si="31"/>
        <v>10</v>
      </c>
      <c r="AE48">
        <f t="shared" si="32"/>
        <v>26</v>
      </c>
      <c r="AF48">
        <f t="shared" si="33"/>
        <v>42</v>
      </c>
      <c r="AG48">
        <f t="shared" si="34"/>
        <v>58</v>
      </c>
      <c r="AH48">
        <f t="shared" si="35"/>
        <v>74</v>
      </c>
      <c r="AI48">
        <f t="shared" si="36"/>
        <v>95</v>
      </c>
      <c r="AJ48">
        <f t="shared" si="37"/>
        <v>115</v>
      </c>
      <c r="AK48">
        <f t="shared" si="38"/>
        <v>110</v>
      </c>
      <c r="AL48">
        <f t="shared" si="39"/>
        <v>100</v>
      </c>
      <c r="AN48" s="67">
        <f t="shared" si="40"/>
        <v>0</v>
      </c>
      <c r="AO48" s="67">
        <f t="shared" si="41"/>
        <v>0.15238095238095239</v>
      </c>
      <c r="AP48" s="67">
        <f t="shared" si="42"/>
        <v>0.30476190476190479</v>
      </c>
      <c r="AQ48" s="67">
        <f t="shared" si="43"/>
        <v>0.45714285714285713</v>
      </c>
      <c r="AR48" s="67">
        <f t="shared" si="44"/>
        <v>0.60952380952380958</v>
      </c>
      <c r="AS48" s="67">
        <f t="shared" si="45"/>
        <v>0.80952380952380953</v>
      </c>
      <c r="AT48" s="67">
        <f t="shared" si="46"/>
        <v>1</v>
      </c>
      <c r="AU48" s="67">
        <f t="shared" si="47"/>
        <v>0.95238095238095233</v>
      </c>
      <c r="AV48" s="67">
        <f t="shared" si="48"/>
        <v>0.8571428571428571</v>
      </c>
      <c r="AX48">
        <f t="shared" si="49"/>
        <v>0.60952380952380958</v>
      </c>
      <c r="AY48">
        <f t="shared" si="50"/>
        <v>0.19047619047619047</v>
      </c>
      <c r="AZ48">
        <f t="shared" si="51"/>
        <v>9.5238095238095233E-2</v>
      </c>
      <c r="BB48">
        <f t="shared" si="52"/>
        <v>0.68085106382978722</v>
      </c>
      <c r="BC48">
        <f t="shared" si="53"/>
        <v>0.21276595744680848</v>
      </c>
      <c r="BD48">
        <f t="shared" si="54"/>
        <v>0.10638297872340424</v>
      </c>
      <c r="BF48" t="str">
        <f t="shared" si="30"/>
        <v>Price</v>
      </c>
      <c r="BG48">
        <f t="shared" si="55"/>
        <v>3.5</v>
      </c>
      <c r="BI48">
        <f t="shared" si="56"/>
        <v>3.5</v>
      </c>
      <c r="BJ48" t="str">
        <f t="shared" si="57"/>
        <v>Super Bowl</v>
      </c>
      <c r="BK48" t="str">
        <f t="shared" si="58"/>
        <v>A</v>
      </c>
    </row>
    <row r="49" spans="8:63">
      <c r="H49">
        <v>42</v>
      </c>
      <c r="I49">
        <v>1</v>
      </c>
      <c r="J49">
        <v>2</v>
      </c>
      <c r="K49">
        <v>3</v>
      </c>
      <c r="L49">
        <v>6</v>
      </c>
      <c r="M49">
        <v>9</v>
      </c>
      <c r="N49">
        <v>5</v>
      </c>
      <c r="O49">
        <v>8</v>
      </c>
      <c r="P49">
        <v>11</v>
      </c>
      <c r="Q49">
        <v>14</v>
      </c>
      <c r="R49">
        <v>17</v>
      </c>
      <c r="S49">
        <v>4</v>
      </c>
      <c r="T49">
        <v>7</v>
      </c>
      <c r="U49">
        <v>10</v>
      </c>
      <c r="V49">
        <v>13</v>
      </c>
      <c r="W49">
        <v>16</v>
      </c>
      <c r="X49">
        <v>12</v>
      </c>
      <c r="Y49">
        <v>15</v>
      </c>
      <c r="Z49">
        <v>18</v>
      </c>
      <c r="AA49">
        <v>19</v>
      </c>
      <c r="AB49">
        <v>20</v>
      </c>
      <c r="AD49">
        <f t="shared" si="31"/>
        <v>22</v>
      </c>
      <c r="AE49">
        <f t="shared" si="32"/>
        <v>32</v>
      </c>
      <c r="AF49">
        <f t="shared" si="33"/>
        <v>42</v>
      </c>
      <c r="AG49">
        <f t="shared" si="34"/>
        <v>52</v>
      </c>
      <c r="AH49">
        <f t="shared" si="35"/>
        <v>62</v>
      </c>
      <c r="AI49">
        <f t="shared" si="36"/>
        <v>76</v>
      </c>
      <c r="AJ49">
        <f t="shared" si="37"/>
        <v>134</v>
      </c>
      <c r="AK49">
        <f t="shared" si="38"/>
        <v>139</v>
      </c>
      <c r="AL49">
        <f t="shared" si="39"/>
        <v>71</v>
      </c>
      <c r="AN49" s="67">
        <f t="shared" si="40"/>
        <v>0</v>
      </c>
      <c r="AO49" s="67">
        <f t="shared" si="41"/>
        <v>8.5470085470085472E-2</v>
      </c>
      <c r="AP49" s="67">
        <f t="shared" si="42"/>
        <v>0.17094017094017094</v>
      </c>
      <c r="AQ49" s="67">
        <f t="shared" si="43"/>
        <v>0.25641025641025639</v>
      </c>
      <c r="AR49" s="67">
        <f t="shared" si="44"/>
        <v>0.34188034188034189</v>
      </c>
      <c r="AS49" s="67">
        <f t="shared" si="45"/>
        <v>0.46153846153846156</v>
      </c>
      <c r="AT49" s="67">
        <f t="shared" si="46"/>
        <v>0.95726495726495731</v>
      </c>
      <c r="AU49" s="67">
        <f t="shared" si="47"/>
        <v>1</v>
      </c>
      <c r="AV49" s="67">
        <f t="shared" si="48"/>
        <v>0.41880341880341881</v>
      </c>
      <c r="AX49">
        <f t="shared" si="49"/>
        <v>0.34188034188034189</v>
      </c>
      <c r="AY49">
        <f t="shared" si="50"/>
        <v>0.49572649572649574</v>
      </c>
      <c r="AZ49">
        <f t="shared" si="51"/>
        <v>0.58119658119658113</v>
      </c>
      <c r="BB49">
        <f t="shared" si="52"/>
        <v>0.24096385542168677</v>
      </c>
      <c r="BC49">
        <f t="shared" si="53"/>
        <v>0.34939759036144585</v>
      </c>
      <c r="BD49">
        <f t="shared" si="54"/>
        <v>0.40963855421686746</v>
      </c>
      <c r="BF49" t="str">
        <f t="shared" si="30"/>
        <v>Theme</v>
      </c>
      <c r="BG49" t="str">
        <f t="shared" si="55"/>
        <v>A</v>
      </c>
      <c r="BI49">
        <f t="shared" si="56"/>
        <v>3.5</v>
      </c>
      <c r="BJ49" t="str">
        <f t="shared" si="57"/>
        <v>Super Bowl</v>
      </c>
      <c r="BK49" t="str">
        <f t="shared" si="58"/>
        <v>A</v>
      </c>
    </row>
    <row r="50" spans="8:63">
      <c r="H50">
        <v>43</v>
      </c>
      <c r="I50">
        <v>4</v>
      </c>
      <c r="J50">
        <v>8</v>
      </c>
      <c r="K50">
        <v>12</v>
      </c>
      <c r="L50">
        <v>16</v>
      </c>
      <c r="M50">
        <v>20</v>
      </c>
      <c r="N50">
        <v>3</v>
      </c>
      <c r="O50">
        <v>7</v>
      </c>
      <c r="P50">
        <v>11</v>
      </c>
      <c r="Q50">
        <v>15</v>
      </c>
      <c r="R50">
        <v>19</v>
      </c>
      <c r="S50">
        <v>2</v>
      </c>
      <c r="T50">
        <v>6</v>
      </c>
      <c r="U50">
        <v>10</v>
      </c>
      <c r="V50">
        <v>14</v>
      </c>
      <c r="W50">
        <v>18</v>
      </c>
      <c r="X50">
        <v>1</v>
      </c>
      <c r="Y50">
        <v>5</v>
      </c>
      <c r="Z50">
        <v>9</v>
      </c>
      <c r="AA50">
        <v>13</v>
      </c>
      <c r="AB50">
        <v>17</v>
      </c>
      <c r="AD50">
        <f t="shared" si="31"/>
        <v>10</v>
      </c>
      <c r="AE50">
        <f t="shared" si="32"/>
        <v>26</v>
      </c>
      <c r="AF50">
        <f t="shared" si="33"/>
        <v>42</v>
      </c>
      <c r="AG50">
        <f t="shared" si="34"/>
        <v>58</v>
      </c>
      <c r="AH50">
        <f t="shared" si="35"/>
        <v>74</v>
      </c>
      <c r="AI50">
        <f t="shared" si="36"/>
        <v>115</v>
      </c>
      <c r="AJ50">
        <f t="shared" si="37"/>
        <v>95</v>
      </c>
      <c r="AK50">
        <f t="shared" si="38"/>
        <v>100</v>
      </c>
      <c r="AL50">
        <f t="shared" si="39"/>
        <v>110</v>
      </c>
      <c r="AN50" s="67">
        <f t="shared" si="40"/>
        <v>0</v>
      </c>
      <c r="AO50" s="67">
        <f t="shared" si="41"/>
        <v>0.15238095238095239</v>
      </c>
      <c r="AP50" s="67">
        <f t="shared" si="42"/>
        <v>0.30476190476190479</v>
      </c>
      <c r="AQ50" s="67">
        <f t="shared" si="43"/>
        <v>0.45714285714285713</v>
      </c>
      <c r="AR50" s="67">
        <f t="shared" si="44"/>
        <v>0.60952380952380958</v>
      </c>
      <c r="AS50" s="67">
        <f t="shared" si="45"/>
        <v>1</v>
      </c>
      <c r="AT50" s="67">
        <f t="shared" si="46"/>
        <v>0.80952380952380953</v>
      </c>
      <c r="AU50" s="67">
        <f t="shared" si="47"/>
        <v>0.8571428571428571</v>
      </c>
      <c r="AV50" s="67">
        <f t="shared" si="48"/>
        <v>0.95238095238095233</v>
      </c>
      <c r="AX50">
        <f t="shared" si="49"/>
        <v>0.60952380952380958</v>
      </c>
      <c r="AY50">
        <f t="shared" si="50"/>
        <v>0.19047619047619047</v>
      </c>
      <c r="AZ50">
        <f t="shared" si="51"/>
        <v>9.5238095238095233E-2</v>
      </c>
      <c r="BB50">
        <f t="shared" si="52"/>
        <v>0.68085106382978722</v>
      </c>
      <c r="BC50">
        <f t="shared" si="53"/>
        <v>0.21276595744680848</v>
      </c>
      <c r="BD50">
        <f t="shared" si="54"/>
        <v>0.10638297872340424</v>
      </c>
      <c r="BF50" t="str">
        <f t="shared" si="30"/>
        <v>Price</v>
      </c>
      <c r="BG50">
        <f t="shared" si="55"/>
        <v>3.5</v>
      </c>
      <c r="BI50">
        <f t="shared" si="56"/>
        <v>3.5</v>
      </c>
      <c r="BJ50" t="str">
        <f t="shared" si="57"/>
        <v>Tennis</v>
      </c>
      <c r="BK50" t="str">
        <f t="shared" si="58"/>
        <v>B</v>
      </c>
    </row>
    <row r="51" spans="8:63">
      <c r="H51">
        <v>44</v>
      </c>
      <c r="I51">
        <v>1</v>
      </c>
      <c r="J51">
        <v>2</v>
      </c>
      <c r="K51">
        <v>4</v>
      </c>
      <c r="L51">
        <v>7</v>
      </c>
      <c r="M51">
        <v>10</v>
      </c>
      <c r="N51">
        <v>3</v>
      </c>
      <c r="O51">
        <v>6</v>
      </c>
      <c r="P51">
        <v>9</v>
      </c>
      <c r="Q51">
        <v>13</v>
      </c>
      <c r="R51">
        <v>16</v>
      </c>
      <c r="S51">
        <v>5</v>
      </c>
      <c r="T51">
        <v>8</v>
      </c>
      <c r="U51">
        <v>12</v>
      </c>
      <c r="V51">
        <v>15</v>
      </c>
      <c r="W51">
        <v>18</v>
      </c>
      <c r="X51">
        <v>11</v>
      </c>
      <c r="Y51">
        <v>14</v>
      </c>
      <c r="Z51">
        <v>17</v>
      </c>
      <c r="AA51">
        <v>19</v>
      </c>
      <c r="AB51">
        <v>20</v>
      </c>
      <c r="AD51">
        <f t="shared" si="31"/>
        <v>20</v>
      </c>
      <c r="AE51">
        <f t="shared" si="32"/>
        <v>30</v>
      </c>
      <c r="AF51">
        <f t="shared" si="33"/>
        <v>42</v>
      </c>
      <c r="AG51">
        <f t="shared" si="34"/>
        <v>54</v>
      </c>
      <c r="AH51">
        <f t="shared" si="35"/>
        <v>64</v>
      </c>
      <c r="AI51">
        <f t="shared" si="36"/>
        <v>71</v>
      </c>
      <c r="AJ51">
        <f t="shared" si="37"/>
        <v>139</v>
      </c>
      <c r="AK51">
        <f t="shared" si="38"/>
        <v>128</v>
      </c>
      <c r="AL51">
        <f t="shared" si="39"/>
        <v>82</v>
      </c>
      <c r="AN51" s="67">
        <f t="shared" si="40"/>
        <v>0</v>
      </c>
      <c r="AO51" s="67">
        <f t="shared" si="41"/>
        <v>8.4033613445378158E-2</v>
      </c>
      <c r="AP51" s="67">
        <f t="shared" si="42"/>
        <v>0.18487394957983194</v>
      </c>
      <c r="AQ51" s="67">
        <f t="shared" si="43"/>
        <v>0.2857142857142857</v>
      </c>
      <c r="AR51" s="67">
        <f t="shared" si="44"/>
        <v>0.36974789915966388</v>
      </c>
      <c r="AS51" s="67">
        <f t="shared" si="45"/>
        <v>0.42857142857142855</v>
      </c>
      <c r="AT51" s="67">
        <f t="shared" si="46"/>
        <v>1</v>
      </c>
      <c r="AU51" s="67">
        <f t="shared" si="47"/>
        <v>0.90756302521008403</v>
      </c>
      <c r="AV51" s="67">
        <f t="shared" si="48"/>
        <v>0.52100840336134457</v>
      </c>
      <c r="AX51">
        <f t="shared" si="49"/>
        <v>0.36974789915966388</v>
      </c>
      <c r="AY51">
        <f t="shared" si="50"/>
        <v>0.5714285714285714</v>
      </c>
      <c r="AZ51">
        <f t="shared" si="51"/>
        <v>0.38655462184873945</v>
      </c>
      <c r="BB51">
        <f t="shared" si="52"/>
        <v>0.27848101265822789</v>
      </c>
      <c r="BC51">
        <f t="shared" si="53"/>
        <v>0.43037974683544306</v>
      </c>
      <c r="BD51">
        <f t="shared" si="54"/>
        <v>0.29113924050632911</v>
      </c>
      <c r="BF51" t="str">
        <f t="shared" si="30"/>
        <v xml:space="preserve">Brand </v>
      </c>
      <c r="BG51" t="str">
        <f t="shared" si="55"/>
        <v>Super Bowl</v>
      </c>
      <c r="BI51">
        <f t="shared" si="56"/>
        <v>3.5</v>
      </c>
      <c r="BJ51" t="str">
        <f t="shared" si="57"/>
        <v>Super Bowl</v>
      </c>
      <c r="BK51" t="str">
        <f t="shared" si="58"/>
        <v>A</v>
      </c>
    </row>
    <row r="52" spans="8:63">
      <c r="H52">
        <v>45</v>
      </c>
      <c r="I52">
        <v>3</v>
      </c>
      <c r="J52">
        <v>6</v>
      </c>
      <c r="K52">
        <v>10</v>
      </c>
      <c r="L52">
        <v>14</v>
      </c>
      <c r="M52">
        <v>17</v>
      </c>
      <c r="N52">
        <v>1</v>
      </c>
      <c r="O52">
        <v>2</v>
      </c>
      <c r="P52">
        <v>5</v>
      </c>
      <c r="Q52">
        <v>8</v>
      </c>
      <c r="R52">
        <v>12</v>
      </c>
      <c r="S52">
        <v>9</v>
      </c>
      <c r="T52">
        <v>13</v>
      </c>
      <c r="U52">
        <v>16</v>
      </c>
      <c r="V52">
        <v>19</v>
      </c>
      <c r="W52">
        <v>20</v>
      </c>
      <c r="X52">
        <v>4</v>
      </c>
      <c r="Y52">
        <v>7</v>
      </c>
      <c r="Z52">
        <v>11</v>
      </c>
      <c r="AA52">
        <v>15</v>
      </c>
      <c r="AB52">
        <v>18</v>
      </c>
      <c r="AD52">
        <f t="shared" si="31"/>
        <v>17</v>
      </c>
      <c r="AE52">
        <f t="shared" si="32"/>
        <v>28</v>
      </c>
      <c r="AF52">
        <f t="shared" si="33"/>
        <v>42</v>
      </c>
      <c r="AG52">
        <f t="shared" si="34"/>
        <v>56</v>
      </c>
      <c r="AH52">
        <f t="shared" si="35"/>
        <v>67</v>
      </c>
      <c r="AI52">
        <f t="shared" si="36"/>
        <v>78</v>
      </c>
      <c r="AJ52">
        <f t="shared" si="37"/>
        <v>132</v>
      </c>
      <c r="AK52">
        <f t="shared" si="38"/>
        <v>83</v>
      </c>
      <c r="AL52">
        <f t="shared" si="39"/>
        <v>127</v>
      </c>
      <c r="AN52" s="67">
        <f t="shared" si="40"/>
        <v>0</v>
      </c>
      <c r="AO52" s="67">
        <f t="shared" si="41"/>
        <v>9.5652173913043481E-2</v>
      </c>
      <c r="AP52" s="67">
        <f t="shared" si="42"/>
        <v>0.21739130434782608</v>
      </c>
      <c r="AQ52" s="67">
        <f t="shared" si="43"/>
        <v>0.33913043478260868</v>
      </c>
      <c r="AR52" s="67">
        <f t="shared" si="44"/>
        <v>0.43478260869565216</v>
      </c>
      <c r="AS52" s="67">
        <f t="shared" si="45"/>
        <v>0.5304347826086957</v>
      </c>
      <c r="AT52" s="67">
        <f t="shared" si="46"/>
        <v>1</v>
      </c>
      <c r="AU52" s="67">
        <f t="shared" si="47"/>
        <v>0.57391304347826089</v>
      </c>
      <c r="AV52" s="67">
        <f t="shared" si="48"/>
        <v>0.95652173913043481</v>
      </c>
      <c r="AX52">
        <f t="shared" si="49"/>
        <v>0.43478260869565216</v>
      </c>
      <c r="AY52">
        <f t="shared" si="50"/>
        <v>0.4695652173913043</v>
      </c>
      <c r="AZ52">
        <f t="shared" si="51"/>
        <v>0.38260869565217392</v>
      </c>
      <c r="BB52">
        <f t="shared" si="52"/>
        <v>0.33783783783783783</v>
      </c>
      <c r="BC52">
        <f t="shared" si="53"/>
        <v>0.36486486486486486</v>
      </c>
      <c r="BD52">
        <f t="shared" si="54"/>
        <v>0.29729729729729731</v>
      </c>
      <c r="BF52" t="str">
        <f t="shared" si="30"/>
        <v xml:space="preserve">Brand </v>
      </c>
      <c r="BG52" t="str">
        <f t="shared" si="55"/>
        <v>Super Bowl</v>
      </c>
      <c r="BI52">
        <f t="shared" si="56"/>
        <v>3.5</v>
      </c>
      <c r="BJ52" t="str">
        <f t="shared" si="57"/>
        <v>Super Bowl</v>
      </c>
      <c r="BK52" t="str">
        <f t="shared" si="58"/>
        <v>B</v>
      </c>
    </row>
    <row r="53" spans="8:63">
      <c r="H53">
        <v>46</v>
      </c>
      <c r="I53">
        <v>4</v>
      </c>
      <c r="J53">
        <v>7</v>
      </c>
      <c r="K53">
        <v>10</v>
      </c>
      <c r="L53">
        <v>12</v>
      </c>
      <c r="M53">
        <v>15</v>
      </c>
      <c r="N53">
        <v>1</v>
      </c>
      <c r="O53">
        <v>2</v>
      </c>
      <c r="P53">
        <v>3</v>
      </c>
      <c r="Q53">
        <v>5</v>
      </c>
      <c r="R53">
        <v>8</v>
      </c>
      <c r="S53">
        <v>13</v>
      </c>
      <c r="T53">
        <v>16</v>
      </c>
      <c r="U53">
        <v>18</v>
      </c>
      <c r="V53">
        <v>19</v>
      </c>
      <c r="W53">
        <v>20</v>
      </c>
      <c r="X53">
        <v>6</v>
      </c>
      <c r="Y53">
        <v>9</v>
      </c>
      <c r="Z53">
        <v>11</v>
      </c>
      <c r="AA53">
        <v>14</v>
      </c>
      <c r="AB53">
        <v>17</v>
      </c>
      <c r="AD53">
        <f t="shared" si="31"/>
        <v>24</v>
      </c>
      <c r="AE53">
        <f t="shared" si="32"/>
        <v>34</v>
      </c>
      <c r="AF53">
        <f t="shared" si="33"/>
        <v>42</v>
      </c>
      <c r="AG53">
        <f t="shared" si="34"/>
        <v>50</v>
      </c>
      <c r="AH53">
        <f t="shared" si="35"/>
        <v>60</v>
      </c>
      <c r="AI53">
        <f t="shared" si="36"/>
        <v>67</v>
      </c>
      <c r="AJ53">
        <f t="shared" si="37"/>
        <v>143</v>
      </c>
      <c r="AK53">
        <f t="shared" si="38"/>
        <v>76</v>
      </c>
      <c r="AL53">
        <f t="shared" si="39"/>
        <v>134</v>
      </c>
      <c r="AN53" s="67">
        <f t="shared" si="40"/>
        <v>0</v>
      </c>
      <c r="AO53" s="67">
        <f t="shared" si="41"/>
        <v>8.4033613445378158E-2</v>
      </c>
      <c r="AP53" s="67">
        <f t="shared" si="42"/>
        <v>0.15126050420168066</v>
      </c>
      <c r="AQ53" s="67">
        <f t="shared" si="43"/>
        <v>0.21848739495798319</v>
      </c>
      <c r="AR53" s="67">
        <f t="shared" si="44"/>
        <v>0.30252100840336132</v>
      </c>
      <c r="AS53" s="67">
        <f t="shared" si="45"/>
        <v>0.36134453781512604</v>
      </c>
      <c r="AT53" s="67">
        <f t="shared" si="46"/>
        <v>1</v>
      </c>
      <c r="AU53" s="67">
        <f t="shared" si="47"/>
        <v>0.43697478991596639</v>
      </c>
      <c r="AV53" s="67">
        <f t="shared" si="48"/>
        <v>0.92436974789915971</v>
      </c>
      <c r="AX53">
        <f t="shared" si="49"/>
        <v>0.30252100840336132</v>
      </c>
      <c r="AY53">
        <f t="shared" si="50"/>
        <v>0.6386554621848739</v>
      </c>
      <c r="AZ53">
        <f t="shared" si="51"/>
        <v>0.48739495798319332</v>
      </c>
      <c r="BB53">
        <f t="shared" si="52"/>
        <v>0.21176470588235291</v>
      </c>
      <c r="BC53">
        <f t="shared" si="53"/>
        <v>0.44705882352941173</v>
      </c>
      <c r="BD53">
        <f t="shared" si="54"/>
        <v>0.3411764705882353</v>
      </c>
      <c r="BF53" t="str">
        <f t="shared" si="30"/>
        <v xml:space="preserve">Brand </v>
      </c>
      <c r="BG53" t="str">
        <f t="shared" si="55"/>
        <v>Super Bowl</v>
      </c>
      <c r="BI53">
        <f t="shared" si="56"/>
        <v>3.5</v>
      </c>
      <c r="BJ53" t="str">
        <f t="shared" si="57"/>
        <v>Super Bowl</v>
      </c>
      <c r="BK53" t="str">
        <f t="shared" si="58"/>
        <v>B</v>
      </c>
    </row>
    <row r="54" spans="8:63">
      <c r="H54">
        <v>47</v>
      </c>
      <c r="I54">
        <v>3</v>
      </c>
      <c r="J54">
        <v>6</v>
      </c>
      <c r="K54">
        <v>9</v>
      </c>
      <c r="L54">
        <v>13</v>
      </c>
      <c r="M54">
        <v>16</v>
      </c>
      <c r="N54">
        <v>1</v>
      </c>
      <c r="O54">
        <v>2</v>
      </c>
      <c r="P54">
        <v>4</v>
      </c>
      <c r="Q54">
        <v>7</v>
      </c>
      <c r="R54">
        <v>10</v>
      </c>
      <c r="S54">
        <v>11</v>
      </c>
      <c r="T54">
        <v>14</v>
      </c>
      <c r="U54">
        <v>17</v>
      </c>
      <c r="V54">
        <v>19</v>
      </c>
      <c r="W54">
        <v>20</v>
      </c>
      <c r="X54">
        <v>5</v>
      </c>
      <c r="Y54">
        <v>8</v>
      </c>
      <c r="Z54">
        <v>12</v>
      </c>
      <c r="AA54">
        <v>15</v>
      </c>
      <c r="AB54">
        <v>18</v>
      </c>
      <c r="AD54">
        <f t="shared" si="31"/>
        <v>20</v>
      </c>
      <c r="AE54">
        <f t="shared" si="32"/>
        <v>30</v>
      </c>
      <c r="AF54">
        <f t="shared" si="33"/>
        <v>42</v>
      </c>
      <c r="AG54">
        <f t="shared" si="34"/>
        <v>54</v>
      </c>
      <c r="AH54">
        <f t="shared" si="35"/>
        <v>64</v>
      </c>
      <c r="AI54">
        <f t="shared" si="36"/>
        <v>71</v>
      </c>
      <c r="AJ54">
        <f t="shared" si="37"/>
        <v>139</v>
      </c>
      <c r="AK54">
        <f t="shared" si="38"/>
        <v>82</v>
      </c>
      <c r="AL54">
        <f t="shared" si="39"/>
        <v>128</v>
      </c>
      <c r="AN54" s="67">
        <f t="shared" si="40"/>
        <v>0</v>
      </c>
      <c r="AO54" s="67">
        <f t="shared" si="41"/>
        <v>8.4033613445378158E-2</v>
      </c>
      <c r="AP54" s="67">
        <f t="shared" si="42"/>
        <v>0.18487394957983194</v>
      </c>
      <c r="AQ54" s="67">
        <f t="shared" si="43"/>
        <v>0.2857142857142857</v>
      </c>
      <c r="AR54" s="67">
        <f t="shared" si="44"/>
        <v>0.36974789915966388</v>
      </c>
      <c r="AS54" s="67">
        <f t="shared" si="45"/>
        <v>0.42857142857142855</v>
      </c>
      <c r="AT54" s="67">
        <f t="shared" si="46"/>
        <v>1</v>
      </c>
      <c r="AU54" s="67">
        <f t="shared" si="47"/>
        <v>0.52100840336134457</v>
      </c>
      <c r="AV54" s="67">
        <f t="shared" si="48"/>
        <v>0.90756302521008403</v>
      </c>
      <c r="AX54">
        <f t="shared" si="49"/>
        <v>0.36974789915966388</v>
      </c>
      <c r="AY54">
        <f t="shared" si="50"/>
        <v>0.5714285714285714</v>
      </c>
      <c r="AZ54">
        <f t="shared" si="51"/>
        <v>0.38655462184873945</v>
      </c>
      <c r="BB54">
        <f t="shared" si="52"/>
        <v>0.27848101265822789</v>
      </c>
      <c r="BC54">
        <f t="shared" si="53"/>
        <v>0.43037974683544306</v>
      </c>
      <c r="BD54">
        <f t="shared" si="54"/>
        <v>0.29113924050632911</v>
      </c>
      <c r="BF54" t="str">
        <f t="shared" si="30"/>
        <v xml:space="preserve">Brand </v>
      </c>
      <c r="BG54" t="str">
        <f t="shared" si="55"/>
        <v>Super Bowl</v>
      </c>
      <c r="BI54">
        <f t="shared" si="56"/>
        <v>3.5</v>
      </c>
      <c r="BJ54" t="str">
        <f t="shared" si="57"/>
        <v>Super Bowl</v>
      </c>
      <c r="BK54" t="str">
        <f t="shared" si="58"/>
        <v>B</v>
      </c>
    </row>
    <row r="55" spans="8:63">
      <c r="H55">
        <v>48</v>
      </c>
      <c r="I55">
        <v>3</v>
      </c>
      <c r="J55">
        <v>6</v>
      </c>
      <c r="K55">
        <v>9</v>
      </c>
      <c r="L55">
        <v>13</v>
      </c>
      <c r="M55">
        <v>16</v>
      </c>
      <c r="N55">
        <v>11</v>
      </c>
      <c r="O55">
        <v>14</v>
      </c>
      <c r="P55">
        <v>17</v>
      </c>
      <c r="Q55">
        <v>19</v>
      </c>
      <c r="R55">
        <v>20</v>
      </c>
      <c r="S55">
        <v>1</v>
      </c>
      <c r="T55">
        <v>2</v>
      </c>
      <c r="U55">
        <v>4</v>
      </c>
      <c r="V55">
        <v>7</v>
      </c>
      <c r="W55">
        <v>10</v>
      </c>
      <c r="X55">
        <v>5</v>
      </c>
      <c r="Y55">
        <v>8</v>
      </c>
      <c r="Z55">
        <v>12</v>
      </c>
      <c r="AA55">
        <v>15</v>
      </c>
      <c r="AB55">
        <v>18</v>
      </c>
      <c r="AD55">
        <f t="shared" si="31"/>
        <v>20</v>
      </c>
      <c r="AE55">
        <f t="shared" si="32"/>
        <v>30</v>
      </c>
      <c r="AF55">
        <f t="shared" si="33"/>
        <v>42</v>
      </c>
      <c r="AG55">
        <f t="shared" si="34"/>
        <v>54</v>
      </c>
      <c r="AH55">
        <f t="shared" si="35"/>
        <v>64</v>
      </c>
      <c r="AI55">
        <f t="shared" si="36"/>
        <v>128</v>
      </c>
      <c r="AJ55">
        <f t="shared" si="37"/>
        <v>82</v>
      </c>
      <c r="AK55">
        <f t="shared" si="38"/>
        <v>139</v>
      </c>
      <c r="AL55">
        <f t="shared" si="39"/>
        <v>71</v>
      </c>
      <c r="AN55" s="67">
        <f t="shared" si="40"/>
        <v>0</v>
      </c>
      <c r="AO55" s="67">
        <f t="shared" si="41"/>
        <v>8.4033613445378158E-2</v>
      </c>
      <c r="AP55" s="67">
        <f t="shared" si="42"/>
        <v>0.18487394957983194</v>
      </c>
      <c r="AQ55" s="67">
        <f t="shared" si="43"/>
        <v>0.2857142857142857</v>
      </c>
      <c r="AR55" s="67">
        <f t="shared" si="44"/>
        <v>0.36974789915966388</v>
      </c>
      <c r="AS55" s="67">
        <f t="shared" si="45"/>
        <v>0.90756302521008403</v>
      </c>
      <c r="AT55" s="67">
        <f t="shared" si="46"/>
        <v>0.52100840336134457</v>
      </c>
      <c r="AU55" s="67">
        <f t="shared" si="47"/>
        <v>1</v>
      </c>
      <c r="AV55" s="67">
        <f t="shared" si="48"/>
        <v>0.42857142857142855</v>
      </c>
      <c r="AX55">
        <f t="shared" si="49"/>
        <v>0.36974789915966388</v>
      </c>
      <c r="AY55">
        <f t="shared" si="50"/>
        <v>0.38655462184873945</v>
      </c>
      <c r="AZ55">
        <f t="shared" si="51"/>
        <v>0.5714285714285714</v>
      </c>
      <c r="BB55">
        <f t="shared" si="52"/>
        <v>0.27848101265822789</v>
      </c>
      <c r="BC55">
        <f t="shared" si="53"/>
        <v>0.29113924050632911</v>
      </c>
      <c r="BD55">
        <f t="shared" si="54"/>
        <v>0.43037974683544306</v>
      </c>
      <c r="BF55" t="str">
        <f t="shared" si="30"/>
        <v>Theme</v>
      </c>
      <c r="BG55" t="str">
        <f t="shared" si="55"/>
        <v>A</v>
      </c>
      <c r="BI55">
        <f t="shared" si="56"/>
        <v>3.5</v>
      </c>
      <c r="BJ55" t="str">
        <f t="shared" si="57"/>
        <v>Tennis</v>
      </c>
      <c r="BK55" t="str">
        <f t="shared" si="58"/>
        <v>A</v>
      </c>
    </row>
    <row r="56" spans="8:63">
      <c r="H56">
        <v>49</v>
      </c>
      <c r="I56">
        <v>9</v>
      </c>
      <c r="J56">
        <v>13</v>
      </c>
      <c r="K56">
        <v>16</v>
      </c>
      <c r="L56">
        <v>19</v>
      </c>
      <c r="M56">
        <v>20</v>
      </c>
      <c r="N56">
        <v>3</v>
      </c>
      <c r="O56">
        <v>6</v>
      </c>
      <c r="P56">
        <v>10</v>
      </c>
      <c r="Q56">
        <v>14</v>
      </c>
      <c r="R56">
        <v>17</v>
      </c>
      <c r="S56">
        <v>4</v>
      </c>
      <c r="T56">
        <v>7</v>
      </c>
      <c r="U56">
        <v>11</v>
      </c>
      <c r="V56">
        <v>15</v>
      </c>
      <c r="W56">
        <v>18</v>
      </c>
      <c r="X56">
        <v>1</v>
      </c>
      <c r="Y56">
        <v>2</v>
      </c>
      <c r="Z56">
        <v>5</v>
      </c>
      <c r="AA56">
        <v>8</v>
      </c>
      <c r="AB56">
        <v>12</v>
      </c>
      <c r="AD56">
        <f t="shared" si="31"/>
        <v>17</v>
      </c>
      <c r="AE56">
        <f t="shared" si="32"/>
        <v>28</v>
      </c>
      <c r="AF56">
        <f t="shared" si="33"/>
        <v>42</v>
      </c>
      <c r="AG56">
        <f t="shared" si="34"/>
        <v>56</v>
      </c>
      <c r="AH56">
        <f t="shared" si="35"/>
        <v>67</v>
      </c>
      <c r="AI56">
        <f t="shared" si="36"/>
        <v>127</v>
      </c>
      <c r="AJ56">
        <f t="shared" si="37"/>
        <v>83</v>
      </c>
      <c r="AK56">
        <f t="shared" si="38"/>
        <v>78</v>
      </c>
      <c r="AL56">
        <f t="shared" si="39"/>
        <v>132</v>
      </c>
      <c r="AN56" s="67">
        <f t="shared" si="40"/>
        <v>0</v>
      </c>
      <c r="AO56" s="67">
        <f t="shared" si="41"/>
        <v>9.5652173913043481E-2</v>
      </c>
      <c r="AP56" s="67">
        <f t="shared" si="42"/>
        <v>0.21739130434782608</v>
      </c>
      <c r="AQ56" s="67">
        <f t="shared" si="43"/>
        <v>0.33913043478260868</v>
      </c>
      <c r="AR56" s="67">
        <f t="shared" si="44"/>
        <v>0.43478260869565216</v>
      </c>
      <c r="AS56" s="67">
        <f t="shared" si="45"/>
        <v>0.95652173913043481</v>
      </c>
      <c r="AT56" s="67">
        <f t="shared" si="46"/>
        <v>0.57391304347826089</v>
      </c>
      <c r="AU56" s="67">
        <f t="shared" si="47"/>
        <v>0.5304347826086957</v>
      </c>
      <c r="AV56" s="67">
        <f t="shared" si="48"/>
        <v>1</v>
      </c>
      <c r="AX56">
        <f t="shared" si="49"/>
        <v>0.43478260869565216</v>
      </c>
      <c r="AY56">
        <f t="shared" si="50"/>
        <v>0.38260869565217392</v>
      </c>
      <c r="AZ56">
        <f t="shared" si="51"/>
        <v>0.4695652173913043</v>
      </c>
      <c r="BB56">
        <f t="shared" si="52"/>
        <v>0.33783783783783783</v>
      </c>
      <c r="BC56">
        <f t="shared" si="53"/>
        <v>0.29729729729729731</v>
      </c>
      <c r="BD56">
        <f t="shared" si="54"/>
        <v>0.36486486486486486</v>
      </c>
      <c r="BF56" t="str">
        <f t="shared" si="30"/>
        <v>Theme</v>
      </c>
      <c r="BG56" t="str">
        <f t="shared" si="55"/>
        <v>B</v>
      </c>
      <c r="BI56">
        <f t="shared" si="56"/>
        <v>3.5</v>
      </c>
      <c r="BJ56" t="str">
        <f t="shared" si="57"/>
        <v>Tennis</v>
      </c>
      <c r="BK56" t="str">
        <f t="shared" si="58"/>
        <v>B</v>
      </c>
    </row>
    <row r="57" spans="8:63">
      <c r="H57">
        <v>50</v>
      </c>
      <c r="I57">
        <v>4</v>
      </c>
      <c r="J57">
        <v>7</v>
      </c>
      <c r="K57">
        <v>10</v>
      </c>
      <c r="L57">
        <v>12</v>
      </c>
      <c r="M57">
        <v>15</v>
      </c>
      <c r="N57">
        <v>1</v>
      </c>
      <c r="O57">
        <v>2</v>
      </c>
      <c r="P57">
        <v>3</v>
      </c>
      <c r="Q57">
        <v>5</v>
      </c>
      <c r="R57">
        <v>8</v>
      </c>
      <c r="S57">
        <v>13</v>
      </c>
      <c r="T57">
        <v>16</v>
      </c>
      <c r="U57">
        <v>18</v>
      </c>
      <c r="V57">
        <v>19</v>
      </c>
      <c r="W57">
        <v>20</v>
      </c>
      <c r="X57">
        <v>6</v>
      </c>
      <c r="Y57">
        <v>9</v>
      </c>
      <c r="Z57">
        <v>11</v>
      </c>
      <c r="AA57">
        <v>14</v>
      </c>
      <c r="AB57">
        <v>17</v>
      </c>
      <c r="AD57">
        <f t="shared" si="31"/>
        <v>24</v>
      </c>
      <c r="AE57">
        <f t="shared" si="32"/>
        <v>34</v>
      </c>
      <c r="AF57">
        <f t="shared" si="33"/>
        <v>42</v>
      </c>
      <c r="AG57">
        <f t="shared" si="34"/>
        <v>50</v>
      </c>
      <c r="AH57">
        <f t="shared" si="35"/>
        <v>60</v>
      </c>
      <c r="AI57">
        <f t="shared" si="36"/>
        <v>67</v>
      </c>
      <c r="AJ57">
        <f t="shared" si="37"/>
        <v>143</v>
      </c>
      <c r="AK57">
        <f t="shared" si="38"/>
        <v>76</v>
      </c>
      <c r="AL57">
        <f t="shared" si="39"/>
        <v>134</v>
      </c>
      <c r="AN57" s="67">
        <f t="shared" si="40"/>
        <v>0</v>
      </c>
      <c r="AO57" s="67">
        <f t="shared" si="41"/>
        <v>8.4033613445378158E-2</v>
      </c>
      <c r="AP57" s="67">
        <f t="shared" si="42"/>
        <v>0.15126050420168066</v>
      </c>
      <c r="AQ57" s="67">
        <f t="shared" si="43"/>
        <v>0.21848739495798319</v>
      </c>
      <c r="AR57" s="67">
        <f t="shared" si="44"/>
        <v>0.30252100840336132</v>
      </c>
      <c r="AS57" s="67">
        <f t="shared" si="45"/>
        <v>0.36134453781512604</v>
      </c>
      <c r="AT57" s="67">
        <f t="shared" si="46"/>
        <v>1</v>
      </c>
      <c r="AU57" s="67">
        <f t="shared" si="47"/>
        <v>0.43697478991596639</v>
      </c>
      <c r="AV57" s="67">
        <f t="shared" si="48"/>
        <v>0.92436974789915971</v>
      </c>
      <c r="AX57">
        <f t="shared" si="49"/>
        <v>0.30252100840336132</v>
      </c>
      <c r="AY57">
        <f t="shared" si="50"/>
        <v>0.6386554621848739</v>
      </c>
      <c r="AZ57">
        <f t="shared" si="51"/>
        <v>0.48739495798319332</v>
      </c>
      <c r="BB57">
        <f t="shared" si="52"/>
        <v>0.21176470588235291</v>
      </c>
      <c r="BC57">
        <f t="shared" si="53"/>
        <v>0.44705882352941173</v>
      </c>
      <c r="BD57">
        <f t="shared" si="54"/>
        <v>0.3411764705882353</v>
      </c>
      <c r="BF57" t="str">
        <f t="shared" si="30"/>
        <v xml:space="preserve">Brand </v>
      </c>
      <c r="BG57" t="str">
        <f t="shared" si="55"/>
        <v>Super Bowl</v>
      </c>
      <c r="BI57">
        <f t="shared" si="56"/>
        <v>3.5</v>
      </c>
      <c r="BJ57" t="str">
        <f t="shared" si="57"/>
        <v>Super Bowl</v>
      </c>
      <c r="BK57" t="str">
        <f t="shared" si="58"/>
        <v>B</v>
      </c>
    </row>
    <row r="58" spans="8:63">
      <c r="H58">
        <v>51</v>
      </c>
      <c r="I58">
        <v>4</v>
      </c>
      <c r="J58">
        <v>8</v>
      </c>
      <c r="K58">
        <v>12</v>
      </c>
      <c r="L58">
        <v>16</v>
      </c>
      <c r="M58">
        <v>20</v>
      </c>
      <c r="N58">
        <v>2</v>
      </c>
      <c r="O58">
        <v>6</v>
      </c>
      <c r="P58">
        <v>10</v>
      </c>
      <c r="Q58">
        <v>14</v>
      </c>
      <c r="R58">
        <v>18</v>
      </c>
      <c r="S58">
        <v>3</v>
      </c>
      <c r="T58">
        <v>7</v>
      </c>
      <c r="U58">
        <v>11</v>
      </c>
      <c r="V58">
        <v>15</v>
      </c>
      <c r="W58">
        <v>19</v>
      </c>
      <c r="X58">
        <v>1</v>
      </c>
      <c r="Y58">
        <v>5</v>
      </c>
      <c r="Z58">
        <v>9</v>
      </c>
      <c r="AA58">
        <v>13</v>
      </c>
      <c r="AB58">
        <v>17</v>
      </c>
      <c r="AD58">
        <f t="shared" si="31"/>
        <v>10</v>
      </c>
      <c r="AE58">
        <f t="shared" si="32"/>
        <v>26</v>
      </c>
      <c r="AF58">
        <f t="shared" si="33"/>
        <v>42</v>
      </c>
      <c r="AG58">
        <f t="shared" si="34"/>
        <v>58</v>
      </c>
      <c r="AH58">
        <f t="shared" si="35"/>
        <v>74</v>
      </c>
      <c r="AI58">
        <f t="shared" si="36"/>
        <v>110</v>
      </c>
      <c r="AJ58">
        <f t="shared" si="37"/>
        <v>100</v>
      </c>
      <c r="AK58">
        <f t="shared" si="38"/>
        <v>95</v>
      </c>
      <c r="AL58">
        <f t="shared" si="39"/>
        <v>115</v>
      </c>
      <c r="AN58" s="67">
        <f t="shared" si="40"/>
        <v>0</v>
      </c>
      <c r="AO58" s="67">
        <f t="shared" si="41"/>
        <v>0.15238095238095239</v>
      </c>
      <c r="AP58" s="67">
        <f t="shared" si="42"/>
        <v>0.30476190476190479</v>
      </c>
      <c r="AQ58" s="67">
        <f t="shared" si="43"/>
        <v>0.45714285714285713</v>
      </c>
      <c r="AR58" s="67">
        <f t="shared" si="44"/>
        <v>0.60952380952380958</v>
      </c>
      <c r="AS58" s="67">
        <f t="shared" si="45"/>
        <v>0.95238095238095233</v>
      </c>
      <c r="AT58" s="67">
        <f t="shared" si="46"/>
        <v>0.8571428571428571</v>
      </c>
      <c r="AU58" s="67">
        <f t="shared" si="47"/>
        <v>0.80952380952380953</v>
      </c>
      <c r="AV58" s="67">
        <f t="shared" si="48"/>
        <v>1</v>
      </c>
      <c r="AX58">
        <f t="shared" si="49"/>
        <v>0.60952380952380958</v>
      </c>
      <c r="AY58">
        <f t="shared" si="50"/>
        <v>9.5238095238095233E-2</v>
      </c>
      <c r="AZ58">
        <f t="shared" si="51"/>
        <v>0.19047619047619047</v>
      </c>
      <c r="BB58">
        <f t="shared" si="52"/>
        <v>0.68085106382978722</v>
      </c>
      <c r="BC58">
        <f t="shared" si="53"/>
        <v>0.10638297872340424</v>
      </c>
      <c r="BD58">
        <f t="shared" si="54"/>
        <v>0.21276595744680848</v>
      </c>
      <c r="BF58" t="str">
        <f t="shared" si="30"/>
        <v>Price</v>
      </c>
      <c r="BG58">
        <f t="shared" si="55"/>
        <v>3.5</v>
      </c>
      <c r="BI58">
        <f t="shared" si="56"/>
        <v>3.5</v>
      </c>
      <c r="BJ58" t="str">
        <f t="shared" si="57"/>
        <v>Tennis</v>
      </c>
      <c r="BK58" t="str">
        <f t="shared" si="58"/>
        <v>B</v>
      </c>
    </row>
    <row r="59" spans="8:63">
      <c r="H59">
        <v>52</v>
      </c>
      <c r="I59">
        <v>11</v>
      </c>
      <c r="J59">
        <v>14</v>
      </c>
      <c r="K59">
        <v>17</v>
      </c>
      <c r="L59">
        <v>19</v>
      </c>
      <c r="M59">
        <v>20</v>
      </c>
      <c r="N59">
        <v>5</v>
      </c>
      <c r="O59">
        <v>8</v>
      </c>
      <c r="P59">
        <v>12</v>
      </c>
      <c r="Q59">
        <v>15</v>
      </c>
      <c r="R59">
        <v>18</v>
      </c>
      <c r="S59">
        <v>3</v>
      </c>
      <c r="T59">
        <v>6</v>
      </c>
      <c r="U59">
        <v>9</v>
      </c>
      <c r="V59">
        <v>13</v>
      </c>
      <c r="W59">
        <v>16</v>
      </c>
      <c r="X59">
        <v>1</v>
      </c>
      <c r="Y59">
        <v>2</v>
      </c>
      <c r="Z59">
        <v>4</v>
      </c>
      <c r="AA59">
        <v>7</v>
      </c>
      <c r="AB59">
        <v>10</v>
      </c>
      <c r="AD59">
        <f t="shared" si="31"/>
        <v>20</v>
      </c>
      <c r="AE59">
        <f t="shared" si="32"/>
        <v>30</v>
      </c>
      <c r="AF59">
        <f t="shared" si="33"/>
        <v>42</v>
      </c>
      <c r="AG59">
        <f t="shared" si="34"/>
        <v>54</v>
      </c>
      <c r="AH59">
        <f t="shared" si="35"/>
        <v>64</v>
      </c>
      <c r="AI59">
        <f t="shared" si="36"/>
        <v>139</v>
      </c>
      <c r="AJ59">
        <f t="shared" si="37"/>
        <v>71</v>
      </c>
      <c r="AK59">
        <f t="shared" si="38"/>
        <v>82</v>
      </c>
      <c r="AL59">
        <f t="shared" si="39"/>
        <v>128</v>
      </c>
      <c r="AN59" s="67">
        <f t="shared" si="40"/>
        <v>0</v>
      </c>
      <c r="AO59" s="67">
        <f t="shared" si="41"/>
        <v>8.4033613445378158E-2</v>
      </c>
      <c r="AP59" s="67">
        <f t="shared" si="42"/>
        <v>0.18487394957983194</v>
      </c>
      <c r="AQ59" s="67">
        <f t="shared" si="43"/>
        <v>0.2857142857142857</v>
      </c>
      <c r="AR59" s="67">
        <f t="shared" si="44"/>
        <v>0.36974789915966388</v>
      </c>
      <c r="AS59" s="67">
        <f t="shared" si="45"/>
        <v>1</v>
      </c>
      <c r="AT59" s="67">
        <f t="shared" si="46"/>
        <v>0.42857142857142855</v>
      </c>
      <c r="AU59" s="67">
        <f t="shared" si="47"/>
        <v>0.52100840336134457</v>
      </c>
      <c r="AV59" s="67">
        <f t="shared" si="48"/>
        <v>0.90756302521008403</v>
      </c>
      <c r="AX59">
        <f t="shared" si="49"/>
        <v>0.36974789915966388</v>
      </c>
      <c r="AY59">
        <f t="shared" si="50"/>
        <v>0.5714285714285714</v>
      </c>
      <c r="AZ59">
        <f t="shared" si="51"/>
        <v>0.38655462184873945</v>
      </c>
      <c r="BB59">
        <f t="shared" si="52"/>
        <v>0.27848101265822789</v>
      </c>
      <c r="BC59">
        <f t="shared" si="53"/>
        <v>0.43037974683544306</v>
      </c>
      <c r="BD59">
        <f t="shared" si="54"/>
        <v>0.29113924050632911</v>
      </c>
      <c r="BF59" t="str">
        <f t="shared" si="30"/>
        <v xml:space="preserve">Brand </v>
      </c>
      <c r="BG59" t="str">
        <f t="shared" si="55"/>
        <v>Tennis</v>
      </c>
      <c r="BI59">
        <f t="shared" si="56"/>
        <v>3.5</v>
      </c>
      <c r="BJ59" t="str">
        <f t="shared" si="57"/>
        <v>Tennis</v>
      </c>
      <c r="BK59" t="str">
        <f t="shared" si="58"/>
        <v>B</v>
      </c>
    </row>
    <row r="60" spans="8:63">
      <c r="H60">
        <v>53</v>
      </c>
      <c r="I60">
        <v>4</v>
      </c>
      <c r="J60">
        <v>8</v>
      </c>
      <c r="K60">
        <v>12</v>
      </c>
      <c r="L60">
        <v>16</v>
      </c>
      <c r="M60">
        <v>20</v>
      </c>
      <c r="N60">
        <v>3</v>
      </c>
      <c r="O60">
        <v>7</v>
      </c>
      <c r="P60">
        <v>11</v>
      </c>
      <c r="Q60">
        <v>15</v>
      </c>
      <c r="R60">
        <v>19</v>
      </c>
      <c r="S60">
        <v>2</v>
      </c>
      <c r="T60">
        <v>6</v>
      </c>
      <c r="U60">
        <v>10</v>
      </c>
      <c r="V60">
        <v>14</v>
      </c>
      <c r="W60">
        <v>18</v>
      </c>
      <c r="X60">
        <v>1</v>
      </c>
      <c r="Y60">
        <v>5</v>
      </c>
      <c r="Z60">
        <v>9</v>
      </c>
      <c r="AA60">
        <v>13</v>
      </c>
      <c r="AB60">
        <v>17</v>
      </c>
      <c r="AD60">
        <f t="shared" si="31"/>
        <v>10</v>
      </c>
      <c r="AE60">
        <f t="shared" si="32"/>
        <v>26</v>
      </c>
      <c r="AF60">
        <f t="shared" si="33"/>
        <v>42</v>
      </c>
      <c r="AG60">
        <f t="shared" si="34"/>
        <v>58</v>
      </c>
      <c r="AH60">
        <f t="shared" si="35"/>
        <v>74</v>
      </c>
      <c r="AI60">
        <f t="shared" si="36"/>
        <v>115</v>
      </c>
      <c r="AJ60">
        <f t="shared" si="37"/>
        <v>95</v>
      </c>
      <c r="AK60">
        <f t="shared" si="38"/>
        <v>100</v>
      </c>
      <c r="AL60">
        <f t="shared" si="39"/>
        <v>110</v>
      </c>
      <c r="AN60" s="67">
        <f t="shared" si="40"/>
        <v>0</v>
      </c>
      <c r="AO60" s="67">
        <f t="shared" si="41"/>
        <v>0.15238095238095239</v>
      </c>
      <c r="AP60" s="67">
        <f t="shared" si="42"/>
        <v>0.30476190476190479</v>
      </c>
      <c r="AQ60" s="67">
        <f t="shared" si="43"/>
        <v>0.45714285714285713</v>
      </c>
      <c r="AR60" s="67">
        <f t="shared" si="44"/>
        <v>0.60952380952380958</v>
      </c>
      <c r="AS60" s="67">
        <f t="shared" si="45"/>
        <v>1</v>
      </c>
      <c r="AT60" s="67">
        <f t="shared" si="46"/>
        <v>0.80952380952380953</v>
      </c>
      <c r="AU60" s="67">
        <f t="shared" si="47"/>
        <v>0.8571428571428571</v>
      </c>
      <c r="AV60" s="67">
        <f t="shared" si="48"/>
        <v>0.95238095238095233</v>
      </c>
      <c r="AX60">
        <f t="shared" si="49"/>
        <v>0.60952380952380958</v>
      </c>
      <c r="AY60">
        <f t="shared" si="50"/>
        <v>0.19047619047619047</v>
      </c>
      <c r="AZ60">
        <f t="shared" si="51"/>
        <v>9.5238095238095233E-2</v>
      </c>
      <c r="BB60">
        <f t="shared" si="52"/>
        <v>0.68085106382978722</v>
      </c>
      <c r="BC60">
        <f t="shared" si="53"/>
        <v>0.21276595744680848</v>
      </c>
      <c r="BD60">
        <f t="shared" si="54"/>
        <v>0.10638297872340424</v>
      </c>
      <c r="BF60" t="str">
        <f t="shared" si="30"/>
        <v>Price</v>
      </c>
      <c r="BG60">
        <f t="shared" si="55"/>
        <v>3.5</v>
      </c>
      <c r="BI60">
        <f t="shared" si="56"/>
        <v>3.5</v>
      </c>
      <c r="BJ60" t="str">
        <f t="shared" si="57"/>
        <v>Tennis</v>
      </c>
      <c r="BK60" t="str">
        <f t="shared" si="58"/>
        <v>B</v>
      </c>
    </row>
    <row r="61" spans="8:63">
      <c r="H61">
        <v>54</v>
      </c>
      <c r="I61">
        <v>4</v>
      </c>
      <c r="J61">
        <v>7</v>
      </c>
      <c r="K61">
        <v>10</v>
      </c>
      <c r="L61">
        <v>12</v>
      </c>
      <c r="M61">
        <v>15</v>
      </c>
      <c r="N61">
        <v>1</v>
      </c>
      <c r="O61">
        <v>2</v>
      </c>
      <c r="P61">
        <v>3</v>
      </c>
      <c r="Q61">
        <v>5</v>
      </c>
      <c r="R61">
        <v>8</v>
      </c>
      <c r="S61">
        <v>13</v>
      </c>
      <c r="T61">
        <v>16</v>
      </c>
      <c r="U61">
        <v>18</v>
      </c>
      <c r="V61">
        <v>19</v>
      </c>
      <c r="W61">
        <v>20</v>
      </c>
      <c r="X61">
        <v>6</v>
      </c>
      <c r="Y61">
        <v>9</v>
      </c>
      <c r="Z61">
        <v>11</v>
      </c>
      <c r="AA61">
        <v>14</v>
      </c>
      <c r="AB61">
        <v>17</v>
      </c>
      <c r="AD61">
        <f t="shared" si="31"/>
        <v>24</v>
      </c>
      <c r="AE61">
        <f t="shared" si="32"/>
        <v>34</v>
      </c>
      <c r="AF61">
        <f t="shared" si="33"/>
        <v>42</v>
      </c>
      <c r="AG61">
        <f t="shared" si="34"/>
        <v>50</v>
      </c>
      <c r="AH61">
        <f t="shared" si="35"/>
        <v>60</v>
      </c>
      <c r="AI61">
        <f t="shared" si="36"/>
        <v>67</v>
      </c>
      <c r="AJ61">
        <f t="shared" si="37"/>
        <v>143</v>
      </c>
      <c r="AK61">
        <f t="shared" si="38"/>
        <v>76</v>
      </c>
      <c r="AL61">
        <f t="shared" si="39"/>
        <v>134</v>
      </c>
      <c r="AN61" s="67">
        <f t="shared" si="40"/>
        <v>0</v>
      </c>
      <c r="AO61" s="67">
        <f t="shared" si="41"/>
        <v>8.4033613445378158E-2</v>
      </c>
      <c r="AP61" s="67">
        <f t="shared" si="42"/>
        <v>0.15126050420168066</v>
      </c>
      <c r="AQ61" s="67">
        <f t="shared" si="43"/>
        <v>0.21848739495798319</v>
      </c>
      <c r="AR61" s="67">
        <f t="shared" si="44"/>
        <v>0.30252100840336132</v>
      </c>
      <c r="AS61" s="67">
        <f t="shared" si="45"/>
        <v>0.36134453781512604</v>
      </c>
      <c r="AT61" s="67">
        <f t="shared" si="46"/>
        <v>1</v>
      </c>
      <c r="AU61" s="67">
        <f t="shared" si="47"/>
        <v>0.43697478991596639</v>
      </c>
      <c r="AV61" s="67">
        <f t="shared" si="48"/>
        <v>0.92436974789915971</v>
      </c>
      <c r="AX61">
        <f t="shared" si="49"/>
        <v>0.30252100840336132</v>
      </c>
      <c r="AY61">
        <f t="shared" si="50"/>
        <v>0.6386554621848739</v>
      </c>
      <c r="AZ61">
        <f t="shared" si="51"/>
        <v>0.48739495798319332</v>
      </c>
      <c r="BB61">
        <f t="shared" si="52"/>
        <v>0.21176470588235291</v>
      </c>
      <c r="BC61">
        <f t="shared" si="53"/>
        <v>0.44705882352941173</v>
      </c>
      <c r="BD61">
        <f t="shared" si="54"/>
        <v>0.3411764705882353</v>
      </c>
      <c r="BF61" t="str">
        <f t="shared" si="30"/>
        <v xml:space="preserve">Brand </v>
      </c>
      <c r="BG61" t="str">
        <f t="shared" si="55"/>
        <v>Super Bowl</v>
      </c>
      <c r="BI61">
        <f t="shared" si="56"/>
        <v>3.5</v>
      </c>
      <c r="BJ61" t="str">
        <f t="shared" si="57"/>
        <v>Super Bowl</v>
      </c>
      <c r="BK61" t="str">
        <f t="shared" si="58"/>
        <v>B</v>
      </c>
    </row>
    <row r="62" spans="8:63">
      <c r="H62">
        <v>55</v>
      </c>
      <c r="I62">
        <v>6</v>
      </c>
      <c r="J62">
        <v>9</v>
      </c>
      <c r="K62">
        <v>11</v>
      </c>
      <c r="L62">
        <v>13</v>
      </c>
      <c r="M62">
        <v>16</v>
      </c>
      <c r="N62">
        <v>1</v>
      </c>
      <c r="O62">
        <v>2</v>
      </c>
      <c r="P62">
        <v>3</v>
      </c>
      <c r="Q62">
        <v>4</v>
      </c>
      <c r="R62">
        <v>7</v>
      </c>
      <c r="S62">
        <v>14</v>
      </c>
      <c r="T62">
        <v>17</v>
      </c>
      <c r="U62">
        <v>18</v>
      </c>
      <c r="V62">
        <v>19</v>
      </c>
      <c r="W62">
        <v>20</v>
      </c>
      <c r="X62">
        <v>5</v>
      </c>
      <c r="Y62">
        <v>8</v>
      </c>
      <c r="Z62">
        <v>10</v>
      </c>
      <c r="AA62">
        <v>12</v>
      </c>
      <c r="AB62">
        <v>15</v>
      </c>
      <c r="AD62">
        <f t="shared" si="31"/>
        <v>26</v>
      </c>
      <c r="AE62">
        <f t="shared" si="32"/>
        <v>36</v>
      </c>
      <c r="AF62">
        <f t="shared" si="33"/>
        <v>42</v>
      </c>
      <c r="AG62">
        <f t="shared" si="34"/>
        <v>48</v>
      </c>
      <c r="AH62">
        <f t="shared" si="35"/>
        <v>58</v>
      </c>
      <c r="AI62">
        <f t="shared" si="36"/>
        <v>72</v>
      </c>
      <c r="AJ62">
        <f t="shared" si="37"/>
        <v>138</v>
      </c>
      <c r="AK62">
        <f t="shared" si="38"/>
        <v>67</v>
      </c>
      <c r="AL62">
        <f t="shared" si="39"/>
        <v>143</v>
      </c>
      <c r="AN62" s="67">
        <f t="shared" si="40"/>
        <v>0</v>
      </c>
      <c r="AO62" s="67">
        <f t="shared" si="41"/>
        <v>8.5470085470085472E-2</v>
      </c>
      <c r="AP62" s="67">
        <f t="shared" si="42"/>
        <v>0.13675213675213677</v>
      </c>
      <c r="AQ62" s="67">
        <f t="shared" si="43"/>
        <v>0.18803418803418803</v>
      </c>
      <c r="AR62" s="67">
        <f t="shared" si="44"/>
        <v>0.27350427350427353</v>
      </c>
      <c r="AS62" s="67">
        <f t="shared" si="45"/>
        <v>0.39316239316239315</v>
      </c>
      <c r="AT62" s="67">
        <f t="shared" si="46"/>
        <v>0.95726495726495731</v>
      </c>
      <c r="AU62" s="67">
        <f t="shared" si="47"/>
        <v>0.3504273504273504</v>
      </c>
      <c r="AV62" s="67">
        <f t="shared" si="48"/>
        <v>1</v>
      </c>
      <c r="AX62">
        <f t="shared" si="49"/>
        <v>0.27350427350427353</v>
      </c>
      <c r="AY62">
        <f t="shared" si="50"/>
        <v>0.5641025641025641</v>
      </c>
      <c r="AZ62">
        <f t="shared" si="51"/>
        <v>0.6495726495726496</v>
      </c>
      <c r="BB62">
        <f t="shared" si="52"/>
        <v>0.18390804597701152</v>
      </c>
      <c r="BC62">
        <f t="shared" si="53"/>
        <v>0.37931034482758619</v>
      </c>
      <c r="BD62">
        <f t="shared" si="54"/>
        <v>0.43678160919540232</v>
      </c>
      <c r="BF62" t="str">
        <f t="shared" si="30"/>
        <v>Theme</v>
      </c>
      <c r="BG62" t="str">
        <f t="shared" si="55"/>
        <v>B</v>
      </c>
      <c r="BI62">
        <f t="shared" si="56"/>
        <v>3.5</v>
      </c>
      <c r="BJ62" t="str">
        <f t="shared" si="57"/>
        <v>Super Bowl</v>
      </c>
      <c r="BK62" t="str">
        <f t="shared" si="58"/>
        <v>B</v>
      </c>
    </row>
    <row r="63" spans="8:63">
      <c r="H63">
        <v>56</v>
      </c>
      <c r="I63">
        <v>6</v>
      </c>
      <c r="J63">
        <v>9</v>
      </c>
      <c r="K63">
        <v>11</v>
      </c>
      <c r="L63">
        <v>14</v>
      </c>
      <c r="M63">
        <v>17</v>
      </c>
      <c r="N63">
        <v>13</v>
      </c>
      <c r="O63">
        <v>16</v>
      </c>
      <c r="P63">
        <v>18</v>
      </c>
      <c r="Q63">
        <v>19</v>
      </c>
      <c r="R63">
        <v>20</v>
      </c>
      <c r="S63">
        <v>1</v>
      </c>
      <c r="T63">
        <v>2</v>
      </c>
      <c r="U63">
        <v>3</v>
      </c>
      <c r="V63">
        <v>5</v>
      </c>
      <c r="W63">
        <v>8</v>
      </c>
      <c r="X63">
        <v>4</v>
      </c>
      <c r="Y63">
        <v>7</v>
      </c>
      <c r="Z63">
        <v>10</v>
      </c>
      <c r="AA63">
        <v>12</v>
      </c>
      <c r="AB63">
        <v>15</v>
      </c>
      <c r="AD63">
        <f t="shared" si="31"/>
        <v>24</v>
      </c>
      <c r="AE63">
        <f t="shared" si="32"/>
        <v>34</v>
      </c>
      <c r="AF63">
        <f t="shared" si="33"/>
        <v>42</v>
      </c>
      <c r="AG63">
        <f t="shared" si="34"/>
        <v>50</v>
      </c>
      <c r="AH63">
        <f t="shared" si="35"/>
        <v>60</v>
      </c>
      <c r="AI63">
        <f t="shared" si="36"/>
        <v>143</v>
      </c>
      <c r="AJ63">
        <f t="shared" si="37"/>
        <v>67</v>
      </c>
      <c r="AK63">
        <f t="shared" si="38"/>
        <v>134</v>
      </c>
      <c r="AL63">
        <f t="shared" si="39"/>
        <v>76</v>
      </c>
      <c r="AN63" s="67">
        <f t="shared" si="40"/>
        <v>0</v>
      </c>
      <c r="AO63" s="67">
        <f t="shared" si="41"/>
        <v>8.4033613445378158E-2</v>
      </c>
      <c r="AP63" s="67">
        <f t="shared" si="42"/>
        <v>0.15126050420168066</v>
      </c>
      <c r="AQ63" s="67">
        <f t="shared" si="43"/>
        <v>0.21848739495798319</v>
      </c>
      <c r="AR63" s="67">
        <f t="shared" si="44"/>
        <v>0.30252100840336132</v>
      </c>
      <c r="AS63" s="67">
        <f t="shared" si="45"/>
        <v>1</v>
      </c>
      <c r="AT63" s="67">
        <f t="shared" si="46"/>
        <v>0.36134453781512604</v>
      </c>
      <c r="AU63" s="67">
        <f t="shared" si="47"/>
        <v>0.92436974789915971</v>
      </c>
      <c r="AV63" s="67">
        <f t="shared" si="48"/>
        <v>0.43697478991596639</v>
      </c>
      <c r="AX63">
        <f t="shared" si="49"/>
        <v>0.30252100840336132</v>
      </c>
      <c r="AY63">
        <f t="shared" si="50"/>
        <v>0.6386554621848739</v>
      </c>
      <c r="AZ63">
        <f t="shared" si="51"/>
        <v>0.48739495798319332</v>
      </c>
      <c r="BB63">
        <f t="shared" si="52"/>
        <v>0.21176470588235291</v>
      </c>
      <c r="BC63">
        <f t="shared" si="53"/>
        <v>0.44705882352941173</v>
      </c>
      <c r="BD63">
        <f t="shared" si="54"/>
        <v>0.3411764705882353</v>
      </c>
      <c r="BF63" t="str">
        <f t="shared" si="30"/>
        <v xml:space="preserve">Brand </v>
      </c>
      <c r="BG63" t="str">
        <f t="shared" si="55"/>
        <v>Tennis</v>
      </c>
      <c r="BI63">
        <f t="shared" si="56"/>
        <v>3.5</v>
      </c>
      <c r="BJ63" t="str">
        <f t="shared" si="57"/>
        <v>Tennis</v>
      </c>
      <c r="BK63" t="str">
        <f t="shared" si="58"/>
        <v>A</v>
      </c>
    </row>
    <row r="64" spans="8:63">
      <c r="H64">
        <v>57</v>
      </c>
      <c r="I64">
        <v>4</v>
      </c>
      <c r="J64">
        <v>8</v>
      </c>
      <c r="K64">
        <v>12</v>
      </c>
      <c r="L64">
        <v>16</v>
      </c>
      <c r="M64">
        <v>20</v>
      </c>
      <c r="N64">
        <v>2</v>
      </c>
      <c r="O64">
        <v>6</v>
      </c>
      <c r="P64">
        <v>10</v>
      </c>
      <c r="Q64">
        <v>14</v>
      </c>
      <c r="R64">
        <v>18</v>
      </c>
      <c r="S64">
        <v>3</v>
      </c>
      <c r="T64">
        <v>7</v>
      </c>
      <c r="U64">
        <v>11</v>
      </c>
      <c r="V64">
        <v>15</v>
      </c>
      <c r="W64">
        <v>19</v>
      </c>
      <c r="X64">
        <v>1</v>
      </c>
      <c r="Y64">
        <v>5</v>
      </c>
      <c r="Z64">
        <v>9</v>
      </c>
      <c r="AA64">
        <v>13</v>
      </c>
      <c r="AB64">
        <v>17</v>
      </c>
      <c r="AD64">
        <f t="shared" si="31"/>
        <v>10</v>
      </c>
      <c r="AE64">
        <f t="shared" si="32"/>
        <v>26</v>
      </c>
      <c r="AF64">
        <f t="shared" si="33"/>
        <v>42</v>
      </c>
      <c r="AG64">
        <f t="shared" si="34"/>
        <v>58</v>
      </c>
      <c r="AH64">
        <f t="shared" si="35"/>
        <v>74</v>
      </c>
      <c r="AI64">
        <f t="shared" si="36"/>
        <v>110</v>
      </c>
      <c r="AJ64">
        <f t="shared" si="37"/>
        <v>100</v>
      </c>
      <c r="AK64">
        <f t="shared" si="38"/>
        <v>95</v>
      </c>
      <c r="AL64">
        <f t="shared" si="39"/>
        <v>115</v>
      </c>
      <c r="AN64" s="67">
        <f t="shared" si="40"/>
        <v>0</v>
      </c>
      <c r="AO64" s="67">
        <f t="shared" si="41"/>
        <v>0.15238095238095239</v>
      </c>
      <c r="AP64" s="67">
        <f t="shared" si="42"/>
        <v>0.30476190476190479</v>
      </c>
      <c r="AQ64" s="67">
        <f t="shared" si="43"/>
        <v>0.45714285714285713</v>
      </c>
      <c r="AR64" s="67">
        <f t="shared" si="44"/>
        <v>0.60952380952380958</v>
      </c>
      <c r="AS64" s="67">
        <f t="shared" si="45"/>
        <v>0.95238095238095233</v>
      </c>
      <c r="AT64" s="67">
        <f t="shared" si="46"/>
        <v>0.8571428571428571</v>
      </c>
      <c r="AU64" s="67">
        <f t="shared" si="47"/>
        <v>0.80952380952380953</v>
      </c>
      <c r="AV64" s="67">
        <f t="shared" si="48"/>
        <v>1</v>
      </c>
      <c r="AX64">
        <f t="shared" si="49"/>
        <v>0.60952380952380958</v>
      </c>
      <c r="AY64">
        <f t="shared" si="50"/>
        <v>9.5238095238095233E-2</v>
      </c>
      <c r="AZ64">
        <f t="shared" si="51"/>
        <v>0.19047619047619047</v>
      </c>
      <c r="BB64">
        <f t="shared" si="52"/>
        <v>0.68085106382978722</v>
      </c>
      <c r="BC64">
        <f t="shared" si="53"/>
        <v>0.10638297872340424</v>
      </c>
      <c r="BD64">
        <f t="shared" si="54"/>
        <v>0.21276595744680848</v>
      </c>
      <c r="BF64" t="str">
        <f t="shared" si="30"/>
        <v>Price</v>
      </c>
      <c r="BG64">
        <f t="shared" si="55"/>
        <v>3.5</v>
      </c>
      <c r="BI64">
        <f t="shared" si="56"/>
        <v>3.5</v>
      </c>
      <c r="BJ64" t="str">
        <f t="shared" si="57"/>
        <v>Tennis</v>
      </c>
      <c r="BK64" t="str">
        <f t="shared" si="58"/>
        <v>B</v>
      </c>
    </row>
    <row r="65" spans="8:63">
      <c r="H65">
        <v>58</v>
      </c>
      <c r="I65">
        <v>10</v>
      </c>
      <c r="J65">
        <v>14</v>
      </c>
      <c r="K65">
        <v>17</v>
      </c>
      <c r="L65">
        <v>19</v>
      </c>
      <c r="M65">
        <v>20</v>
      </c>
      <c r="N65">
        <v>5</v>
      </c>
      <c r="O65">
        <v>8</v>
      </c>
      <c r="P65">
        <v>12</v>
      </c>
      <c r="Q65">
        <v>15</v>
      </c>
      <c r="R65">
        <v>18</v>
      </c>
      <c r="S65">
        <v>3</v>
      </c>
      <c r="T65">
        <v>6</v>
      </c>
      <c r="U65">
        <v>9</v>
      </c>
      <c r="V65">
        <v>13</v>
      </c>
      <c r="W65">
        <v>16</v>
      </c>
      <c r="X65">
        <v>1</v>
      </c>
      <c r="Y65">
        <v>2</v>
      </c>
      <c r="Z65">
        <v>4</v>
      </c>
      <c r="AA65">
        <v>7</v>
      </c>
      <c r="AB65">
        <v>11</v>
      </c>
      <c r="AD65">
        <f t="shared" si="31"/>
        <v>19</v>
      </c>
      <c r="AE65">
        <f t="shared" si="32"/>
        <v>30</v>
      </c>
      <c r="AF65">
        <f t="shared" si="33"/>
        <v>42</v>
      </c>
      <c r="AG65">
        <f t="shared" si="34"/>
        <v>54</v>
      </c>
      <c r="AH65">
        <f t="shared" si="35"/>
        <v>65</v>
      </c>
      <c r="AI65">
        <f t="shared" si="36"/>
        <v>138</v>
      </c>
      <c r="AJ65">
        <f t="shared" si="37"/>
        <v>72</v>
      </c>
      <c r="AK65">
        <f t="shared" si="38"/>
        <v>83</v>
      </c>
      <c r="AL65">
        <f t="shared" si="39"/>
        <v>127</v>
      </c>
      <c r="AN65" s="67">
        <f t="shared" si="40"/>
        <v>0</v>
      </c>
      <c r="AO65" s="67">
        <f t="shared" si="41"/>
        <v>9.2436974789915971E-2</v>
      </c>
      <c r="AP65" s="67">
        <f t="shared" si="42"/>
        <v>0.19327731092436976</v>
      </c>
      <c r="AQ65" s="67">
        <f t="shared" si="43"/>
        <v>0.29411764705882354</v>
      </c>
      <c r="AR65" s="67">
        <f t="shared" si="44"/>
        <v>0.38655462184873951</v>
      </c>
      <c r="AS65" s="67">
        <f t="shared" si="45"/>
        <v>1</v>
      </c>
      <c r="AT65" s="67">
        <f t="shared" si="46"/>
        <v>0.44537815126050423</v>
      </c>
      <c r="AU65" s="67">
        <f t="shared" si="47"/>
        <v>0.53781512605042014</v>
      </c>
      <c r="AV65" s="67">
        <f t="shared" si="48"/>
        <v>0.90756302521008403</v>
      </c>
      <c r="AX65">
        <f t="shared" si="49"/>
        <v>0.38655462184873951</v>
      </c>
      <c r="AY65">
        <f t="shared" si="50"/>
        <v>0.55462184873949583</v>
      </c>
      <c r="AZ65">
        <f t="shared" si="51"/>
        <v>0.36974789915966388</v>
      </c>
      <c r="BB65">
        <f t="shared" si="52"/>
        <v>0.29487179487179488</v>
      </c>
      <c r="BC65">
        <f t="shared" si="53"/>
        <v>0.42307692307692307</v>
      </c>
      <c r="BD65">
        <f t="shared" si="54"/>
        <v>0.28205128205128205</v>
      </c>
      <c r="BF65" t="str">
        <f t="shared" si="30"/>
        <v xml:space="preserve">Brand </v>
      </c>
      <c r="BG65" t="str">
        <f t="shared" si="55"/>
        <v>Tennis</v>
      </c>
      <c r="BI65">
        <f t="shared" si="56"/>
        <v>3.5</v>
      </c>
      <c r="BJ65" t="str">
        <f t="shared" si="57"/>
        <v>Tennis</v>
      </c>
      <c r="BK65" t="str">
        <f t="shared" si="58"/>
        <v>B</v>
      </c>
    </row>
    <row r="66" spans="8:63">
      <c r="H66">
        <v>59</v>
      </c>
      <c r="I66">
        <v>12</v>
      </c>
      <c r="J66">
        <v>15</v>
      </c>
      <c r="K66">
        <v>18</v>
      </c>
      <c r="L66">
        <v>19</v>
      </c>
      <c r="M66">
        <v>20</v>
      </c>
      <c r="N66">
        <v>5</v>
      </c>
      <c r="O66">
        <v>8</v>
      </c>
      <c r="P66">
        <v>11</v>
      </c>
      <c r="Q66">
        <v>14</v>
      </c>
      <c r="R66">
        <v>17</v>
      </c>
      <c r="S66">
        <v>4</v>
      </c>
      <c r="T66">
        <v>7</v>
      </c>
      <c r="U66">
        <v>10</v>
      </c>
      <c r="V66">
        <v>13</v>
      </c>
      <c r="W66">
        <v>16</v>
      </c>
      <c r="X66">
        <v>1</v>
      </c>
      <c r="Y66">
        <v>2</v>
      </c>
      <c r="Z66">
        <v>3</v>
      </c>
      <c r="AA66">
        <v>6</v>
      </c>
      <c r="AB66">
        <v>9</v>
      </c>
      <c r="AD66">
        <f t="shared" si="31"/>
        <v>22</v>
      </c>
      <c r="AE66">
        <f t="shared" si="32"/>
        <v>32</v>
      </c>
      <c r="AF66">
        <f t="shared" si="33"/>
        <v>42</v>
      </c>
      <c r="AG66">
        <f t="shared" si="34"/>
        <v>52</v>
      </c>
      <c r="AH66">
        <f t="shared" si="35"/>
        <v>62</v>
      </c>
      <c r="AI66">
        <f t="shared" si="36"/>
        <v>139</v>
      </c>
      <c r="AJ66">
        <f t="shared" si="37"/>
        <v>71</v>
      </c>
      <c r="AK66">
        <f t="shared" si="38"/>
        <v>76</v>
      </c>
      <c r="AL66">
        <f t="shared" si="39"/>
        <v>134</v>
      </c>
      <c r="AN66" s="67">
        <f t="shared" si="40"/>
        <v>0</v>
      </c>
      <c r="AO66" s="67">
        <f t="shared" si="41"/>
        <v>8.5470085470085472E-2</v>
      </c>
      <c r="AP66" s="67">
        <f t="shared" si="42"/>
        <v>0.17094017094017094</v>
      </c>
      <c r="AQ66" s="67">
        <f t="shared" si="43"/>
        <v>0.25641025641025639</v>
      </c>
      <c r="AR66" s="67">
        <f t="shared" si="44"/>
        <v>0.34188034188034189</v>
      </c>
      <c r="AS66" s="67">
        <f t="shared" si="45"/>
        <v>1</v>
      </c>
      <c r="AT66" s="67">
        <f t="shared" si="46"/>
        <v>0.41880341880341881</v>
      </c>
      <c r="AU66" s="67">
        <f t="shared" si="47"/>
        <v>0.46153846153846156</v>
      </c>
      <c r="AV66" s="67">
        <f t="shared" si="48"/>
        <v>0.95726495726495731</v>
      </c>
      <c r="AX66">
        <f t="shared" si="49"/>
        <v>0.34188034188034189</v>
      </c>
      <c r="AY66">
        <f t="shared" si="50"/>
        <v>0.58119658119658113</v>
      </c>
      <c r="AZ66">
        <f t="shared" si="51"/>
        <v>0.49572649572649574</v>
      </c>
      <c r="BB66">
        <f t="shared" si="52"/>
        <v>0.24096385542168677</v>
      </c>
      <c r="BC66">
        <f t="shared" si="53"/>
        <v>0.40963855421686746</v>
      </c>
      <c r="BD66">
        <f t="shared" si="54"/>
        <v>0.34939759036144585</v>
      </c>
      <c r="BF66" t="str">
        <f t="shared" si="30"/>
        <v xml:space="preserve">Brand </v>
      </c>
      <c r="BG66" t="str">
        <f t="shared" si="55"/>
        <v>Tennis</v>
      </c>
      <c r="BI66">
        <f t="shared" si="56"/>
        <v>3.5</v>
      </c>
      <c r="BJ66" t="str">
        <f t="shared" si="57"/>
        <v>Tennis</v>
      </c>
      <c r="BK66" t="str">
        <f t="shared" si="58"/>
        <v>B</v>
      </c>
    </row>
    <row r="67" spans="8:63">
      <c r="H67">
        <v>60</v>
      </c>
      <c r="I67">
        <v>1</v>
      </c>
      <c r="J67">
        <v>5</v>
      </c>
      <c r="K67">
        <v>9</v>
      </c>
      <c r="L67">
        <v>13</v>
      </c>
      <c r="M67">
        <v>17</v>
      </c>
      <c r="N67">
        <v>3</v>
      </c>
      <c r="O67">
        <v>7</v>
      </c>
      <c r="P67">
        <v>11</v>
      </c>
      <c r="Q67">
        <v>15</v>
      </c>
      <c r="R67">
        <v>19</v>
      </c>
      <c r="S67">
        <v>2</v>
      </c>
      <c r="T67">
        <v>6</v>
      </c>
      <c r="U67">
        <v>10</v>
      </c>
      <c r="V67">
        <v>14</v>
      </c>
      <c r="W67">
        <v>18</v>
      </c>
      <c r="X67">
        <v>4</v>
      </c>
      <c r="Y67">
        <v>8</v>
      </c>
      <c r="Z67">
        <v>12</v>
      </c>
      <c r="AA67">
        <v>16</v>
      </c>
      <c r="AB67">
        <v>20</v>
      </c>
      <c r="AD67">
        <f t="shared" si="31"/>
        <v>10</v>
      </c>
      <c r="AE67">
        <f t="shared" si="32"/>
        <v>26</v>
      </c>
      <c r="AF67">
        <f t="shared" si="33"/>
        <v>42</v>
      </c>
      <c r="AG67">
        <f t="shared" si="34"/>
        <v>58</v>
      </c>
      <c r="AH67">
        <f t="shared" si="35"/>
        <v>74</v>
      </c>
      <c r="AI67">
        <f t="shared" si="36"/>
        <v>100</v>
      </c>
      <c r="AJ67">
        <f t="shared" si="37"/>
        <v>110</v>
      </c>
      <c r="AK67">
        <f t="shared" si="38"/>
        <v>115</v>
      </c>
      <c r="AL67">
        <f t="shared" si="39"/>
        <v>95</v>
      </c>
      <c r="AN67" s="67">
        <f t="shared" si="40"/>
        <v>0</v>
      </c>
      <c r="AO67" s="67">
        <f t="shared" si="41"/>
        <v>0.15238095238095239</v>
      </c>
      <c r="AP67" s="67">
        <f t="shared" si="42"/>
        <v>0.30476190476190479</v>
      </c>
      <c r="AQ67" s="67">
        <f t="shared" si="43"/>
        <v>0.45714285714285713</v>
      </c>
      <c r="AR67" s="67">
        <f t="shared" si="44"/>
        <v>0.60952380952380958</v>
      </c>
      <c r="AS67" s="67">
        <f t="shared" si="45"/>
        <v>0.8571428571428571</v>
      </c>
      <c r="AT67" s="67">
        <f t="shared" si="46"/>
        <v>0.95238095238095233</v>
      </c>
      <c r="AU67" s="67">
        <f t="shared" si="47"/>
        <v>1</v>
      </c>
      <c r="AV67" s="67">
        <f t="shared" si="48"/>
        <v>0.80952380952380953</v>
      </c>
      <c r="AX67">
        <f t="shared" si="49"/>
        <v>0.60952380952380958</v>
      </c>
      <c r="AY67">
        <f t="shared" si="50"/>
        <v>9.5238095238095233E-2</v>
      </c>
      <c r="AZ67">
        <f t="shared" si="51"/>
        <v>0.19047619047619047</v>
      </c>
      <c r="BB67">
        <f t="shared" si="52"/>
        <v>0.68085106382978722</v>
      </c>
      <c r="BC67">
        <f t="shared" si="53"/>
        <v>0.10638297872340424</v>
      </c>
      <c r="BD67">
        <f t="shared" si="54"/>
        <v>0.21276595744680848</v>
      </c>
      <c r="BF67" t="str">
        <f t="shared" si="30"/>
        <v>Price</v>
      </c>
      <c r="BG67">
        <f t="shared" si="55"/>
        <v>3.5</v>
      </c>
      <c r="BI67">
        <f t="shared" si="56"/>
        <v>3.5</v>
      </c>
      <c r="BJ67" t="str">
        <f t="shared" si="57"/>
        <v>Super Bowl</v>
      </c>
      <c r="BK67" t="str">
        <f t="shared" si="58"/>
        <v>A</v>
      </c>
    </row>
    <row r="68" spans="8:63">
      <c r="H68">
        <v>61</v>
      </c>
      <c r="I68">
        <v>4</v>
      </c>
      <c r="J68">
        <v>8</v>
      </c>
      <c r="K68">
        <v>12</v>
      </c>
      <c r="L68">
        <v>16</v>
      </c>
      <c r="M68">
        <v>20</v>
      </c>
      <c r="N68">
        <v>3</v>
      </c>
      <c r="O68">
        <v>7</v>
      </c>
      <c r="P68">
        <v>11</v>
      </c>
      <c r="Q68">
        <v>15</v>
      </c>
      <c r="R68">
        <v>19</v>
      </c>
      <c r="S68">
        <v>2</v>
      </c>
      <c r="T68">
        <v>6</v>
      </c>
      <c r="U68">
        <v>10</v>
      </c>
      <c r="V68">
        <v>14</v>
      </c>
      <c r="W68">
        <v>18</v>
      </c>
      <c r="X68">
        <v>1</v>
      </c>
      <c r="Y68">
        <v>5</v>
      </c>
      <c r="Z68">
        <v>9</v>
      </c>
      <c r="AA68">
        <v>13</v>
      </c>
      <c r="AB68">
        <v>17</v>
      </c>
      <c r="AD68">
        <f t="shared" si="31"/>
        <v>10</v>
      </c>
      <c r="AE68">
        <f t="shared" si="32"/>
        <v>26</v>
      </c>
      <c r="AF68">
        <f t="shared" si="33"/>
        <v>42</v>
      </c>
      <c r="AG68">
        <f t="shared" si="34"/>
        <v>58</v>
      </c>
      <c r="AH68">
        <f t="shared" si="35"/>
        <v>74</v>
      </c>
      <c r="AI68">
        <f t="shared" si="36"/>
        <v>115</v>
      </c>
      <c r="AJ68">
        <f t="shared" si="37"/>
        <v>95</v>
      </c>
      <c r="AK68">
        <f t="shared" si="38"/>
        <v>100</v>
      </c>
      <c r="AL68">
        <f t="shared" si="39"/>
        <v>110</v>
      </c>
      <c r="AN68" s="67">
        <f t="shared" si="40"/>
        <v>0</v>
      </c>
      <c r="AO68" s="67">
        <f t="shared" si="41"/>
        <v>0.15238095238095239</v>
      </c>
      <c r="AP68" s="67">
        <f t="shared" si="42"/>
        <v>0.30476190476190479</v>
      </c>
      <c r="AQ68" s="67">
        <f t="shared" si="43"/>
        <v>0.45714285714285713</v>
      </c>
      <c r="AR68" s="67">
        <f t="shared" si="44"/>
        <v>0.60952380952380958</v>
      </c>
      <c r="AS68" s="67">
        <f t="shared" si="45"/>
        <v>1</v>
      </c>
      <c r="AT68" s="67">
        <f t="shared" si="46"/>
        <v>0.80952380952380953</v>
      </c>
      <c r="AU68" s="67">
        <f t="shared" si="47"/>
        <v>0.8571428571428571</v>
      </c>
      <c r="AV68" s="67">
        <f t="shared" si="48"/>
        <v>0.95238095238095233</v>
      </c>
      <c r="AX68">
        <f t="shared" si="49"/>
        <v>0.60952380952380958</v>
      </c>
      <c r="AY68">
        <f t="shared" si="50"/>
        <v>0.19047619047619047</v>
      </c>
      <c r="AZ68">
        <f t="shared" si="51"/>
        <v>9.5238095238095233E-2</v>
      </c>
      <c r="BB68">
        <f t="shared" si="52"/>
        <v>0.68085106382978722</v>
      </c>
      <c r="BC68">
        <f t="shared" si="53"/>
        <v>0.21276595744680848</v>
      </c>
      <c r="BD68">
        <f t="shared" si="54"/>
        <v>0.10638297872340424</v>
      </c>
      <c r="BF68" t="str">
        <f t="shared" si="30"/>
        <v>Price</v>
      </c>
      <c r="BG68">
        <f t="shared" si="55"/>
        <v>3.5</v>
      </c>
      <c r="BI68">
        <f t="shared" si="56"/>
        <v>3.5</v>
      </c>
      <c r="BJ68" t="str">
        <f t="shared" si="57"/>
        <v>Tennis</v>
      </c>
      <c r="BK68" t="str">
        <f t="shared" si="58"/>
        <v>B</v>
      </c>
    </row>
    <row r="69" spans="8:63">
      <c r="H69">
        <v>62</v>
      </c>
      <c r="I69">
        <v>4</v>
      </c>
      <c r="J69">
        <v>7</v>
      </c>
      <c r="K69">
        <v>10</v>
      </c>
      <c r="L69">
        <v>13</v>
      </c>
      <c r="M69">
        <v>16</v>
      </c>
      <c r="N69">
        <v>1</v>
      </c>
      <c r="O69">
        <v>2</v>
      </c>
      <c r="P69">
        <v>3</v>
      </c>
      <c r="Q69">
        <v>6</v>
      </c>
      <c r="R69">
        <v>9</v>
      </c>
      <c r="S69">
        <v>13</v>
      </c>
      <c r="T69">
        <v>16</v>
      </c>
      <c r="U69">
        <v>18</v>
      </c>
      <c r="V69">
        <v>19</v>
      </c>
      <c r="W69">
        <v>20</v>
      </c>
      <c r="X69">
        <v>6</v>
      </c>
      <c r="Y69">
        <v>9</v>
      </c>
      <c r="Z69">
        <v>11</v>
      </c>
      <c r="AA69">
        <v>14</v>
      </c>
      <c r="AB69">
        <v>17</v>
      </c>
      <c r="AD69">
        <f t="shared" si="31"/>
        <v>24</v>
      </c>
      <c r="AE69">
        <f t="shared" si="32"/>
        <v>34</v>
      </c>
      <c r="AF69">
        <f t="shared" si="33"/>
        <v>42</v>
      </c>
      <c r="AG69">
        <f t="shared" si="34"/>
        <v>52</v>
      </c>
      <c r="AH69">
        <f t="shared" si="35"/>
        <v>62</v>
      </c>
      <c r="AI69">
        <f t="shared" si="36"/>
        <v>71</v>
      </c>
      <c r="AJ69">
        <f t="shared" si="37"/>
        <v>143</v>
      </c>
      <c r="AK69">
        <f t="shared" si="38"/>
        <v>78</v>
      </c>
      <c r="AL69">
        <f t="shared" si="39"/>
        <v>136</v>
      </c>
      <c r="AN69" s="67">
        <f t="shared" si="40"/>
        <v>0</v>
      </c>
      <c r="AO69" s="67">
        <f t="shared" si="41"/>
        <v>8.4033613445378158E-2</v>
      </c>
      <c r="AP69" s="67">
        <f t="shared" si="42"/>
        <v>0.15126050420168066</v>
      </c>
      <c r="AQ69" s="67">
        <f t="shared" si="43"/>
        <v>0.23529411764705882</v>
      </c>
      <c r="AR69" s="67">
        <f t="shared" si="44"/>
        <v>0.31932773109243695</v>
      </c>
      <c r="AS69" s="67">
        <f t="shared" si="45"/>
        <v>0.3949579831932773</v>
      </c>
      <c r="AT69" s="67">
        <f t="shared" si="46"/>
        <v>1</v>
      </c>
      <c r="AU69" s="67">
        <f t="shared" si="47"/>
        <v>0.45378151260504201</v>
      </c>
      <c r="AV69" s="67">
        <f t="shared" si="48"/>
        <v>0.94117647058823528</v>
      </c>
      <c r="AX69">
        <f t="shared" si="49"/>
        <v>0.31932773109243695</v>
      </c>
      <c r="AY69">
        <f t="shared" si="50"/>
        <v>0.60504201680672276</v>
      </c>
      <c r="AZ69">
        <f t="shared" si="51"/>
        <v>0.48739495798319327</v>
      </c>
      <c r="BB69">
        <f t="shared" si="52"/>
        <v>0.22619047619047616</v>
      </c>
      <c r="BC69">
        <f t="shared" si="53"/>
        <v>0.4285714285714286</v>
      </c>
      <c r="BD69">
        <f t="shared" si="54"/>
        <v>0.34523809523809523</v>
      </c>
      <c r="BF69" t="str">
        <f t="shared" si="30"/>
        <v xml:space="preserve">Brand </v>
      </c>
      <c r="BG69" t="str">
        <f t="shared" si="55"/>
        <v>Super Bowl</v>
      </c>
      <c r="BI69">
        <f t="shared" si="56"/>
        <v>3.5</v>
      </c>
      <c r="BJ69" t="str">
        <f t="shared" si="57"/>
        <v>Super Bowl</v>
      </c>
      <c r="BK69" t="str">
        <f t="shared" si="58"/>
        <v>B</v>
      </c>
    </row>
    <row r="70" spans="8:63">
      <c r="H70">
        <v>63</v>
      </c>
      <c r="I70">
        <v>4</v>
      </c>
      <c r="J70">
        <v>8</v>
      </c>
      <c r="K70">
        <v>12</v>
      </c>
      <c r="L70">
        <v>16</v>
      </c>
      <c r="M70">
        <v>20</v>
      </c>
      <c r="N70">
        <v>3</v>
      </c>
      <c r="O70">
        <v>7</v>
      </c>
      <c r="P70">
        <v>11</v>
      </c>
      <c r="Q70">
        <v>15</v>
      </c>
      <c r="R70">
        <v>19</v>
      </c>
      <c r="S70">
        <v>2</v>
      </c>
      <c r="T70">
        <v>6</v>
      </c>
      <c r="U70">
        <v>10</v>
      </c>
      <c r="V70">
        <v>14</v>
      </c>
      <c r="W70">
        <v>18</v>
      </c>
      <c r="X70">
        <v>1</v>
      </c>
      <c r="Y70">
        <v>5</v>
      </c>
      <c r="Z70">
        <v>9</v>
      </c>
      <c r="AA70">
        <v>13</v>
      </c>
      <c r="AB70">
        <v>17</v>
      </c>
      <c r="AD70">
        <f t="shared" si="31"/>
        <v>10</v>
      </c>
      <c r="AE70">
        <f t="shared" si="32"/>
        <v>26</v>
      </c>
      <c r="AF70">
        <f t="shared" si="33"/>
        <v>42</v>
      </c>
      <c r="AG70">
        <f t="shared" si="34"/>
        <v>58</v>
      </c>
      <c r="AH70">
        <f t="shared" si="35"/>
        <v>74</v>
      </c>
      <c r="AI70">
        <f t="shared" si="36"/>
        <v>115</v>
      </c>
      <c r="AJ70">
        <f t="shared" si="37"/>
        <v>95</v>
      </c>
      <c r="AK70">
        <f t="shared" si="38"/>
        <v>100</v>
      </c>
      <c r="AL70">
        <f t="shared" si="39"/>
        <v>110</v>
      </c>
      <c r="AN70" s="67">
        <f t="shared" si="40"/>
        <v>0</v>
      </c>
      <c r="AO70" s="67">
        <f t="shared" si="41"/>
        <v>0.15238095238095239</v>
      </c>
      <c r="AP70" s="67">
        <f t="shared" si="42"/>
        <v>0.30476190476190479</v>
      </c>
      <c r="AQ70" s="67">
        <f t="shared" si="43"/>
        <v>0.45714285714285713</v>
      </c>
      <c r="AR70" s="67">
        <f t="shared" si="44"/>
        <v>0.60952380952380958</v>
      </c>
      <c r="AS70" s="67">
        <f t="shared" si="45"/>
        <v>1</v>
      </c>
      <c r="AT70" s="67">
        <f t="shared" si="46"/>
        <v>0.80952380952380953</v>
      </c>
      <c r="AU70" s="67">
        <f t="shared" si="47"/>
        <v>0.8571428571428571</v>
      </c>
      <c r="AV70" s="67">
        <f t="shared" si="48"/>
        <v>0.95238095238095233</v>
      </c>
      <c r="AX70">
        <f t="shared" si="49"/>
        <v>0.60952380952380958</v>
      </c>
      <c r="AY70">
        <f t="shared" si="50"/>
        <v>0.19047619047619047</v>
      </c>
      <c r="AZ70">
        <f t="shared" si="51"/>
        <v>9.5238095238095233E-2</v>
      </c>
      <c r="BB70">
        <f t="shared" si="52"/>
        <v>0.68085106382978722</v>
      </c>
      <c r="BC70">
        <f t="shared" si="53"/>
        <v>0.21276595744680848</v>
      </c>
      <c r="BD70">
        <f t="shared" si="54"/>
        <v>0.10638297872340424</v>
      </c>
      <c r="BF70" t="str">
        <f t="shared" si="30"/>
        <v>Price</v>
      </c>
      <c r="BG70">
        <f t="shared" si="55"/>
        <v>3.5</v>
      </c>
      <c r="BI70">
        <f t="shared" si="56"/>
        <v>3.5</v>
      </c>
      <c r="BJ70" t="str">
        <f t="shared" si="57"/>
        <v>Tennis</v>
      </c>
      <c r="BK70" t="str">
        <f t="shared" si="58"/>
        <v>B</v>
      </c>
    </row>
    <row r="71" spans="8:63">
      <c r="H71">
        <v>64</v>
      </c>
      <c r="I71">
        <v>5</v>
      </c>
      <c r="J71">
        <v>8</v>
      </c>
      <c r="K71">
        <v>11</v>
      </c>
      <c r="L71">
        <v>14</v>
      </c>
      <c r="M71">
        <v>17</v>
      </c>
      <c r="N71">
        <v>12</v>
      </c>
      <c r="O71">
        <v>15</v>
      </c>
      <c r="P71">
        <v>18</v>
      </c>
      <c r="Q71">
        <v>19</v>
      </c>
      <c r="R71">
        <v>20</v>
      </c>
      <c r="S71">
        <v>1</v>
      </c>
      <c r="T71">
        <v>2</v>
      </c>
      <c r="U71">
        <v>3</v>
      </c>
      <c r="V71">
        <v>6</v>
      </c>
      <c r="W71">
        <v>9</v>
      </c>
      <c r="X71">
        <v>4</v>
      </c>
      <c r="Y71">
        <v>7</v>
      </c>
      <c r="Z71">
        <v>10</v>
      </c>
      <c r="AA71">
        <v>13</v>
      </c>
      <c r="AB71">
        <v>16</v>
      </c>
      <c r="AD71">
        <f t="shared" si="31"/>
        <v>22</v>
      </c>
      <c r="AE71">
        <f t="shared" si="32"/>
        <v>32</v>
      </c>
      <c r="AF71">
        <f t="shared" si="33"/>
        <v>42</v>
      </c>
      <c r="AG71">
        <f t="shared" si="34"/>
        <v>52</v>
      </c>
      <c r="AH71">
        <f t="shared" si="35"/>
        <v>62</v>
      </c>
      <c r="AI71">
        <f t="shared" si="36"/>
        <v>139</v>
      </c>
      <c r="AJ71">
        <f t="shared" si="37"/>
        <v>71</v>
      </c>
      <c r="AK71">
        <f t="shared" si="38"/>
        <v>134</v>
      </c>
      <c r="AL71">
        <f t="shared" si="39"/>
        <v>76</v>
      </c>
      <c r="AN71" s="67">
        <f t="shared" si="40"/>
        <v>0</v>
      </c>
      <c r="AO71" s="67">
        <f t="shared" si="41"/>
        <v>8.5470085470085472E-2</v>
      </c>
      <c r="AP71" s="67">
        <f t="shared" si="42"/>
        <v>0.17094017094017094</v>
      </c>
      <c r="AQ71" s="67">
        <f t="shared" si="43"/>
        <v>0.25641025641025639</v>
      </c>
      <c r="AR71" s="67">
        <f t="shared" si="44"/>
        <v>0.34188034188034189</v>
      </c>
      <c r="AS71" s="67">
        <f t="shared" si="45"/>
        <v>1</v>
      </c>
      <c r="AT71" s="67">
        <f t="shared" si="46"/>
        <v>0.41880341880341881</v>
      </c>
      <c r="AU71" s="67">
        <f t="shared" si="47"/>
        <v>0.95726495726495731</v>
      </c>
      <c r="AV71" s="67">
        <f t="shared" si="48"/>
        <v>0.46153846153846156</v>
      </c>
      <c r="AX71">
        <f t="shared" si="49"/>
        <v>0.34188034188034189</v>
      </c>
      <c r="AY71">
        <f t="shared" si="50"/>
        <v>0.58119658119658113</v>
      </c>
      <c r="AZ71">
        <f t="shared" si="51"/>
        <v>0.49572649572649574</v>
      </c>
      <c r="BB71">
        <f t="shared" si="52"/>
        <v>0.24096385542168677</v>
      </c>
      <c r="BC71">
        <f t="shared" si="53"/>
        <v>0.40963855421686746</v>
      </c>
      <c r="BD71">
        <f t="shared" si="54"/>
        <v>0.34939759036144585</v>
      </c>
      <c r="BF71" t="str">
        <f t="shared" ref="BF71:BF96" si="59">INDEX($BB$7:$BD$7,,MATCH(MAX(BB71:BD71),BB71:BD71,0))</f>
        <v xml:space="preserve">Brand </v>
      </c>
      <c r="BG71" t="str">
        <f t="shared" si="55"/>
        <v>Tennis</v>
      </c>
      <c r="BI71">
        <f t="shared" si="56"/>
        <v>3.5</v>
      </c>
      <c r="BJ71" t="str">
        <f t="shared" si="57"/>
        <v>Tennis</v>
      </c>
      <c r="BK71" t="str">
        <f t="shared" si="58"/>
        <v>A</v>
      </c>
    </row>
    <row r="72" spans="8:63">
      <c r="H72">
        <v>65</v>
      </c>
      <c r="I72">
        <v>11</v>
      </c>
      <c r="J72">
        <v>14</v>
      </c>
      <c r="K72">
        <v>17</v>
      </c>
      <c r="L72">
        <v>19</v>
      </c>
      <c r="M72">
        <v>20</v>
      </c>
      <c r="N72">
        <v>5</v>
      </c>
      <c r="O72">
        <v>8</v>
      </c>
      <c r="P72">
        <v>12</v>
      </c>
      <c r="Q72">
        <v>15</v>
      </c>
      <c r="R72">
        <v>18</v>
      </c>
      <c r="S72">
        <v>3</v>
      </c>
      <c r="T72">
        <v>6</v>
      </c>
      <c r="U72">
        <v>9</v>
      </c>
      <c r="V72">
        <v>13</v>
      </c>
      <c r="W72">
        <v>16</v>
      </c>
      <c r="X72">
        <v>1</v>
      </c>
      <c r="Y72">
        <v>2</v>
      </c>
      <c r="Z72">
        <v>4</v>
      </c>
      <c r="AA72">
        <v>7</v>
      </c>
      <c r="AB72">
        <v>10</v>
      </c>
      <c r="AD72">
        <f t="shared" si="31"/>
        <v>20</v>
      </c>
      <c r="AE72">
        <f t="shared" si="32"/>
        <v>30</v>
      </c>
      <c r="AF72">
        <f t="shared" si="33"/>
        <v>42</v>
      </c>
      <c r="AG72">
        <f t="shared" si="34"/>
        <v>54</v>
      </c>
      <c r="AH72">
        <f t="shared" si="35"/>
        <v>64</v>
      </c>
      <c r="AI72">
        <f t="shared" si="36"/>
        <v>139</v>
      </c>
      <c r="AJ72">
        <f t="shared" si="37"/>
        <v>71</v>
      </c>
      <c r="AK72">
        <f t="shared" si="38"/>
        <v>82</v>
      </c>
      <c r="AL72">
        <f t="shared" si="39"/>
        <v>128</v>
      </c>
      <c r="AN72" s="67">
        <f t="shared" si="40"/>
        <v>0</v>
      </c>
      <c r="AO72" s="67">
        <f t="shared" si="41"/>
        <v>8.4033613445378158E-2</v>
      </c>
      <c r="AP72" s="67">
        <f t="shared" si="42"/>
        <v>0.18487394957983194</v>
      </c>
      <c r="AQ72" s="67">
        <f t="shared" si="43"/>
        <v>0.2857142857142857</v>
      </c>
      <c r="AR72" s="67">
        <f t="shared" si="44"/>
        <v>0.36974789915966388</v>
      </c>
      <c r="AS72" s="67">
        <f t="shared" si="45"/>
        <v>1</v>
      </c>
      <c r="AT72" s="67">
        <f t="shared" si="46"/>
        <v>0.42857142857142855</v>
      </c>
      <c r="AU72" s="67">
        <f t="shared" si="47"/>
        <v>0.52100840336134457</v>
      </c>
      <c r="AV72" s="67">
        <f t="shared" si="48"/>
        <v>0.90756302521008403</v>
      </c>
      <c r="AX72">
        <f t="shared" si="49"/>
        <v>0.36974789915966388</v>
      </c>
      <c r="AY72">
        <f t="shared" si="50"/>
        <v>0.5714285714285714</v>
      </c>
      <c r="AZ72">
        <f t="shared" si="51"/>
        <v>0.38655462184873945</v>
      </c>
      <c r="BB72">
        <f t="shared" si="52"/>
        <v>0.27848101265822789</v>
      </c>
      <c r="BC72">
        <f t="shared" si="53"/>
        <v>0.43037974683544306</v>
      </c>
      <c r="BD72">
        <f t="shared" si="54"/>
        <v>0.29113924050632911</v>
      </c>
      <c r="BF72" t="str">
        <f t="shared" si="59"/>
        <v xml:space="preserve">Brand </v>
      </c>
      <c r="BG72" t="str">
        <f t="shared" si="55"/>
        <v>Tennis</v>
      </c>
      <c r="BI72">
        <f t="shared" si="56"/>
        <v>3.5</v>
      </c>
      <c r="BJ72" t="str">
        <f t="shared" si="57"/>
        <v>Tennis</v>
      </c>
      <c r="BK72" t="str">
        <f t="shared" si="58"/>
        <v>B</v>
      </c>
    </row>
    <row r="73" spans="8:63">
      <c r="H73">
        <v>66</v>
      </c>
      <c r="I73">
        <v>3</v>
      </c>
      <c r="J73">
        <v>6</v>
      </c>
      <c r="K73">
        <v>9</v>
      </c>
      <c r="L73">
        <v>13</v>
      </c>
      <c r="M73">
        <v>16</v>
      </c>
      <c r="N73">
        <v>10</v>
      </c>
      <c r="O73">
        <v>14</v>
      </c>
      <c r="P73">
        <v>17</v>
      </c>
      <c r="Q73">
        <v>19</v>
      </c>
      <c r="R73">
        <v>20</v>
      </c>
      <c r="S73">
        <v>1</v>
      </c>
      <c r="T73">
        <v>2</v>
      </c>
      <c r="U73">
        <v>4</v>
      </c>
      <c r="V73">
        <v>7</v>
      </c>
      <c r="W73">
        <v>11</v>
      </c>
      <c r="X73">
        <v>5</v>
      </c>
      <c r="Y73">
        <v>8</v>
      </c>
      <c r="Z73">
        <v>12</v>
      </c>
      <c r="AA73">
        <v>15</v>
      </c>
      <c r="AB73">
        <v>18</v>
      </c>
      <c r="AD73">
        <f t="shared" ref="AD73:AD104" si="60">SUMIFS($I73:$AB73,$I$2:$AB$2,AD$7)</f>
        <v>19</v>
      </c>
      <c r="AE73">
        <f t="shared" ref="AE73:AE104" si="61">SUMIFS($I73:$AB73,$I$2:$AB$2,AE$7)</f>
        <v>30</v>
      </c>
      <c r="AF73">
        <f t="shared" ref="AF73:AF104" si="62">SUMIFS($I73:$AB73,$I$2:$AB$2,AF$7)</f>
        <v>42</v>
      </c>
      <c r="AG73">
        <f t="shared" ref="AG73:AG104" si="63">SUMIFS($I73:$AB73,$I$2:$AB$2,AG$7)</f>
        <v>54</v>
      </c>
      <c r="AH73">
        <f t="shared" ref="AH73:AH104" si="64">SUMIFS($I73:$AB73,$I$2:$AB$2,AH$7)</f>
        <v>65</v>
      </c>
      <c r="AI73">
        <f t="shared" ref="AI73:AI104" si="65">SUMIFS($I73:$AB73,$I$3:$AB$3,AI$7)</f>
        <v>127</v>
      </c>
      <c r="AJ73">
        <f t="shared" ref="AJ73:AJ104" si="66">SUMIFS($I73:$AB73,$I$3:$AB$3,AJ$7)</f>
        <v>83</v>
      </c>
      <c r="AK73">
        <f t="shared" ref="AK73:AK104" si="67">SUMIFS($I73:$AB73,$I$4:$AB$4,AK$7)</f>
        <v>138</v>
      </c>
      <c r="AL73">
        <f t="shared" ref="AL73:AL104" si="68">SUMIFS($I73:$AB73,$I$4:$AB$4,AL$7)</f>
        <v>72</v>
      </c>
      <c r="AN73" s="67">
        <f t="shared" ref="AN73:AN104" si="69">((AD73-MIN($AD73:$AL73))/(MAX($AD73:$AL73)-MIN($AD73:$AL73)))</f>
        <v>0</v>
      </c>
      <c r="AO73" s="67">
        <f t="shared" ref="AO73:AO104" si="70">((AE73-MIN($AD73:$AL73))/(MAX($AD73:$AL73)-MIN($AD73:$AL73)))</f>
        <v>9.2436974789915971E-2</v>
      </c>
      <c r="AP73" s="67">
        <f t="shared" ref="AP73:AP104" si="71">((AF73-MIN($AD73:$AL73))/(MAX($AD73:$AL73)-MIN($AD73:$AL73)))</f>
        <v>0.19327731092436976</v>
      </c>
      <c r="AQ73" s="67">
        <f t="shared" ref="AQ73:AQ104" si="72">((AG73-MIN($AD73:$AL73))/(MAX($AD73:$AL73)-MIN($AD73:$AL73)))</f>
        <v>0.29411764705882354</v>
      </c>
      <c r="AR73" s="67">
        <f t="shared" ref="AR73:AR104" si="73">((AH73-MIN($AD73:$AL73))/(MAX($AD73:$AL73)-MIN($AD73:$AL73)))</f>
        <v>0.38655462184873951</v>
      </c>
      <c r="AS73" s="67">
        <f t="shared" ref="AS73:AS104" si="74">((AI73-MIN($AD73:$AL73))/(MAX($AD73:$AL73)-MIN($AD73:$AL73)))</f>
        <v>0.90756302521008403</v>
      </c>
      <c r="AT73" s="67">
        <f t="shared" ref="AT73:AT104" si="75">((AJ73-MIN($AD73:$AL73))/(MAX($AD73:$AL73)-MIN($AD73:$AL73)))</f>
        <v>0.53781512605042014</v>
      </c>
      <c r="AU73" s="67">
        <f t="shared" ref="AU73:AU104" si="76">((AK73-MIN($AD73:$AL73))/(MAX($AD73:$AL73)-MIN($AD73:$AL73)))</f>
        <v>1</v>
      </c>
      <c r="AV73" s="67">
        <f t="shared" ref="AV73:AV104" si="77">((AL73-MIN($AD73:$AL73))/(MAX($AD73:$AL73)-MIN($AD73:$AL73)))</f>
        <v>0.44537815126050423</v>
      </c>
      <c r="AX73">
        <f t="shared" ref="AX73:AX104" si="78">MAX($AN73:$AR73)-MIN($AN73:$AR73)</f>
        <v>0.38655462184873951</v>
      </c>
      <c r="AY73">
        <f t="shared" ref="AY73:AY104" si="79">MAX($AS73:$AT73)-MIN($AS73:$AT73)</f>
        <v>0.36974789915966388</v>
      </c>
      <c r="AZ73">
        <f t="shared" ref="AZ73:AZ104" si="80">MAX($AU73:$AV73)-MIN($AU73:$AV73)</f>
        <v>0.55462184873949583</v>
      </c>
      <c r="BB73">
        <f t="shared" ref="BB73:BB104" si="81">AX73/SUM($AX73:$AZ73)</f>
        <v>0.29487179487179488</v>
      </c>
      <c r="BC73">
        <f t="shared" ref="BC73:BC104" si="82">AY73/SUM($AX73:$AZ73)</f>
        <v>0.28205128205128205</v>
      </c>
      <c r="BD73">
        <f t="shared" ref="BD73:BD104" si="83">AZ73/SUM($AX73:$AZ73)</f>
        <v>0.42307692307692307</v>
      </c>
      <c r="BF73" t="str">
        <f t="shared" si="59"/>
        <v>Theme</v>
      </c>
      <c r="BG73" t="str">
        <f t="shared" ref="BG73:BG104" si="84">INDEX(BI73:BK73,,MATCH(BF73,$BI$7:$BK$7,0))</f>
        <v>A</v>
      </c>
      <c r="BI73">
        <f t="shared" ref="BI73:BI104" si="85">INDEX($AN$7:$AR$7,,MATCH(MIN(AN73:AR73),AN73:AR73,0))</f>
        <v>3.5</v>
      </c>
      <c r="BJ73" t="str">
        <f t="shared" ref="BJ73:BJ104" si="86">INDEX($AS$7:$AT$7,,MATCH(MIN(AS73:AT73),AS73:AT73,0))</f>
        <v>Tennis</v>
      </c>
      <c r="BK73" t="str">
        <f t="shared" ref="BK73:BK104" si="87">INDEX($AU$7:$AV$7,,MATCH(MIN(AU73:AV73),AU73:AV73,0))</f>
        <v>A</v>
      </c>
    </row>
    <row r="74" spans="8:63">
      <c r="H74">
        <v>67</v>
      </c>
      <c r="I74">
        <v>13</v>
      </c>
      <c r="J74">
        <v>16</v>
      </c>
      <c r="K74">
        <v>18</v>
      </c>
      <c r="L74">
        <v>19</v>
      </c>
      <c r="M74">
        <v>20</v>
      </c>
      <c r="N74">
        <v>4</v>
      </c>
      <c r="O74">
        <v>7</v>
      </c>
      <c r="P74">
        <v>10</v>
      </c>
      <c r="Q74">
        <v>12</v>
      </c>
      <c r="R74">
        <v>15</v>
      </c>
      <c r="S74">
        <v>6</v>
      </c>
      <c r="T74">
        <v>9</v>
      </c>
      <c r="U74">
        <v>11</v>
      </c>
      <c r="V74">
        <v>14</v>
      </c>
      <c r="W74">
        <v>17</v>
      </c>
      <c r="X74">
        <v>1</v>
      </c>
      <c r="Y74">
        <v>2</v>
      </c>
      <c r="Z74">
        <v>3</v>
      </c>
      <c r="AA74">
        <v>5</v>
      </c>
      <c r="AB74">
        <v>8</v>
      </c>
      <c r="AD74">
        <f t="shared" si="60"/>
        <v>24</v>
      </c>
      <c r="AE74">
        <f t="shared" si="61"/>
        <v>34</v>
      </c>
      <c r="AF74">
        <f t="shared" si="62"/>
        <v>42</v>
      </c>
      <c r="AG74">
        <f t="shared" si="63"/>
        <v>50</v>
      </c>
      <c r="AH74">
        <f t="shared" si="64"/>
        <v>60</v>
      </c>
      <c r="AI74">
        <f t="shared" si="65"/>
        <v>134</v>
      </c>
      <c r="AJ74">
        <f t="shared" si="66"/>
        <v>76</v>
      </c>
      <c r="AK74">
        <f t="shared" si="67"/>
        <v>67</v>
      </c>
      <c r="AL74">
        <f t="shared" si="68"/>
        <v>143</v>
      </c>
      <c r="AN74" s="67">
        <f t="shared" si="69"/>
        <v>0</v>
      </c>
      <c r="AO74" s="67">
        <f t="shared" si="70"/>
        <v>8.4033613445378158E-2</v>
      </c>
      <c r="AP74" s="67">
        <f t="shared" si="71"/>
        <v>0.15126050420168066</v>
      </c>
      <c r="AQ74" s="67">
        <f t="shared" si="72"/>
        <v>0.21848739495798319</v>
      </c>
      <c r="AR74" s="67">
        <f t="shared" si="73"/>
        <v>0.30252100840336132</v>
      </c>
      <c r="AS74" s="67">
        <f t="shared" si="74"/>
        <v>0.92436974789915971</v>
      </c>
      <c r="AT74" s="67">
        <f t="shared" si="75"/>
        <v>0.43697478991596639</v>
      </c>
      <c r="AU74" s="67">
        <f t="shared" si="76"/>
        <v>0.36134453781512604</v>
      </c>
      <c r="AV74" s="67">
        <f t="shared" si="77"/>
        <v>1</v>
      </c>
      <c r="AX74">
        <f t="shared" si="78"/>
        <v>0.30252100840336132</v>
      </c>
      <c r="AY74">
        <f t="shared" si="79"/>
        <v>0.48739495798319332</v>
      </c>
      <c r="AZ74">
        <f t="shared" si="80"/>
        <v>0.6386554621848739</v>
      </c>
      <c r="BB74">
        <f t="shared" si="81"/>
        <v>0.21176470588235291</v>
      </c>
      <c r="BC74">
        <f t="shared" si="82"/>
        <v>0.3411764705882353</v>
      </c>
      <c r="BD74">
        <f t="shared" si="83"/>
        <v>0.44705882352941173</v>
      </c>
      <c r="BF74" t="str">
        <f t="shared" si="59"/>
        <v>Theme</v>
      </c>
      <c r="BG74" t="str">
        <f t="shared" si="84"/>
        <v>B</v>
      </c>
      <c r="BI74">
        <f t="shared" si="85"/>
        <v>3.5</v>
      </c>
      <c r="BJ74" t="str">
        <f t="shared" si="86"/>
        <v>Tennis</v>
      </c>
      <c r="BK74" t="str">
        <f t="shared" si="87"/>
        <v>B</v>
      </c>
    </row>
    <row r="75" spans="8:63">
      <c r="H75">
        <v>68</v>
      </c>
      <c r="I75">
        <v>10</v>
      </c>
      <c r="J75">
        <v>14</v>
      </c>
      <c r="K75">
        <v>17</v>
      </c>
      <c r="L75">
        <v>19</v>
      </c>
      <c r="M75">
        <v>20</v>
      </c>
      <c r="N75">
        <v>5</v>
      </c>
      <c r="O75">
        <v>8</v>
      </c>
      <c r="P75">
        <v>12</v>
      </c>
      <c r="Q75">
        <v>15</v>
      </c>
      <c r="R75">
        <v>18</v>
      </c>
      <c r="S75">
        <v>3</v>
      </c>
      <c r="T75">
        <v>6</v>
      </c>
      <c r="U75">
        <v>9</v>
      </c>
      <c r="V75">
        <v>13</v>
      </c>
      <c r="W75">
        <v>16</v>
      </c>
      <c r="X75">
        <v>1</v>
      </c>
      <c r="Y75">
        <v>2</v>
      </c>
      <c r="Z75">
        <v>4</v>
      </c>
      <c r="AA75">
        <v>7</v>
      </c>
      <c r="AB75">
        <v>11</v>
      </c>
      <c r="AD75">
        <f t="shared" si="60"/>
        <v>19</v>
      </c>
      <c r="AE75">
        <f t="shared" si="61"/>
        <v>30</v>
      </c>
      <c r="AF75">
        <f t="shared" si="62"/>
        <v>42</v>
      </c>
      <c r="AG75">
        <f t="shared" si="63"/>
        <v>54</v>
      </c>
      <c r="AH75">
        <f t="shared" si="64"/>
        <v>65</v>
      </c>
      <c r="AI75">
        <f t="shared" si="65"/>
        <v>138</v>
      </c>
      <c r="AJ75">
        <f t="shared" si="66"/>
        <v>72</v>
      </c>
      <c r="AK75">
        <f t="shared" si="67"/>
        <v>83</v>
      </c>
      <c r="AL75">
        <f t="shared" si="68"/>
        <v>127</v>
      </c>
      <c r="AN75" s="67">
        <f t="shared" si="69"/>
        <v>0</v>
      </c>
      <c r="AO75" s="67">
        <f t="shared" si="70"/>
        <v>9.2436974789915971E-2</v>
      </c>
      <c r="AP75" s="67">
        <f t="shared" si="71"/>
        <v>0.19327731092436976</v>
      </c>
      <c r="AQ75" s="67">
        <f t="shared" si="72"/>
        <v>0.29411764705882354</v>
      </c>
      <c r="AR75" s="67">
        <f t="shared" si="73"/>
        <v>0.38655462184873951</v>
      </c>
      <c r="AS75" s="67">
        <f t="shared" si="74"/>
        <v>1</v>
      </c>
      <c r="AT75" s="67">
        <f t="shared" si="75"/>
        <v>0.44537815126050423</v>
      </c>
      <c r="AU75" s="67">
        <f t="shared" si="76"/>
        <v>0.53781512605042014</v>
      </c>
      <c r="AV75" s="67">
        <f t="shared" si="77"/>
        <v>0.90756302521008403</v>
      </c>
      <c r="AX75">
        <f t="shared" si="78"/>
        <v>0.38655462184873951</v>
      </c>
      <c r="AY75">
        <f t="shared" si="79"/>
        <v>0.55462184873949583</v>
      </c>
      <c r="AZ75">
        <f t="shared" si="80"/>
        <v>0.36974789915966388</v>
      </c>
      <c r="BB75">
        <f t="shared" si="81"/>
        <v>0.29487179487179488</v>
      </c>
      <c r="BC75">
        <f t="shared" si="82"/>
        <v>0.42307692307692307</v>
      </c>
      <c r="BD75">
        <f t="shared" si="83"/>
        <v>0.28205128205128205</v>
      </c>
      <c r="BF75" t="str">
        <f t="shared" si="59"/>
        <v xml:space="preserve">Brand </v>
      </c>
      <c r="BG75" t="str">
        <f t="shared" si="84"/>
        <v>Tennis</v>
      </c>
      <c r="BI75">
        <f t="shared" si="85"/>
        <v>3.5</v>
      </c>
      <c r="BJ75" t="str">
        <f t="shared" si="86"/>
        <v>Tennis</v>
      </c>
      <c r="BK75" t="str">
        <f t="shared" si="87"/>
        <v>B</v>
      </c>
    </row>
    <row r="76" spans="8:63">
      <c r="H76">
        <v>69</v>
      </c>
      <c r="I76">
        <v>4</v>
      </c>
      <c r="J76">
        <v>8</v>
      </c>
      <c r="K76">
        <v>12</v>
      </c>
      <c r="L76">
        <v>16</v>
      </c>
      <c r="M76">
        <v>20</v>
      </c>
      <c r="N76">
        <v>3</v>
      </c>
      <c r="O76">
        <v>7</v>
      </c>
      <c r="P76">
        <v>11</v>
      </c>
      <c r="Q76">
        <v>15</v>
      </c>
      <c r="R76">
        <v>19</v>
      </c>
      <c r="S76">
        <v>2</v>
      </c>
      <c r="T76">
        <v>6</v>
      </c>
      <c r="U76">
        <v>10</v>
      </c>
      <c r="V76">
        <v>14</v>
      </c>
      <c r="W76">
        <v>18</v>
      </c>
      <c r="X76">
        <v>1</v>
      </c>
      <c r="Y76">
        <v>5</v>
      </c>
      <c r="Z76">
        <v>9</v>
      </c>
      <c r="AA76">
        <v>13</v>
      </c>
      <c r="AB76">
        <v>17</v>
      </c>
      <c r="AD76">
        <f t="shared" si="60"/>
        <v>10</v>
      </c>
      <c r="AE76">
        <f t="shared" si="61"/>
        <v>26</v>
      </c>
      <c r="AF76">
        <f t="shared" si="62"/>
        <v>42</v>
      </c>
      <c r="AG76">
        <f t="shared" si="63"/>
        <v>58</v>
      </c>
      <c r="AH76">
        <f t="shared" si="64"/>
        <v>74</v>
      </c>
      <c r="AI76">
        <f t="shared" si="65"/>
        <v>115</v>
      </c>
      <c r="AJ76">
        <f t="shared" si="66"/>
        <v>95</v>
      </c>
      <c r="AK76">
        <f t="shared" si="67"/>
        <v>100</v>
      </c>
      <c r="AL76">
        <f t="shared" si="68"/>
        <v>110</v>
      </c>
      <c r="AN76" s="67">
        <f t="shared" si="69"/>
        <v>0</v>
      </c>
      <c r="AO76" s="67">
        <f t="shared" si="70"/>
        <v>0.15238095238095239</v>
      </c>
      <c r="AP76" s="67">
        <f t="shared" si="71"/>
        <v>0.30476190476190479</v>
      </c>
      <c r="AQ76" s="67">
        <f t="shared" si="72"/>
        <v>0.45714285714285713</v>
      </c>
      <c r="AR76" s="67">
        <f t="shared" si="73"/>
        <v>0.60952380952380958</v>
      </c>
      <c r="AS76" s="67">
        <f t="shared" si="74"/>
        <v>1</v>
      </c>
      <c r="AT76" s="67">
        <f t="shared" si="75"/>
        <v>0.80952380952380953</v>
      </c>
      <c r="AU76" s="67">
        <f t="shared" si="76"/>
        <v>0.8571428571428571</v>
      </c>
      <c r="AV76" s="67">
        <f t="shared" si="77"/>
        <v>0.95238095238095233</v>
      </c>
      <c r="AX76">
        <f t="shared" si="78"/>
        <v>0.60952380952380958</v>
      </c>
      <c r="AY76">
        <f t="shared" si="79"/>
        <v>0.19047619047619047</v>
      </c>
      <c r="AZ76">
        <f t="shared" si="80"/>
        <v>9.5238095238095233E-2</v>
      </c>
      <c r="BB76">
        <f t="shared" si="81"/>
        <v>0.68085106382978722</v>
      </c>
      <c r="BC76">
        <f t="shared" si="82"/>
        <v>0.21276595744680848</v>
      </c>
      <c r="BD76">
        <f t="shared" si="83"/>
        <v>0.10638297872340424</v>
      </c>
      <c r="BF76" t="str">
        <f t="shared" si="59"/>
        <v>Price</v>
      </c>
      <c r="BG76">
        <f t="shared" si="84"/>
        <v>3.5</v>
      </c>
      <c r="BI76">
        <f t="shared" si="85"/>
        <v>3.5</v>
      </c>
      <c r="BJ76" t="str">
        <f t="shared" si="86"/>
        <v>Tennis</v>
      </c>
      <c r="BK76" t="str">
        <f t="shared" si="87"/>
        <v>B</v>
      </c>
    </row>
    <row r="77" spans="8:63">
      <c r="H77">
        <v>70</v>
      </c>
      <c r="I77">
        <v>1</v>
      </c>
      <c r="J77">
        <v>2</v>
      </c>
      <c r="K77">
        <v>3</v>
      </c>
      <c r="L77">
        <v>5</v>
      </c>
      <c r="M77">
        <v>8</v>
      </c>
      <c r="N77">
        <v>6</v>
      </c>
      <c r="O77">
        <v>9</v>
      </c>
      <c r="P77">
        <v>11</v>
      </c>
      <c r="Q77">
        <v>14</v>
      </c>
      <c r="R77">
        <v>17</v>
      </c>
      <c r="S77">
        <v>4</v>
      </c>
      <c r="T77">
        <v>7</v>
      </c>
      <c r="U77">
        <v>10</v>
      </c>
      <c r="V77">
        <v>12</v>
      </c>
      <c r="W77">
        <v>15</v>
      </c>
      <c r="X77">
        <v>13</v>
      </c>
      <c r="Y77">
        <v>16</v>
      </c>
      <c r="Z77">
        <v>18</v>
      </c>
      <c r="AA77">
        <v>19</v>
      </c>
      <c r="AB77">
        <v>20</v>
      </c>
      <c r="AD77">
        <f t="shared" si="60"/>
        <v>24</v>
      </c>
      <c r="AE77">
        <f t="shared" si="61"/>
        <v>34</v>
      </c>
      <c r="AF77">
        <f t="shared" si="62"/>
        <v>42</v>
      </c>
      <c r="AG77">
        <f t="shared" si="63"/>
        <v>50</v>
      </c>
      <c r="AH77">
        <f t="shared" si="64"/>
        <v>60</v>
      </c>
      <c r="AI77">
        <f t="shared" si="65"/>
        <v>76</v>
      </c>
      <c r="AJ77">
        <f t="shared" si="66"/>
        <v>134</v>
      </c>
      <c r="AK77">
        <f t="shared" si="67"/>
        <v>143</v>
      </c>
      <c r="AL77">
        <f t="shared" si="68"/>
        <v>67</v>
      </c>
      <c r="AN77" s="67">
        <f t="shared" si="69"/>
        <v>0</v>
      </c>
      <c r="AO77" s="67">
        <f t="shared" si="70"/>
        <v>8.4033613445378158E-2</v>
      </c>
      <c r="AP77" s="67">
        <f t="shared" si="71"/>
        <v>0.15126050420168066</v>
      </c>
      <c r="AQ77" s="67">
        <f t="shared" si="72"/>
        <v>0.21848739495798319</v>
      </c>
      <c r="AR77" s="67">
        <f t="shared" si="73"/>
        <v>0.30252100840336132</v>
      </c>
      <c r="AS77" s="67">
        <f t="shared" si="74"/>
        <v>0.43697478991596639</v>
      </c>
      <c r="AT77" s="67">
        <f t="shared" si="75"/>
        <v>0.92436974789915971</v>
      </c>
      <c r="AU77" s="67">
        <f t="shared" si="76"/>
        <v>1</v>
      </c>
      <c r="AV77" s="67">
        <f t="shared" si="77"/>
        <v>0.36134453781512604</v>
      </c>
      <c r="AX77">
        <f t="shared" si="78"/>
        <v>0.30252100840336132</v>
      </c>
      <c r="AY77">
        <f t="shared" si="79"/>
        <v>0.48739495798319332</v>
      </c>
      <c r="AZ77">
        <f t="shared" si="80"/>
        <v>0.6386554621848739</v>
      </c>
      <c r="BB77">
        <f t="shared" si="81"/>
        <v>0.21176470588235291</v>
      </c>
      <c r="BC77">
        <f t="shared" si="82"/>
        <v>0.3411764705882353</v>
      </c>
      <c r="BD77">
        <f t="shared" si="83"/>
        <v>0.44705882352941173</v>
      </c>
      <c r="BF77" t="str">
        <f t="shared" si="59"/>
        <v>Theme</v>
      </c>
      <c r="BG77" t="str">
        <f t="shared" si="84"/>
        <v>A</v>
      </c>
      <c r="BI77">
        <f t="shared" si="85"/>
        <v>3.5</v>
      </c>
      <c r="BJ77" t="str">
        <f t="shared" si="86"/>
        <v>Super Bowl</v>
      </c>
      <c r="BK77" t="str">
        <f t="shared" si="87"/>
        <v>A</v>
      </c>
    </row>
    <row r="78" spans="8:63">
      <c r="H78">
        <v>71</v>
      </c>
      <c r="I78">
        <v>4</v>
      </c>
      <c r="J78">
        <v>7</v>
      </c>
      <c r="K78">
        <v>11</v>
      </c>
      <c r="L78">
        <v>15</v>
      </c>
      <c r="M78">
        <v>18</v>
      </c>
      <c r="N78">
        <v>9</v>
      </c>
      <c r="O78">
        <v>13</v>
      </c>
      <c r="P78">
        <v>16</v>
      </c>
      <c r="Q78">
        <v>19</v>
      </c>
      <c r="R78">
        <v>20</v>
      </c>
      <c r="S78">
        <v>1</v>
      </c>
      <c r="T78">
        <v>2</v>
      </c>
      <c r="U78">
        <v>5</v>
      </c>
      <c r="V78">
        <v>8</v>
      </c>
      <c r="W78">
        <v>12</v>
      </c>
      <c r="X78">
        <v>3</v>
      </c>
      <c r="Y78">
        <v>6</v>
      </c>
      <c r="Z78">
        <v>10</v>
      </c>
      <c r="AA78">
        <v>14</v>
      </c>
      <c r="AB78">
        <v>17</v>
      </c>
      <c r="AD78">
        <f t="shared" si="60"/>
        <v>17</v>
      </c>
      <c r="AE78">
        <f t="shared" si="61"/>
        <v>28</v>
      </c>
      <c r="AF78">
        <f t="shared" si="62"/>
        <v>42</v>
      </c>
      <c r="AG78">
        <f t="shared" si="63"/>
        <v>56</v>
      </c>
      <c r="AH78">
        <f t="shared" si="64"/>
        <v>67</v>
      </c>
      <c r="AI78">
        <f t="shared" si="65"/>
        <v>132</v>
      </c>
      <c r="AJ78">
        <f t="shared" si="66"/>
        <v>78</v>
      </c>
      <c r="AK78">
        <f t="shared" si="67"/>
        <v>127</v>
      </c>
      <c r="AL78">
        <f t="shared" si="68"/>
        <v>83</v>
      </c>
      <c r="AN78" s="67">
        <f t="shared" si="69"/>
        <v>0</v>
      </c>
      <c r="AO78" s="67">
        <f t="shared" si="70"/>
        <v>9.5652173913043481E-2</v>
      </c>
      <c r="AP78" s="67">
        <f t="shared" si="71"/>
        <v>0.21739130434782608</v>
      </c>
      <c r="AQ78" s="67">
        <f t="shared" si="72"/>
        <v>0.33913043478260868</v>
      </c>
      <c r="AR78" s="67">
        <f t="shared" si="73"/>
        <v>0.43478260869565216</v>
      </c>
      <c r="AS78" s="67">
        <f t="shared" si="74"/>
        <v>1</v>
      </c>
      <c r="AT78" s="67">
        <f t="shared" si="75"/>
        <v>0.5304347826086957</v>
      </c>
      <c r="AU78" s="67">
        <f t="shared" si="76"/>
        <v>0.95652173913043481</v>
      </c>
      <c r="AV78" s="67">
        <f t="shared" si="77"/>
        <v>0.57391304347826089</v>
      </c>
      <c r="AX78">
        <f t="shared" si="78"/>
        <v>0.43478260869565216</v>
      </c>
      <c r="AY78">
        <f t="shared" si="79"/>
        <v>0.4695652173913043</v>
      </c>
      <c r="AZ78">
        <f t="shared" si="80"/>
        <v>0.38260869565217392</v>
      </c>
      <c r="BB78">
        <f t="shared" si="81"/>
        <v>0.33783783783783783</v>
      </c>
      <c r="BC78">
        <f t="shared" si="82"/>
        <v>0.36486486486486486</v>
      </c>
      <c r="BD78">
        <f t="shared" si="83"/>
        <v>0.29729729729729731</v>
      </c>
      <c r="BF78" t="str">
        <f t="shared" si="59"/>
        <v xml:space="preserve">Brand </v>
      </c>
      <c r="BG78" t="str">
        <f t="shared" si="84"/>
        <v>Tennis</v>
      </c>
      <c r="BI78">
        <f t="shared" si="85"/>
        <v>3.5</v>
      </c>
      <c r="BJ78" t="str">
        <f t="shared" si="86"/>
        <v>Tennis</v>
      </c>
      <c r="BK78" t="str">
        <f t="shared" si="87"/>
        <v>A</v>
      </c>
    </row>
    <row r="79" spans="8:63">
      <c r="H79">
        <v>72</v>
      </c>
      <c r="I79">
        <v>4</v>
      </c>
      <c r="J79">
        <v>8</v>
      </c>
      <c r="K79">
        <v>12</v>
      </c>
      <c r="L79">
        <v>16</v>
      </c>
      <c r="M79">
        <v>20</v>
      </c>
      <c r="N79">
        <v>3</v>
      </c>
      <c r="O79">
        <v>7</v>
      </c>
      <c r="P79">
        <v>11</v>
      </c>
      <c r="Q79">
        <v>14</v>
      </c>
      <c r="R79">
        <v>18</v>
      </c>
      <c r="S79">
        <v>2</v>
      </c>
      <c r="T79">
        <v>6</v>
      </c>
      <c r="U79">
        <v>10</v>
      </c>
      <c r="V79">
        <v>15</v>
      </c>
      <c r="W79">
        <v>19</v>
      </c>
      <c r="X79">
        <v>1</v>
      </c>
      <c r="Y79">
        <v>5</v>
      </c>
      <c r="Z79">
        <v>9</v>
      </c>
      <c r="AA79">
        <v>13</v>
      </c>
      <c r="AB79">
        <v>17</v>
      </c>
      <c r="AD79">
        <f t="shared" si="60"/>
        <v>10</v>
      </c>
      <c r="AE79">
        <f t="shared" si="61"/>
        <v>26</v>
      </c>
      <c r="AF79">
        <f t="shared" si="62"/>
        <v>42</v>
      </c>
      <c r="AG79">
        <f t="shared" si="63"/>
        <v>58</v>
      </c>
      <c r="AH79">
        <f t="shared" si="64"/>
        <v>74</v>
      </c>
      <c r="AI79">
        <f t="shared" si="65"/>
        <v>113</v>
      </c>
      <c r="AJ79">
        <f t="shared" si="66"/>
        <v>97</v>
      </c>
      <c r="AK79">
        <f t="shared" si="67"/>
        <v>98</v>
      </c>
      <c r="AL79">
        <f t="shared" si="68"/>
        <v>112</v>
      </c>
      <c r="AN79" s="67">
        <f t="shared" si="69"/>
        <v>0</v>
      </c>
      <c r="AO79" s="67">
        <f t="shared" si="70"/>
        <v>0.1553398058252427</v>
      </c>
      <c r="AP79" s="67">
        <f t="shared" si="71"/>
        <v>0.31067961165048541</v>
      </c>
      <c r="AQ79" s="67">
        <f t="shared" si="72"/>
        <v>0.46601941747572817</v>
      </c>
      <c r="AR79" s="67">
        <f t="shared" si="73"/>
        <v>0.62135922330097082</v>
      </c>
      <c r="AS79" s="67">
        <f t="shared" si="74"/>
        <v>1</v>
      </c>
      <c r="AT79" s="67">
        <f t="shared" si="75"/>
        <v>0.84466019417475724</v>
      </c>
      <c r="AU79" s="67">
        <f t="shared" si="76"/>
        <v>0.85436893203883491</v>
      </c>
      <c r="AV79" s="67">
        <f t="shared" si="77"/>
        <v>0.99029126213592233</v>
      </c>
      <c r="AX79">
        <f t="shared" si="78"/>
        <v>0.62135922330097082</v>
      </c>
      <c r="AY79">
        <f t="shared" si="79"/>
        <v>0.15533980582524276</v>
      </c>
      <c r="AZ79">
        <f t="shared" si="80"/>
        <v>0.13592233009708743</v>
      </c>
      <c r="BB79">
        <f t="shared" si="81"/>
        <v>0.68085106382978711</v>
      </c>
      <c r="BC79">
        <f t="shared" si="82"/>
        <v>0.17021276595744686</v>
      </c>
      <c r="BD79">
        <f t="shared" si="83"/>
        <v>0.14893617021276601</v>
      </c>
      <c r="BF79" t="str">
        <f t="shared" si="59"/>
        <v>Price</v>
      </c>
      <c r="BG79">
        <f t="shared" si="84"/>
        <v>3.5</v>
      </c>
      <c r="BI79">
        <f t="shared" si="85"/>
        <v>3.5</v>
      </c>
      <c r="BJ79" t="str">
        <f t="shared" si="86"/>
        <v>Tennis</v>
      </c>
      <c r="BK79" t="str">
        <f t="shared" si="87"/>
        <v>B</v>
      </c>
    </row>
    <row r="80" spans="8:63">
      <c r="H80">
        <v>73</v>
      </c>
      <c r="I80">
        <v>6</v>
      </c>
      <c r="J80">
        <v>9</v>
      </c>
      <c r="K80">
        <v>11</v>
      </c>
      <c r="L80">
        <v>14</v>
      </c>
      <c r="M80">
        <v>17</v>
      </c>
      <c r="N80">
        <v>1</v>
      </c>
      <c r="O80">
        <v>2</v>
      </c>
      <c r="P80">
        <v>3</v>
      </c>
      <c r="Q80">
        <v>5</v>
      </c>
      <c r="R80">
        <v>8</v>
      </c>
      <c r="S80">
        <v>13</v>
      </c>
      <c r="T80">
        <v>16</v>
      </c>
      <c r="U80">
        <v>18</v>
      </c>
      <c r="V80">
        <v>19</v>
      </c>
      <c r="W80">
        <v>20</v>
      </c>
      <c r="X80">
        <v>4</v>
      </c>
      <c r="Y80">
        <v>7</v>
      </c>
      <c r="Z80">
        <v>10</v>
      </c>
      <c r="AA80">
        <v>12</v>
      </c>
      <c r="AB80">
        <v>15</v>
      </c>
      <c r="AD80">
        <f t="shared" si="60"/>
        <v>24</v>
      </c>
      <c r="AE80">
        <f t="shared" si="61"/>
        <v>34</v>
      </c>
      <c r="AF80">
        <f t="shared" si="62"/>
        <v>42</v>
      </c>
      <c r="AG80">
        <f t="shared" si="63"/>
        <v>50</v>
      </c>
      <c r="AH80">
        <f t="shared" si="64"/>
        <v>60</v>
      </c>
      <c r="AI80">
        <f t="shared" si="65"/>
        <v>76</v>
      </c>
      <c r="AJ80">
        <f t="shared" si="66"/>
        <v>134</v>
      </c>
      <c r="AK80">
        <f t="shared" si="67"/>
        <v>67</v>
      </c>
      <c r="AL80">
        <f t="shared" si="68"/>
        <v>143</v>
      </c>
      <c r="AN80" s="67">
        <f t="shared" si="69"/>
        <v>0</v>
      </c>
      <c r="AO80" s="67">
        <f t="shared" si="70"/>
        <v>8.4033613445378158E-2</v>
      </c>
      <c r="AP80" s="67">
        <f t="shared" si="71"/>
        <v>0.15126050420168066</v>
      </c>
      <c r="AQ80" s="67">
        <f t="shared" si="72"/>
        <v>0.21848739495798319</v>
      </c>
      <c r="AR80" s="67">
        <f t="shared" si="73"/>
        <v>0.30252100840336132</v>
      </c>
      <c r="AS80" s="67">
        <f t="shared" si="74"/>
        <v>0.43697478991596639</v>
      </c>
      <c r="AT80" s="67">
        <f t="shared" si="75"/>
        <v>0.92436974789915971</v>
      </c>
      <c r="AU80" s="67">
        <f t="shared" si="76"/>
        <v>0.36134453781512604</v>
      </c>
      <c r="AV80" s="67">
        <f t="shared" si="77"/>
        <v>1</v>
      </c>
      <c r="AX80">
        <f t="shared" si="78"/>
        <v>0.30252100840336132</v>
      </c>
      <c r="AY80">
        <f t="shared" si="79"/>
        <v>0.48739495798319332</v>
      </c>
      <c r="AZ80">
        <f t="shared" si="80"/>
        <v>0.6386554621848739</v>
      </c>
      <c r="BB80">
        <f t="shared" si="81"/>
        <v>0.21176470588235291</v>
      </c>
      <c r="BC80">
        <f t="shared" si="82"/>
        <v>0.3411764705882353</v>
      </c>
      <c r="BD80">
        <f t="shared" si="83"/>
        <v>0.44705882352941173</v>
      </c>
      <c r="BF80" t="str">
        <f t="shared" si="59"/>
        <v>Theme</v>
      </c>
      <c r="BG80" t="str">
        <f t="shared" si="84"/>
        <v>B</v>
      </c>
      <c r="BI80">
        <f t="shared" si="85"/>
        <v>3.5</v>
      </c>
      <c r="BJ80" t="str">
        <f t="shared" si="86"/>
        <v>Super Bowl</v>
      </c>
      <c r="BK80" t="str">
        <f t="shared" si="87"/>
        <v>B</v>
      </c>
    </row>
    <row r="81" spans="8:63">
      <c r="H81">
        <v>74</v>
      </c>
      <c r="I81">
        <v>3</v>
      </c>
      <c r="J81">
        <v>5</v>
      </c>
      <c r="K81">
        <v>8</v>
      </c>
      <c r="L81">
        <v>11</v>
      </c>
      <c r="M81">
        <v>14</v>
      </c>
      <c r="N81">
        <v>12</v>
      </c>
      <c r="O81">
        <v>15</v>
      </c>
      <c r="P81">
        <v>17</v>
      </c>
      <c r="Q81">
        <v>19</v>
      </c>
      <c r="R81">
        <v>20</v>
      </c>
      <c r="S81">
        <v>1</v>
      </c>
      <c r="T81">
        <v>2</v>
      </c>
      <c r="U81">
        <v>4</v>
      </c>
      <c r="V81">
        <v>6</v>
      </c>
      <c r="W81">
        <v>9</v>
      </c>
      <c r="X81">
        <v>7</v>
      </c>
      <c r="Y81">
        <v>10</v>
      </c>
      <c r="Z81">
        <v>13</v>
      </c>
      <c r="AA81">
        <v>16</v>
      </c>
      <c r="AB81">
        <v>18</v>
      </c>
      <c r="AD81">
        <f t="shared" si="60"/>
        <v>23</v>
      </c>
      <c r="AE81">
        <f t="shared" si="61"/>
        <v>32</v>
      </c>
      <c r="AF81">
        <f t="shared" si="62"/>
        <v>42</v>
      </c>
      <c r="AG81">
        <f t="shared" si="63"/>
        <v>52</v>
      </c>
      <c r="AH81">
        <f t="shared" si="64"/>
        <v>61</v>
      </c>
      <c r="AI81">
        <f t="shared" si="65"/>
        <v>124</v>
      </c>
      <c r="AJ81">
        <f t="shared" si="66"/>
        <v>86</v>
      </c>
      <c r="AK81">
        <f t="shared" si="67"/>
        <v>147</v>
      </c>
      <c r="AL81">
        <f t="shared" si="68"/>
        <v>63</v>
      </c>
      <c r="AN81" s="67">
        <f t="shared" si="69"/>
        <v>0</v>
      </c>
      <c r="AO81" s="67">
        <f t="shared" si="70"/>
        <v>7.2580645161290328E-2</v>
      </c>
      <c r="AP81" s="67">
        <f t="shared" si="71"/>
        <v>0.15322580645161291</v>
      </c>
      <c r="AQ81" s="67">
        <f t="shared" si="72"/>
        <v>0.23387096774193547</v>
      </c>
      <c r="AR81" s="67">
        <f t="shared" si="73"/>
        <v>0.30645161290322581</v>
      </c>
      <c r="AS81" s="67">
        <f t="shared" si="74"/>
        <v>0.81451612903225812</v>
      </c>
      <c r="AT81" s="67">
        <f t="shared" si="75"/>
        <v>0.50806451612903225</v>
      </c>
      <c r="AU81" s="67">
        <f t="shared" si="76"/>
        <v>1</v>
      </c>
      <c r="AV81" s="67">
        <f t="shared" si="77"/>
        <v>0.32258064516129031</v>
      </c>
      <c r="AX81">
        <f t="shared" si="78"/>
        <v>0.30645161290322581</v>
      </c>
      <c r="AY81">
        <f t="shared" si="79"/>
        <v>0.30645161290322587</v>
      </c>
      <c r="AZ81">
        <f t="shared" si="80"/>
        <v>0.67741935483870974</v>
      </c>
      <c r="BB81">
        <f t="shared" si="81"/>
        <v>0.23749999999999996</v>
      </c>
      <c r="BC81">
        <f t="shared" si="82"/>
        <v>0.23750000000000002</v>
      </c>
      <c r="BD81">
        <f t="shared" si="83"/>
        <v>0.52500000000000002</v>
      </c>
      <c r="BF81" t="str">
        <f t="shared" si="59"/>
        <v>Theme</v>
      </c>
      <c r="BG81" t="str">
        <f t="shared" si="84"/>
        <v>A</v>
      </c>
      <c r="BI81">
        <f t="shared" si="85"/>
        <v>3.5</v>
      </c>
      <c r="BJ81" t="str">
        <f t="shared" si="86"/>
        <v>Tennis</v>
      </c>
      <c r="BK81" t="str">
        <f t="shared" si="87"/>
        <v>A</v>
      </c>
    </row>
    <row r="82" spans="8:63">
      <c r="H82">
        <v>75</v>
      </c>
      <c r="I82">
        <v>1</v>
      </c>
      <c r="J82">
        <v>2</v>
      </c>
      <c r="K82">
        <v>5</v>
      </c>
      <c r="L82">
        <v>8</v>
      </c>
      <c r="M82">
        <v>12</v>
      </c>
      <c r="N82">
        <v>3</v>
      </c>
      <c r="O82">
        <v>6</v>
      </c>
      <c r="P82">
        <v>10</v>
      </c>
      <c r="Q82">
        <v>14</v>
      </c>
      <c r="R82">
        <v>17</v>
      </c>
      <c r="S82">
        <v>5</v>
      </c>
      <c r="T82">
        <v>8</v>
      </c>
      <c r="U82">
        <v>12</v>
      </c>
      <c r="V82">
        <v>15</v>
      </c>
      <c r="W82">
        <v>18</v>
      </c>
      <c r="X82">
        <v>10</v>
      </c>
      <c r="Y82">
        <v>14</v>
      </c>
      <c r="Z82">
        <v>17</v>
      </c>
      <c r="AA82">
        <v>19</v>
      </c>
      <c r="AB82">
        <v>20</v>
      </c>
      <c r="AD82">
        <f t="shared" si="60"/>
        <v>19</v>
      </c>
      <c r="AE82">
        <f t="shared" si="61"/>
        <v>30</v>
      </c>
      <c r="AF82">
        <f t="shared" si="62"/>
        <v>44</v>
      </c>
      <c r="AG82">
        <f t="shared" si="63"/>
        <v>56</v>
      </c>
      <c r="AH82">
        <f t="shared" si="64"/>
        <v>67</v>
      </c>
      <c r="AI82">
        <f t="shared" si="65"/>
        <v>78</v>
      </c>
      <c r="AJ82">
        <f t="shared" si="66"/>
        <v>138</v>
      </c>
      <c r="AK82">
        <f t="shared" si="67"/>
        <v>130</v>
      </c>
      <c r="AL82">
        <f t="shared" si="68"/>
        <v>86</v>
      </c>
      <c r="AN82" s="67">
        <f t="shared" si="69"/>
        <v>0</v>
      </c>
      <c r="AO82" s="67">
        <f t="shared" si="70"/>
        <v>9.2436974789915971E-2</v>
      </c>
      <c r="AP82" s="67">
        <f t="shared" si="71"/>
        <v>0.21008403361344538</v>
      </c>
      <c r="AQ82" s="67">
        <f t="shared" si="72"/>
        <v>0.31092436974789917</v>
      </c>
      <c r="AR82" s="67">
        <f t="shared" si="73"/>
        <v>0.40336134453781514</v>
      </c>
      <c r="AS82" s="67">
        <f t="shared" si="74"/>
        <v>0.49579831932773111</v>
      </c>
      <c r="AT82" s="67">
        <f t="shared" si="75"/>
        <v>1</v>
      </c>
      <c r="AU82" s="67">
        <f t="shared" si="76"/>
        <v>0.9327731092436975</v>
      </c>
      <c r="AV82" s="67">
        <f t="shared" si="77"/>
        <v>0.56302521008403361</v>
      </c>
      <c r="AX82">
        <f t="shared" si="78"/>
        <v>0.40336134453781514</v>
      </c>
      <c r="AY82">
        <f t="shared" si="79"/>
        <v>0.50420168067226889</v>
      </c>
      <c r="AZ82">
        <f t="shared" si="80"/>
        <v>0.36974789915966388</v>
      </c>
      <c r="BB82">
        <f t="shared" si="81"/>
        <v>0.31578947368421056</v>
      </c>
      <c r="BC82">
        <f t="shared" si="82"/>
        <v>0.39473684210526316</v>
      </c>
      <c r="BD82">
        <f t="shared" si="83"/>
        <v>0.28947368421052633</v>
      </c>
      <c r="BF82" t="str">
        <f t="shared" si="59"/>
        <v xml:space="preserve">Brand </v>
      </c>
      <c r="BG82" t="str">
        <f t="shared" si="84"/>
        <v>Super Bowl</v>
      </c>
      <c r="BI82">
        <f t="shared" si="85"/>
        <v>3.5</v>
      </c>
      <c r="BJ82" t="str">
        <f t="shared" si="86"/>
        <v>Super Bowl</v>
      </c>
      <c r="BK82" t="str">
        <f t="shared" si="87"/>
        <v>A</v>
      </c>
    </row>
    <row r="83" spans="8:63">
      <c r="H83">
        <v>76</v>
      </c>
      <c r="I83">
        <v>1</v>
      </c>
      <c r="J83">
        <v>2</v>
      </c>
      <c r="K83">
        <v>4</v>
      </c>
      <c r="L83">
        <v>7</v>
      </c>
      <c r="M83">
        <v>10</v>
      </c>
      <c r="N83">
        <v>3</v>
      </c>
      <c r="O83">
        <v>6</v>
      </c>
      <c r="P83">
        <v>9</v>
      </c>
      <c r="Q83">
        <v>13</v>
      </c>
      <c r="R83">
        <v>16</v>
      </c>
      <c r="S83">
        <v>5</v>
      </c>
      <c r="T83">
        <v>8</v>
      </c>
      <c r="U83">
        <v>12</v>
      </c>
      <c r="V83">
        <v>15</v>
      </c>
      <c r="W83">
        <v>18</v>
      </c>
      <c r="X83">
        <v>11</v>
      </c>
      <c r="Y83">
        <v>14</v>
      </c>
      <c r="Z83">
        <v>17</v>
      </c>
      <c r="AA83">
        <v>19</v>
      </c>
      <c r="AB83">
        <v>20</v>
      </c>
      <c r="AD83">
        <f t="shared" si="60"/>
        <v>20</v>
      </c>
      <c r="AE83">
        <f t="shared" si="61"/>
        <v>30</v>
      </c>
      <c r="AF83">
        <f t="shared" si="62"/>
        <v>42</v>
      </c>
      <c r="AG83">
        <f t="shared" si="63"/>
        <v>54</v>
      </c>
      <c r="AH83">
        <f t="shared" si="64"/>
        <v>64</v>
      </c>
      <c r="AI83">
        <f t="shared" si="65"/>
        <v>71</v>
      </c>
      <c r="AJ83">
        <f t="shared" si="66"/>
        <v>139</v>
      </c>
      <c r="AK83">
        <f t="shared" si="67"/>
        <v>128</v>
      </c>
      <c r="AL83">
        <f t="shared" si="68"/>
        <v>82</v>
      </c>
      <c r="AN83" s="67">
        <f t="shared" si="69"/>
        <v>0</v>
      </c>
      <c r="AO83" s="67">
        <f t="shared" si="70"/>
        <v>8.4033613445378158E-2</v>
      </c>
      <c r="AP83" s="67">
        <f t="shared" si="71"/>
        <v>0.18487394957983194</v>
      </c>
      <c r="AQ83" s="67">
        <f t="shared" si="72"/>
        <v>0.2857142857142857</v>
      </c>
      <c r="AR83" s="67">
        <f t="shared" si="73"/>
        <v>0.36974789915966388</v>
      </c>
      <c r="AS83" s="67">
        <f t="shared" si="74"/>
        <v>0.42857142857142855</v>
      </c>
      <c r="AT83" s="67">
        <f t="shared" si="75"/>
        <v>1</v>
      </c>
      <c r="AU83" s="67">
        <f t="shared" si="76"/>
        <v>0.90756302521008403</v>
      </c>
      <c r="AV83" s="67">
        <f t="shared" si="77"/>
        <v>0.52100840336134457</v>
      </c>
      <c r="AX83">
        <f t="shared" si="78"/>
        <v>0.36974789915966388</v>
      </c>
      <c r="AY83">
        <f t="shared" si="79"/>
        <v>0.5714285714285714</v>
      </c>
      <c r="AZ83">
        <f t="shared" si="80"/>
        <v>0.38655462184873945</v>
      </c>
      <c r="BB83">
        <f t="shared" si="81"/>
        <v>0.27848101265822789</v>
      </c>
      <c r="BC83">
        <f t="shared" si="82"/>
        <v>0.43037974683544306</v>
      </c>
      <c r="BD83">
        <f t="shared" si="83"/>
        <v>0.29113924050632911</v>
      </c>
      <c r="BF83" t="str">
        <f t="shared" si="59"/>
        <v xml:space="preserve">Brand </v>
      </c>
      <c r="BG83" t="str">
        <f t="shared" si="84"/>
        <v>Super Bowl</v>
      </c>
      <c r="BI83">
        <f t="shared" si="85"/>
        <v>3.5</v>
      </c>
      <c r="BJ83" t="str">
        <f t="shared" si="86"/>
        <v>Super Bowl</v>
      </c>
      <c r="BK83" t="str">
        <f t="shared" si="87"/>
        <v>A</v>
      </c>
    </row>
    <row r="84" spans="8:63">
      <c r="H84">
        <v>77</v>
      </c>
      <c r="I84">
        <v>12</v>
      </c>
      <c r="J84">
        <v>15</v>
      </c>
      <c r="K84">
        <v>18</v>
      </c>
      <c r="L84">
        <v>19</v>
      </c>
      <c r="M84">
        <v>20</v>
      </c>
      <c r="N84">
        <v>4</v>
      </c>
      <c r="O84">
        <v>7</v>
      </c>
      <c r="P84">
        <v>10</v>
      </c>
      <c r="Q84">
        <v>13</v>
      </c>
      <c r="R84">
        <v>16</v>
      </c>
      <c r="S84">
        <v>5</v>
      </c>
      <c r="T84">
        <v>8</v>
      </c>
      <c r="U84">
        <v>11</v>
      </c>
      <c r="V84">
        <v>14</v>
      </c>
      <c r="W84">
        <v>17</v>
      </c>
      <c r="X84">
        <v>1</v>
      </c>
      <c r="Y84">
        <v>2</v>
      </c>
      <c r="Z84">
        <v>3</v>
      </c>
      <c r="AA84">
        <v>6</v>
      </c>
      <c r="AB84">
        <v>9</v>
      </c>
      <c r="AD84">
        <f t="shared" si="60"/>
        <v>22</v>
      </c>
      <c r="AE84">
        <f t="shared" si="61"/>
        <v>32</v>
      </c>
      <c r="AF84">
        <f t="shared" si="62"/>
        <v>42</v>
      </c>
      <c r="AG84">
        <f t="shared" si="63"/>
        <v>52</v>
      </c>
      <c r="AH84">
        <f t="shared" si="64"/>
        <v>62</v>
      </c>
      <c r="AI84">
        <f t="shared" si="65"/>
        <v>134</v>
      </c>
      <c r="AJ84">
        <f t="shared" si="66"/>
        <v>76</v>
      </c>
      <c r="AK84">
        <f t="shared" si="67"/>
        <v>71</v>
      </c>
      <c r="AL84">
        <f t="shared" si="68"/>
        <v>139</v>
      </c>
      <c r="AN84" s="67">
        <f t="shared" si="69"/>
        <v>0</v>
      </c>
      <c r="AO84" s="67">
        <f t="shared" si="70"/>
        <v>8.5470085470085472E-2</v>
      </c>
      <c r="AP84" s="67">
        <f t="shared" si="71"/>
        <v>0.17094017094017094</v>
      </c>
      <c r="AQ84" s="67">
        <f t="shared" si="72"/>
        <v>0.25641025641025639</v>
      </c>
      <c r="AR84" s="67">
        <f t="shared" si="73"/>
        <v>0.34188034188034189</v>
      </c>
      <c r="AS84" s="67">
        <f t="shared" si="74"/>
        <v>0.95726495726495731</v>
      </c>
      <c r="AT84" s="67">
        <f t="shared" si="75"/>
        <v>0.46153846153846156</v>
      </c>
      <c r="AU84" s="67">
        <f t="shared" si="76"/>
        <v>0.41880341880341881</v>
      </c>
      <c r="AV84" s="67">
        <f t="shared" si="77"/>
        <v>1</v>
      </c>
      <c r="AX84">
        <f t="shared" si="78"/>
        <v>0.34188034188034189</v>
      </c>
      <c r="AY84">
        <f t="shared" si="79"/>
        <v>0.49572649572649574</v>
      </c>
      <c r="AZ84">
        <f t="shared" si="80"/>
        <v>0.58119658119658113</v>
      </c>
      <c r="BB84">
        <f t="shared" si="81"/>
        <v>0.24096385542168677</v>
      </c>
      <c r="BC84">
        <f t="shared" si="82"/>
        <v>0.34939759036144585</v>
      </c>
      <c r="BD84">
        <f t="shared" si="83"/>
        <v>0.40963855421686746</v>
      </c>
      <c r="BF84" t="str">
        <f t="shared" si="59"/>
        <v>Theme</v>
      </c>
      <c r="BG84" t="str">
        <f t="shared" si="84"/>
        <v>B</v>
      </c>
      <c r="BI84">
        <f t="shared" si="85"/>
        <v>3.5</v>
      </c>
      <c r="BJ84" t="str">
        <f t="shared" si="86"/>
        <v>Tennis</v>
      </c>
      <c r="BK84" t="str">
        <f t="shared" si="87"/>
        <v>B</v>
      </c>
    </row>
    <row r="85" spans="8:63">
      <c r="H85">
        <v>78</v>
      </c>
      <c r="I85">
        <v>13</v>
      </c>
      <c r="J85">
        <v>16</v>
      </c>
      <c r="K85">
        <v>18</v>
      </c>
      <c r="L85">
        <v>19</v>
      </c>
      <c r="M85">
        <v>20</v>
      </c>
      <c r="N85">
        <v>6</v>
      </c>
      <c r="O85">
        <v>9</v>
      </c>
      <c r="P85">
        <v>11</v>
      </c>
      <c r="Q85">
        <v>14</v>
      </c>
      <c r="R85">
        <v>17</v>
      </c>
      <c r="S85">
        <v>4</v>
      </c>
      <c r="T85">
        <v>7</v>
      </c>
      <c r="U85">
        <v>10</v>
      </c>
      <c r="V85">
        <v>12</v>
      </c>
      <c r="W85">
        <v>15</v>
      </c>
      <c r="X85">
        <v>1</v>
      </c>
      <c r="Y85">
        <v>2</v>
      </c>
      <c r="Z85">
        <v>3</v>
      </c>
      <c r="AA85">
        <v>5</v>
      </c>
      <c r="AB85">
        <v>8</v>
      </c>
      <c r="AD85">
        <f t="shared" si="60"/>
        <v>24</v>
      </c>
      <c r="AE85">
        <f t="shared" si="61"/>
        <v>34</v>
      </c>
      <c r="AF85">
        <f t="shared" si="62"/>
        <v>42</v>
      </c>
      <c r="AG85">
        <f t="shared" si="63"/>
        <v>50</v>
      </c>
      <c r="AH85">
        <f t="shared" si="64"/>
        <v>60</v>
      </c>
      <c r="AI85">
        <f t="shared" si="65"/>
        <v>143</v>
      </c>
      <c r="AJ85">
        <f t="shared" si="66"/>
        <v>67</v>
      </c>
      <c r="AK85">
        <f t="shared" si="67"/>
        <v>76</v>
      </c>
      <c r="AL85">
        <f t="shared" si="68"/>
        <v>134</v>
      </c>
      <c r="AN85" s="67">
        <f t="shared" si="69"/>
        <v>0</v>
      </c>
      <c r="AO85" s="67">
        <f t="shared" si="70"/>
        <v>8.4033613445378158E-2</v>
      </c>
      <c r="AP85" s="67">
        <f t="shared" si="71"/>
        <v>0.15126050420168066</v>
      </c>
      <c r="AQ85" s="67">
        <f t="shared" si="72"/>
        <v>0.21848739495798319</v>
      </c>
      <c r="AR85" s="67">
        <f t="shared" si="73"/>
        <v>0.30252100840336132</v>
      </c>
      <c r="AS85" s="67">
        <f t="shared" si="74"/>
        <v>1</v>
      </c>
      <c r="AT85" s="67">
        <f t="shared" si="75"/>
        <v>0.36134453781512604</v>
      </c>
      <c r="AU85" s="67">
        <f t="shared" si="76"/>
        <v>0.43697478991596639</v>
      </c>
      <c r="AV85" s="67">
        <f t="shared" si="77"/>
        <v>0.92436974789915971</v>
      </c>
      <c r="AX85">
        <f t="shared" si="78"/>
        <v>0.30252100840336132</v>
      </c>
      <c r="AY85">
        <f t="shared" si="79"/>
        <v>0.6386554621848739</v>
      </c>
      <c r="AZ85">
        <f t="shared" si="80"/>
        <v>0.48739495798319332</v>
      </c>
      <c r="BB85">
        <f t="shared" si="81"/>
        <v>0.21176470588235291</v>
      </c>
      <c r="BC85">
        <f t="shared" si="82"/>
        <v>0.44705882352941173</v>
      </c>
      <c r="BD85">
        <f t="shared" si="83"/>
        <v>0.3411764705882353</v>
      </c>
      <c r="BF85" t="str">
        <f t="shared" si="59"/>
        <v xml:space="preserve">Brand </v>
      </c>
      <c r="BG85" t="str">
        <f t="shared" si="84"/>
        <v>Tennis</v>
      </c>
      <c r="BI85">
        <f t="shared" si="85"/>
        <v>3.5</v>
      </c>
      <c r="BJ85" t="str">
        <f t="shared" si="86"/>
        <v>Tennis</v>
      </c>
      <c r="BK85" t="str">
        <f t="shared" si="87"/>
        <v>B</v>
      </c>
    </row>
    <row r="86" spans="8:63">
      <c r="H86">
        <v>79</v>
      </c>
      <c r="I86">
        <v>5</v>
      </c>
      <c r="J86">
        <v>8</v>
      </c>
      <c r="K86">
        <v>11</v>
      </c>
      <c r="L86">
        <v>14</v>
      </c>
      <c r="M86">
        <v>17</v>
      </c>
      <c r="N86">
        <v>1</v>
      </c>
      <c r="O86">
        <v>2</v>
      </c>
      <c r="P86">
        <v>3</v>
      </c>
      <c r="Q86">
        <v>6</v>
      </c>
      <c r="R86">
        <v>9</v>
      </c>
      <c r="S86">
        <v>12</v>
      </c>
      <c r="T86">
        <v>15</v>
      </c>
      <c r="U86">
        <v>18</v>
      </c>
      <c r="V86">
        <v>19</v>
      </c>
      <c r="W86">
        <v>20</v>
      </c>
      <c r="X86">
        <v>4</v>
      </c>
      <c r="Y86">
        <v>7</v>
      </c>
      <c r="Z86">
        <v>10</v>
      </c>
      <c r="AA86">
        <v>13</v>
      </c>
      <c r="AB86">
        <v>16</v>
      </c>
      <c r="AD86">
        <f t="shared" si="60"/>
        <v>22</v>
      </c>
      <c r="AE86">
        <f t="shared" si="61"/>
        <v>32</v>
      </c>
      <c r="AF86">
        <f t="shared" si="62"/>
        <v>42</v>
      </c>
      <c r="AG86">
        <f t="shared" si="63"/>
        <v>52</v>
      </c>
      <c r="AH86">
        <f t="shared" si="64"/>
        <v>62</v>
      </c>
      <c r="AI86">
        <f t="shared" si="65"/>
        <v>76</v>
      </c>
      <c r="AJ86">
        <f t="shared" si="66"/>
        <v>134</v>
      </c>
      <c r="AK86">
        <f t="shared" si="67"/>
        <v>71</v>
      </c>
      <c r="AL86">
        <f t="shared" si="68"/>
        <v>139</v>
      </c>
      <c r="AN86" s="67">
        <f t="shared" si="69"/>
        <v>0</v>
      </c>
      <c r="AO86" s="67">
        <f t="shared" si="70"/>
        <v>8.5470085470085472E-2</v>
      </c>
      <c r="AP86" s="67">
        <f t="shared" si="71"/>
        <v>0.17094017094017094</v>
      </c>
      <c r="AQ86" s="67">
        <f t="shared" si="72"/>
        <v>0.25641025641025639</v>
      </c>
      <c r="AR86" s="67">
        <f t="shared" si="73"/>
        <v>0.34188034188034189</v>
      </c>
      <c r="AS86" s="67">
        <f t="shared" si="74"/>
        <v>0.46153846153846156</v>
      </c>
      <c r="AT86" s="67">
        <f t="shared" si="75"/>
        <v>0.95726495726495731</v>
      </c>
      <c r="AU86" s="67">
        <f t="shared" si="76"/>
        <v>0.41880341880341881</v>
      </c>
      <c r="AV86" s="67">
        <f t="shared" si="77"/>
        <v>1</v>
      </c>
      <c r="AX86">
        <f t="shared" si="78"/>
        <v>0.34188034188034189</v>
      </c>
      <c r="AY86">
        <f t="shared" si="79"/>
        <v>0.49572649572649574</v>
      </c>
      <c r="AZ86">
        <f t="shared" si="80"/>
        <v>0.58119658119658113</v>
      </c>
      <c r="BB86">
        <f t="shared" si="81"/>
        <v>0.24096385542168677</v>
      </c>
      <c r="BC86">
        <f t="shared" si="82"/>
        <v>0.34939759036144585</v>
      </c>
      <c r="BD86">
        <f t="shared" si="83"/>
        <v>0.40963855421686746</v>
      </c>
      <c r="BF86" t="str">
        <f t="shared" si="59"/>
        <v>Theme</v>
      </c>
      <c r="BG86" t="str">
        <f t="shared" si="84"/>
        <v>B</v>
      </c>
      <c r="BI86">
        <f t="shared" si="85"/>
        <v>3.5</v>
      </c>
      <c r="BJ86" t="str">
        <f t="shared" si="86"/>
        <v>Super Bowl</v>
      </c>
      <c r="BK86" t="str">
        <f t="shared" si="87"/>
        <v>B</v>
      </c>
    </row>
    <row r="87" spans="8:63">
      <c r="H87">
        <v>80</v>
      </c>
      <c r="I87">
        <v>2</v>
      </c>
      <c r="J87">
        <v>6</v>
      </c>
      <c r="K87">
        <v>10</v>
      </c>
      <c r="L87">
        <v>14</v>
      </c>
      <c r="M87">
        <v>18</v>
      </c>
      <c r="N87">
        <v>4</v>
      </c>
      <c r="O87">
        <v>8</v>
      </c>
      <c r="P87">
        <v>12</v>
      </c>
      <c r="Q87">
        <v>16</v>
      </c>
      <c r="R87">
        <v>20</v>
      </c>
      <c r="S87">
        <v>2</v>
      </c>
      <c r="T87">
        <v>6</v>
      </c>
      <c r="U87">
        <v>10</v>
      </c>
      <c r="V87">
        <v>14</v>
      </c>
      <c r="W87">
        <v>18</v>
      </c>
      <c r="X87">
        <v>4</v>
      </c>
      <c r="Y87">
        <v>8</v>
      </c>
      <c r="Z87">
        <v>12</v>
      </c>
      <c r="AA87">
        <v>16</v>
      </c>
      <c r="AB87">
        <v>20</v>
      </c>
      <c r="AD87">
        <f t="shared" si="60"/>
        <v>12</v>
      </c>
      <c r="AE87">
        <f t="shared" si="61"/>
        <v>28</v>
      </c>
      <c r="AF87">
        <f t="shared" si="62"/>
        <v>44</v>
      </c>
      <c r="AG87">
        <f t="shared" si="63"/>
        <v>60</v>
      </c>
      <c r="AH87">
        <f t="shared" si="64"/>
        <v>76</v>
      </c>
      <c r="AI87">
        <f t="shared" si="65"/>
        <v>110</v>
      </c>
      <c r="AJ87">
        <f t="shared" si="66"/>
        <v>110</v>
      </c>
      <c r="AK87">
        <f t="shared" si="67"/>
        <v>120</v>
      </c>
      <c r="AL87">
        <f t="shared" si="68"/>
        <v>100</v>
      </c>
      <c r="AN87" s="67">
        <f t="shared" si="69"/>
        <v>0</v>
      </c>
      <c r="AO87" s="67">
        <f t="shared" si="70"/>
        <v>0.14814814814814814</v>
      </c>
      <c r="AP87" s="67">
        <f t="shared" si="71"/>
        <v>0.29629629629629628</v>
      </c>
      <c r="AQ87" s="67">
        <f t="shared" si="72"/>
        <v>0.44444444444444442</v>
      </c>
      <c r="AR87" s="67">
        <f t="shared" si="73"/>
        <v>0.59259259259259256</v>
      </c>
      <c r="AS87" s="67">
        <f t="shared" si="74"/>
        <v>0.90740740740740744</v>
      </c>
      <c r="AT87" s="67">
        <f t="shared" si="75"/>
        <v>0.90740740740740744</v>
      </c>
      <c r="AU87" s="67">
        <f t="shared" si="76"/>
        <v>1</v>
      </c>
      <c r="AV87" s="67">
        <f t="shared" si="77"/>
        <v>0.81481481481481477</v>
      </c>
      <c r="AX87">
        <f t="shared" si="78"/>
        <v>0.59259259259259256</v>
      </c>
      <c r="AY87">
        <f t="shared" si="79"/>
        <v>0</v>
      </c>
      <c r="AZ87">
        <f t="shared" si="80"/>
        <v>0.18518518518518523</v>
      </c>
      <c r="BB87">
        <f t="shared" si="81"/>
        <v>0.76190476190476186</v>
      </c>
      <c r="BC87">
        <f t="shared" si="82"/>
        <v>0</v>
      </c>
      <c r="BD87">
        <f t="shared" si="83"/>
        <v>0.23809523809523814</v>
      </c>
      <c r="BF87" t="str">
        <f t="shared" si="59"/>
        <v>Price</v>
      </c>
      <c r="BG87">
        <f t="shared" si="84"/>
        <v>3.5</v>
      </c>
      <c r="BI87">
        <f t="shared" si="85"/>
        <v>3.5</v>
      </c>
      <c r="BJ87" t="str">
        <f t="shared" si="86"/>
        <v>Super Bowl</v>
      </c>
      <c r="BK87" t="str">
        <f t="shared" si="87"/>
        <v>A</v>
      </c>
    </row>
    <row r="88" spans="8:63">
      <c r="H88">
        <v>81</v>
      </c>
      <c r="I88">
        <v>4</v>
      </c>
      <c r="J88">
        <v>7</v>
      </c>
      <c r="K88">
        <v>10</v>
      </c>
      <c r="L88">
        <v>13</v>
      </c>
      <c r="M88">
        <v>16</v>
      </c>
      <c r="N88">
        <v>1</v>
      </c>
      <c r="O88">
        <v>2</v>
      </c>
      <c r="P88">
        <v>4</v>
      </c>
      <c r="Q88">
        <v>7</v>
      </c>
      <c r="R88">
        <v>10</v>
      </c>
      <c r="S88">
        <v>12</v>
      </c>
      <c r="T88">
        <v>15</v>
      </c>
      <c r="U88">
        <v>18</v>
      </c>
      <c r="V88">
        <v>19</v>
      </c>
      <c r="W88">
        <v>20</v>
      </c>
      <c r="X88">
        <v>5</v>
      </c>
      <c r="Y88">
        <v>8</v>
      </c>
      <c r="Z88">
        <v>12</v>
      </c>
      <c r="AA88">
        <v>15</v>
      </c>
      <c r="AB88">
        <v>18</v>
      </c>
      <c r="AD88">
        <f t="shared" si="60"/>
        <v>22</v>
      </c>
      <c r="AE88">
        <f t="shared" si="61"/>
        <v>32</v>
      </c>
      <c r="AF88">
        <f t="shared" si="62"/>
        <v>44</v>
      </c>
      <c r="AG88">
        <f t="shared" si="63"/>
        <v>54</v>
      </c>
      <c r="AH88">
        <f t="shared" si="64"/>
        <v>64</v>
      </c>
      <c r="AI88">
        <f t="shared" si="65"/>
        <v>74</v>
      </c>
      <c r="AJ88">
        <f t="shared" si="66"/>
        <v>142</v>
      </c>
      <c r="AK88">
        <f t="shared" si="67"/>
        <v>82</v>
      </c>
      <c r="AL88">
        <f t="shared" si="68"/>
        <v>134</v>
      </c>
      <c r="AN88" s="67">
        <f t="shared" si="69"/>
        <v>0</v>
      </c>
      <c r="AO88" s="67">
        <f t="shared" si="70"/>
        <v>8.3333333333333329E-2</v>
      </c>
      <c r="AP88" s="67">
        <f t="shared" si="71"/>
        <v>0.18333333333333332</v>
      </c>
      <c r="AQ88" s="67">
        <f t="shared" si="72"/>
        <v>0.26666666666666666</v>
      </c>
      <c r="AR88" s="67">
        <f t="shared" si="73"/>
        <v>0.35</v>
      </c>
      <c r="AS88" s="67">
        <f t="shared" si="74"/>
        <v>0.43333333333333335</v>
      </c>
      <c r="AT88" s="67">
        <f t="shared" si="75"/>
        <v>1</v>
      </c>
      <c r="AU88" s="67">
        <f t="shared" si="76"/>
        <v>0.5</v>
      </c>
      <c r="AV88" s="67">
        <f t="shared" si="77"/>
        <v>0.93333333333333335</v>
      </c>
      <c r="AX88">
        <f t="shared" si="78"/>
        <v>0.35</v>
      </c>
      <c r="AY88">
        <f t="shared" si="79"/>
        <v>0.56666666666666665</v>
      </c>
      <c r="AZ88">
        <f t="shared" si="80"/>
        <v>0.43333333333333335</v>
      </c>
      <c r="BB88">
        <f t="shared" si="81"/>
        <v>0.25925925925925924</v>
      </c>
      <c r="BC88">
        <f t="shared" si="82"/>
        <v>0.41975308641975306</v>
      </c>
      <c r="BD88">
        <f t="shared" si="83"/>
        <v>0.32098765432098764</v>
      </c>
      <c r="BF88" t="str">
        <f t="shared" si="59"/>
        <v xml:space="preserve">Brand </v>
      </c>
      <c r="BG88" t="str">
        <f t="shared" si="84"/>
        <v>Super Bowl</v>
      </c>
      <c r="BI88">
        <f t="shared" si="85"/>
        <v>3.5</v>
      </c>
      <c r="BJ88" t="str">
        <f t="shared" si="86"/>
        <v>Super Bowl</v>
      </c>
      <c r="BK88" t="str">
        <f t="shared" si="87"/>
        <v>B</v>
      </c>
    </row>
    <row r="89" spans="8:63">
      <c r="H89">
        <v>82</v>
      </c>
      <c r="I89">
        <v>5</v>
      </c>
      <c r="J89">
        <v>8</v>
      </c>
      <c r="K89">
        <v>12</v>
      </c>
      <c r="L89">
        <v>15</v>
      </c>
      <c r="M89">
        <v>18</v>
      </c>
      <c r="N89">
        <v>1</v>
      </c>
      <c r="O89">
        <v>2</v>
      </c>
      <c r="P89">
        <v>4</v>
      </c>
      <c r="Q89">
        <v>7</v>
      </c>
      <c r="R89">
        <v>10</v>
      </c>
      <c r="S89">
        <v>11</v>
      </c>
      <c r="T89">
        <v>14</v>
      </c>
      <c r="U89">
        <v>17</v>
      </c>
      <c r="V89">
        <v>19</v>
      </c>
      <c r="W89">
        <v>20</v>
      </c>
      <c r="X89">
        <v>3</v>
      </c>
      <c r="Y89">
        <v>6</v>
      </c>
      <c r="Z89">
        <v>9</v>
      </c>
      <c r="AA89">
        <v>13</v>
      </c>
      <c r="AB89">
        <v>16</v>
      </c>
      <c r="AD89">
        <f t="shared" si="60"/>
        <v>20</v>
      </c>
      <c r="AE89">
        <f t="shared" si="61"/>
        <v>30</v>
      </c>
      <c r="AF89">
        <f t="shared" si="62"/>
        <v>42</v>
      </c>
      <c r="AG89">
        <f t="shared" si="63"/>
        <v>54</v>
      </c>
      <c r="AH89">
        <f t="shared" si="64"/>
        <v>64</v>
      </c>
      <c r="AI89">
        <f t="shared" si="65"/>
        <v>82</v>
      </c>
      <c r="AJ89">
        <f t="shared" si="66"/>
        <v>128</v>
      </c>
      <c r="AK89">
        <f t="shared" si="67"/>
        <v>71</v>
      </c>
      <c r="AL89">
        <f t="shared" si="68"/>
        <v>139</v>
      </c>
      <c r="AN89" s="67">
        <f t="shared" si="69"/>
        <v>0</v>
      </c>
      <c r="AO89" s="67">
        <f t="shared" si="70"/>
        <v>8.4033613445378158E-2</v>
      </c>
      <c r="AP89" s="67">
        <f t="shared" si="71"/>
        <v>0.18487394957983194</v>
      </c>
      <c r="AQ89" s="67">
        <f t="shared" si="72"/>
        <v>0.2857142857142857</v>
      </c>
      <c r="AR89" s="67">
        <f t="shared" si="73"/>
        <v>0.36974789915966388</v>
      </c>
      <c r="AS89" s="67">
        <f t="shared" si="74"/>
        <v>0.52100840336134457</v>
      </c>
      <c r="AT89" s="67">
        <f t="shared" si="75"/>
        <v>0.90756302521008403</v>
      </c>
      <c r="AU89" s="67">
        <f t="shared" si="76"/>
        <v>0.42857142857142855</v>
      </c>
      <c r="AV89" s="67">
        <f t="shared" si="77"/>
        <v>1</v>
      </c>
      <c r="AX89">
        <f t="shared" si="78"/>
        <v>0.36974789915966388</v>
      </c>
      <c r="AY89">
        <f t="shared" si="79"/>
        <v>0.38655462184873945</v>
      </c>
      <c r="AZ89">
        <f t="shared" si="80"/>
        <v>0.5714285714285714</v>
      </c>
      <c r="BB89">
        <f t="shared" si="81"/>
        <v>0.27848101265822789</v>
      </c>
      <c r="BC89">
        <f t="shared" si="82"/>
        <v>0.29113924050632911</v>
      </c>
      <c r="BD89">
        <f t="shared" si="83"/>
        <v>0.43037974683544306</v>
      </c>
      <c r="BF89" t="str">
        <f t="shared" si="59"/>
        <v>Theme</v>
      </c>
      <c r="BG89" t="str">
        <f t="shared" si="84"/>
        <v>B</v>
      </c>
      <c r="BI89">
        <f t="shared" si="85"/>
        <v>3.5</v>
      </c>
      <c r="BJ89" t="str">
        <f t="shared" si="86"/>
        <v>Super Bowl</v>
      </c>
      <c r="BK89" t="str">
        <f t="shared" si="87"/>
        <v>B</v>
      </c>
    </row>
    <row r="90" spans="8:63">
      <c r="H90">
        <v>83</v>
      </c>
      <c r="I90">
        <v>5</v>
      </c>
      <c r="J90">
        <v>8</v>
      </c>
      <c r="K90">
        <v>12</v>
      </c>
      <c r="L90">
        <v>15</v>
      </c>
      <c r="M90">
        <v>18</v>
      </c>
      <c r="N90">
        <v>10</v>
      </c>
      <c r="O90">
        <v>14</v>
      </c>
      <c r="P90">
        <v>17</v>
      </c>
      <c r="Q90">
        <v>19</v>
      </c>
      <c r="R90">
        <v>20</v>
      </c>
      <c r="S90">
        <v>1</v>
      </c>
      <c r="T90">
        <v>2</v>
      </c>
      <c r="U90">
        <v>5</v>
      </c>
      <c r="V90">
        <v>8</v>
      </c>
      <c r="W90">
        <v>12</v>
      </c>
      <c r="X90">
        <v>3</v>
      </c>
      <c r="Y90">
        <v>6</v>
      </c>
      <c r="Z90">
        <v>10</v>
      </c>
      <c r="AA90">
        <v>14</v>
      </c>
      <c r="AB90">
        <v>17</v>
      </c>
      <c r="AD90">
        <f t="shared" si="60"/>
        <v>19</v>
      </c>
      <c r="AE90">
        <f t="shared" si="61"/>
        <v>30</v>
      </c>
      <c r="AF90">
        <f t="shared" si="62"/>
        <v>44</v>
      </c>
      <c r="AG90">
        <f t="shared" si="63"/>
        <v>56</v>
      </c>
      <c r="AH90">
        <f t="shared" si="64"/>
        <v>67</v>
      </c>
      <c r="AI90">
        <f t="shared" si="65"/>
        <v>138</v>
      </c>
      <c r="AJ90">
        <f t="shared" si="66"/>
        <v>78</v>
      </c>
      <c r="AK90">
        <f t="shared" si="67"/>
        <v>130</v>
      </c>
      <c r="AL90">
        <f t="shared" si="68"/>
        <v>86</v>
      </c>
      <c r="AN90" s="67">
        <f t="shared" si="69"/>
        <v>0</v>
      </c>
      <c r="AO90" s="67">
        <f t="shared" si="70"/>
        <v>9.2436974789915971E-2</v>
      </c>
      <c r="AP90" s="67">
        <f t="shared" si="71"/>
        <v>0.21008403361344538</v>
      </c>
      <c r="AQ90" s="67">
        <f t="shared" si="72"/>
        <v>0.31092436974789917</v>
      </c>
      <c r="AR90" s="67">
        <f t="shared" si="73"/>
        <v>0.40336134453781514</v>
      </c>
      <c r="AS90" s="67">
        <f t="shared" si="74"/>
        <v>1</v>
      </c>
      <c r="AT90" s="67">
        <f t="shared" si="75"/>
        <v>0.49579831932773111</v>
      </c>
      <c r="AU90" s="67">
        <f t="shared" si="76"/>
        <v>0.9327731092436975</v>
      </c>
      <c r="AV90" s="67">
        <f t="shared" si="77"/>
        <v>0.56302521008403361</v>
      </c>
      <c r="AX90">
        <f t="shared" si="78"/>
        <v>0.40336134453781514</v>
      </c>
      <c r="AY90">
        <f t="shared" si="79"/>
        <v>0.50420168067226889</v>
      </c>
      <c r="AZ90">
        <f t="shared" si="80"/>
        <v>0.36974789915966388</v>
      </c>
      <c r="BB90">
        <f t="shared" si="81"/>
        <v>0.31578947368421056</v>
      </c>
      <c r="BC90">
        <f t="shared" si="82"/>
        <v>0.39473684210526316</v>
      </c>
      <c r="BD90">
        <f t="shared" si="83"/>
        <v>0.28947368421052633</v>
      </c>
      <c r="BF90" t="str">
        <f t="shared" si="59"/>
        <v xml:space="preserve">Brand </v>
      </c>
      <c r="BG90" t="str">
        <f t="shared" si="84"/>
        <v>Tennis</v>
      </c>
      <c r="BI90">
        <f t="shared" si="85"/>
        <v>3.5</v>
      </c>
      <c r="BJ90" t="str">
        <f t="shared" si="86"/>
        <v>Tennis</v>
      </c>
      <c r="BK90" t="str">
        <f t="shared" si="87"/>
        <v>A</v>
      </c>
    </row>
    <row r="91" spans="8:63">
      <c r="H91">
        <v>84</v>
      </c>
      <c r="I91">
        <v>1</v>
      </c>
      <c r="J91">
        <v>2</v>
      </c>
      <c r="K91">
        <v>3</v>
      </c>
      <c r="L91">
        <v>6</v>
      </c>
      <c r="M91">
        <v>9</v>
      </c>
      <c r="N91">
        <v>5</v>
      </c>
      <c r="O91">
        <v>8</v>
      </c>
      <c r="P91">
        <v>11</v>
      </c>
      <c r="Q91">
        <v>14</v>
      </c>
      <c r="R91">
        <v>17</v>
      </c>
      <c r="S91">
        <v>4</v>
      </c>
      <c r="T91">
        <v>7</v>
      </c>
      <c r="U91">
        <v>10</v>
      </c>
      <c r="V91">
        <v>13</v>
      </c>
      <c r="W91">
        <v>16</v>
      </c>
      <c r="X91">
        <v>12</v>
      </c>
      <c r="Y91">
        <v>15</v>
      </c>
      <c r="Z91">
        <v>18</v>
      </c>
      <c r="AA91">
        <v>19</v>
      </c>
      <c r="AB91">
        <v>20</v>
      </c>
      <c r="AD91">
        <f t="shared" si="60"/>
        <v>22</v>
      </c>
      <c r="AE91">
        <f t="shared" si="61"/>
        <v>32</v>
      </c>
      <c r="AF91">
        <f t="shared" si="62"/>
        <v>42</v>
      </c>
      <c r="AG91">
        <f t="shared" si="63"/>
        <v>52</v>
      </c>
      <c r="AH91">
        <f t="shared" si="64"/>
        <v>62</v>
      </c>
      <c r="AI91">
        <f t="shared" si="65"/>
        <v>76</v>
      </c>
      <c r="AJ91">
        <f t="shared" si="66"/>
        <v>134</v>
      </c>
      <c r="AK91">
        <f t="shared" si="67"/>
        <v>139</v>
      </c>
      <c r="AL91">
        <f t="shared" si="68"/>
        <v>71</v>
      </c>
      <c r="AN91" s="67">
        <f t="shared" si="69"/>
        <v>0</v>
      </c>
      <c r="AO91" s="67">
        <f t="shared" si="70"/>
        <v>8.5470085470085472E-2</v>
      </c>
      <c r="AP91" s="67">
        <f t="shared" si="71"/>
        <v>0.17094017094017094</v>
      </c>
      <c r="AQ91" s="67">
        <f t="shared" si="72"/>
        <v>0.25641025641025639</v>
      </c>
      <c r="AR91" s="67">
        <f t="shared" si="73"/>
        <v>0.34188034188034189</v>
      </c>
      <c r="AS91" s="67">
        <f t="shared" si="74"/>
        <v>0.46153846153846156</v>
      </c>
      <c r="AT91" s="67">
        <f t="shared" si="75"/>
        <v>0.95726495726495731</v>
      </c>
      <c r="AU91" s="67">
        <f t="shared" si="76"/>
        <v>1</v>
      </c>
      <c r="AV91" s="67">
        <f t="shared" si="77"/>
        <v>0.41880341880341881</v>
      </c>
      <c r="AX91">
        <f t="shared" si="78"/>
        <v>0.34188034188034189</v>
      </c>
      <c r="AY91">
        <f t="shared" si="79"/>
        <v>0.49572649572649574</v>
      </c>
      <c r="AZ91">
        <f t="shared" si="80"/>
        <v>0.58119658119658113</v>
      </c>
      <c r="BB91">
        <f t="shared" si="81"/>
        <v>0.24096385542168677</v>
      </c>
      <c r="BC91">
        <f t="shared" si="82"/>
        <v>0.34939759036144585</v>
      </c>
      <c r="BD91">
        <f t="shared" si="83"/>
        <v>0.40963855421686746</v>
      </c>
      <c r="BF91" t="str">
        <f t="shared" si="59"/>
        <v>Theme</v>
      </c>
      <c r="BG91" t="str">
        <f t="shared" si="84"/>
        <v>A</v>
      </c>
      <c r="BI91">
        <f t="shared" si="85"/>
        <v>3.5</v>
      </c>
      <c r="BJ91" t="str">
        <f t="shared" si="86"/>
        <v>Super Bowl</v>
      </c>
      <c r="BK91" t="str">
        <f t="shared" si="87"/>
        <v>A</v>
      </c>
    </row>
    <row r="92" spans="8:63">
      <c r="H92">
        <v>85</v>
      </c>
      <c r="I92">
        <v>1</v>
      </c>
      <c r="J92">
        <v>2</v>
      </c>
      <c r="K92">
        <v>3</v>
      </c>
      <c r="L92">
        <v>5</v>
      </c>
      <c r="M92">
        <v>8</v>
      </c>
      <c r="N92">
        <v>4</v>
      </c>
      <c r="O92">
        <v>7</v>
      </c>
      <c r="P92">
        <v>10</v>
      </c>
      <c r="Q92">
        <v>12</v>
      </c>
      <c r="R92">
        <v>15</v>
      </c>
      <c r="S92">
        <v>6</v>
      </c>
      <c r="T92">
        <v>9</v>
      </c>
      <c r="U92">
        <v>11</v>
      </c>
      <c r="V92">
        <v>14</v>
      </c>
      <c r="W92">
        <v>17</v>
      </c>
      <c r="X92">
        <v>13</v>
      </c>
      <c r="Y92">
        <v>16</v>
      </c>
      <c r="Z92">
        <v>18</v>
      </c>
      <c r="AA92">
        <v>19</v>
      </c>
      <c r="AB92">
        <v>20</v>
      </c>
      <c r="AD92">
        <f t="shared" si="60"/>
        <v>24</v>
      </c>
      <c r="AE92">
        <f t="shared" si="61"/>
        <v>34</v>
      </c>
      <c r="AF92">
        <f t="shared" si="62"/>
        <v>42</v>
      </c>
      <c r="AG92">
        <f t="shared" si="63"/>
        <v>50</v>
      </c>
      <c r="AH92">
        <f t="shared" si="64"/>
        <v>60</v>
      </c>
      <c r="AI92">
        <f t="shared" si="65"/>
        <v>67</v>
      </c>
      <c r="AJ92">
        <f t="shared" si="66"/>
        <v>143</v>
      </c>
      <c r="AK92">
        <f t="shared" si="67"/>
        <v>134</v>
      </c>
      <c r="AL92">
        <f t="shared" si="68"/>
        <v>76</v>
      </c>
      <c r="AN92" s="67">
        <f t="shared" si="69"/>
        <v>0</v>
      </c>
      <c r="AO92" s="67">
        <f t="shared" si="70"/>
        <v>8.4033613445378158E-2</v>
      </c>
      <c r="AP92" s="67">
        <f t="shared" si="71"/>
        <v>0.15126050420168066</v>
      </c>
      <c r="AQ92" s="67">
        <f t="shared" si="72"/>
        <v>0.21848739495798319</v>
      </c>
      <c r="AR92" s="67">
        <f t="shared" si="73"/>
        <v>0.30252100840336132</v>
      </c>
      <c r="AS92" s="67">
        <f t="shared" si="74"/>
        <v>0.36134453781512604</v>
      </c>
      <c r="AT92" s="67">
        <f t="shared" si="75"/>
        <v>1</v>
      </c>
      <c r="AU92" s="67">
        <f t="shared" si="76"/>
        <v>0.92436974789915971</v>
      </c>
      <c r="AV92" s="67">
        <f t="shared" si="77"/>
        <v>0.43697478991596639</v>
      </c>
      <c r="AX92">
        <f t="shared" si="78"/>
        <v>0.30252100840336132</v>
      </c>
      <c r="AY92">
        <f t="shared" si="79"/>
        <v>0.6386554621848739</v>
      </c>
      <c r="AZ92">
        <f t="shared" si="80"/>
        <v>0.48739495798319332</v>
      </c>
      <c r="BB92">
        <f t="shared" si="81"/>
        <v>0.21176470588235291</v>
      </c>
      <c r="BC92">
        <f t="shared" si="82"/>
        <v>0.44705882352941173</v>
      </c>
      <c r="BD92">
        <f t="shared" si="83"/>
        <v>0.3411764705882353</v>
      </c>
      <c r="BF92" t="str">
        <f t="shared" si="59"/>
        <v xml:space="preserve">Brand </v>
      </c>
      <c r="BG92" t="str">
        <f t="shared" si="84"/>
        <v>Super Bowl</v>
      </c>
      <c r="BI92">
        <f t="shared" si="85"/>
        <v>3.5</v>
      </c>
      <c r="BJ92" t="str">
        <f t="shared" si="86"/>
        <v>Super Bowl</v>
      </c>
      <c r="BK92" t="str">
        <f t="shared" si="87"/>
        <v>A</v>
      </c>
    </row>
    <row r="93" spans="8:63">
      <c r="H93">
        <v>86</v>
      </c>
      <c r="I93">
        <v>2</v>
      </c>
      <c r="J93">
        <v>6</v>
      </c>
      <c r="K93">
        <v>10</v>
      </c>
      <c r="L93">
        <v>14</v>
      </c>
      <c r="M93">
        <v>18</v>
      </c>
      <c r="N93">
        <v>4</v>
      </c>
      <c r="O93">
        <v>8</v>
      </c>
      <c r="P93">
        <v>12</v>
      </c>
      <c r="Q93">
        <v>16</v>
      </c>
      <c r="R93">
        <v>20</v>
      </c>
      <c r="S93">
        <v>1</v>
      </c>
      <c r="T93">
        <v>5</v>
      </c>
      <c r="U93">
        <v>9</v>
      </c>
      <c r="V93">
        <v>13</v>
      </c>
      <c r="W93">
        <v>17</v>
      </c>
      <c r="X93">
        <v>3</v>
      </c>
      <c r="Y93">
        <v>7</v>
      </c>
      <c r="Z93">
        <v>11</v>
      </c>
      <c r="AA93">
        <v>15</v>
      </c>
      <c r="AB93">
        <v>19</v>
      </c>
      <c r="AD93">
        <f t="shared" si="60"/>
        <v>10</v>
      </c>
      <c r="AE93">
        <f t="shared" si="61"/>
        <v>26</v>
      </c>
      <c r="AF93">
        <f t="shared" si="62"/>
        <v>42</v>
      </c>
      <c r="AG93">
        <f t="shared" si="63"/>
        <v>58</v>
      </c>
      <c r="AH93">
        <f t="shared" si="64"/>
        <v>74</v>
      </c>
      <c r="AI93">
        <f t="shared" si="65"/>
        <v>110</v>
      </c>
      <c r="AJ93">
        <f t="shared" si="66"/>
        <v>100</v>
      </c>
      <c r="AK93">
        <f t="shared" si="67"/>
        <v>115</v>
      </c>
      <c r="AL93">
        <f t="shared" si="68"/>
        <v>95</v>
      </c>
      <c r="AN93" s="67">
        <f t="shared" si="69"/>
        <v>0</v>
      </c>
      <c r="AO93" s="67">
        <f t="shared" si="70"/>
        <v>0.15238095238095239</v>
      </c>
      <c r="AP93" s="67">
        <f t="shared" si="71"/>
        <v>0.30476190476190479</v>
      </c>
      <c r="AQ93" s="67">
        <f t="shared" si="72"/>
        <v>0.45714285714285713</v>
      </c>
      <c r="AR93" s="67">
        <f t="shared" si="73"/>
        <v>0.60952380952380958</v>
      </c>
      <c r="AS93" s="67">
        <f t="shared" si="74"/>
        <v>0.95238095238095233</v>
      </c>
      <c r="AT93" s="67">
        <f t="shared" si="75"/>
        <v>0.8571428571428571</v>
      </c>
      <c r="AU93" s="67">
        <f t="shared" si="76"/>
        <v>1</v>
      </c>
      <c r="AV93" s="67">
        <f t="shared" si="77"/>
        <v>0.80952380952380953</v>
      </c>
      <c r="AX93">
        <f t="shared" si="78"/>
        <v>0.60952380952380958</v>
      </c>
      <c r="AY93">
        <f t="shared" si="79"/>
        <v>9.5238095238095233E-2</v>
      </c>
      <c r="AZ93">
        <f t="shared" si="80"/>
        <v>0.19047619047619047</v>
      </c>
      <c r="BB93">
        <f t="shared" si="81"/>
        <v>0.68085106382978722</v>
      </c>
      <c r="BC93">
        <f t="shared" si="82"/>
        <v>0.10638297872340424</v>
      </c>
      <c r="BD93">
        <f t="shared" si="83"/>
        <v>0.21276595744680848</v>
      </c>
      <c r="BF93" t="str">
        <f t="shared" si="59"/>
        <v>Price</v>
      </c>
      <c r="BG93">
        <f t="shared" si="84"/>
        <v>3.5</v>
      </c>
      <c r="BI93">
        <f t="shared" si="85"/>
        <v>3.5</v>
      </c>
      <c r="BJ93" t="str">
        <f t="shared" si="86"/>
        <v>Tennis</v>
      </c>
      <c r="BK93" t="str">
        <f t="shared" si="87"/>
        <v>A</v>
      </c>
    </row>
    <row r="94" spans="8:63">
      <c r="H94">
        <v>87</v>
      </c>
      <c r="I94">
        <v>1</v>
      </c>
      <c r="J94">
        <v>2</v>
      </c>
      <c r="K94">
        <v>3</v>
      </c>
      <c r="L94">
        <v>6</v>
      </c>
      <c r="M94">
        <v>9</v>
      </c>
      <c r="N94">
        <v>4</v>
      </c>
      <c r="O94">
        <v>7</v>
      </c>
      <c r="P94">
        <v>10</v>
      </c>
      <c r="Q94">
        <v>13</v>
      </c>
      <c r="R94">
        <v>16</v>
      </c>
      <c r="S94">
        <v>5</v>
      </c>
      <c r="T94">
        <v>8</v>
      </c>
      <c r="U94">
        <v>11</v>
      </c>
      <c r="V94">
        <v>14</v>
      </c>
      <c r="W94">
        <v>17</v>
      </c>
      <c r="X94">
        <v>12</v>
      </c>
      <c r="Y94">
        <v>15</v>
      </c>
      <c r="Z94">
        <v>18</v>
      </c>
      <c r="AA94">
        <v>19</v>
      </c>
      <c r="AB94">
        <v>20</v>
      </c>
      <c r="AD94">
        <f t="shared" si="60"/>
        <v>22</v>
      </c>
      <c r="AE94">
        <f t="shared" si="61"/>
        <v>32</v>
      </c>
      <c r="AF94">
        <f t="shared" si="62"/>
        <v>42</v>
      </c>
      <c r="AG94">
        <f t="shared" si="63"/>
        <v>52</v>
      </c>
      <c r="AH94">
        <f t="shared" si="64"/>
        <v>62</v>
      </c>
      <c r="AI94">
        <f t="shared" si="65"/>
        <v>71</v>
      </c>
      <c r="AJ94">
        <f t="shared" si="66"/>
        <v>139</v>
      </c>
      <c r="AK94">
        <f t="shared" si="67"/>
        <v>134</v>
      </c>
      <c r="AL94">
        <f t="shared" si="68"/>
        <v>76</v>
      </c>
      <c r="AN94" s="67">
        <f t="shared" si="69"/>
        <v>0</v>
      </c>
      <c r="AO94" s="67">
        <f t="shared" si="70"/>
        <v>8.5470085470085472E-2</v>
      </c>
      <c r="AP94" s="67">
        <f t="shared" si="71"/>
        <v>0.17094017094017094</v>
      </c>
      <c r="AQ94" s="67">
        <f t="shared" si="72"/>
        <v>0.25641025641025639</v>
      </c>
      <c r="AR94" s="67">
        <f t="shared" si="73"/>
        <v>0.34188034188034189</v>
      </c>
      <c r="AS94" s="67">
        <f t="shared" si="74"/>
        <v>0.41880341880341881</v>
      </c>
      <c r="AT94" s="67">
        <f t="shared" si="75"/>
        <v>1</v>
      </c>
      <c r="AU94" s="67">
        <f t="shared" si="76"/>
        <v>0.95726495726495731</v>
      </c>
      <c r="AV94" s="67">
        <f t="shared" si="77"/>
        <v>0.46153846153846156</v>
      </c>
      <c r="AX94">
        <f t="shared" si="78"/>
        <v>0.34188034188034189</v>
      </c>
      <c r="AY94">
        <f t="shared" si="79"/>
        <v>0.58119658119658113</v>
      </c>
      <c r="AZ94">
        <f t="shared" si="80"/>
        <v>0.49572649572649574</v>
      </c>
      <c r="BB94">
        <f t="shared" si="81"/>
        <v>0.24096385542168677</v>
      </c>
      <c r="BC94">
        <f t="shared" si="82"/>
        <v>0.40963855421686746</v>
      </c>
      <c r="BD94">
        <f t="shared" si="83"/>
        <v>0.34939759036144585</v>
      </c>
      <c r="BF94" t="str">
        <f t="shared" si="59"/>
        <v xml:space="preserve">Brand </v>
      </c>
      <c r="BG94" t="str">
        <f t="shared" si="84"/>
        <v>Super Bowl</v>
      </c>
      <c r="BI94">
        <f t="shared" si="85"/>
        <v>3.5</v>
      </c>
      <c r="BJ94" t="str">
        <f t="shared" si="86"/>
        <v>Super Bowl</v>
      </c>
      <c r="BK94" t="str">
        <f t="shared" si="87"/>
        <v>A</v>
      </c>
    </row>
    <row r="95" spans="8:63">
      <c r="H95">
        <v>88</v>
      </c>
      <c r="I95">
        <v>5</v>
      </c>
      <c r="J95">
        <v>8</v>
      </c>
      <c r="K95">
        <v>11</v>
      </c>
      <c r="L95">
        <v>14</v>
      </c>
      <c r="M95">
        <v>17</v>
      </c>
      <c r="N95">
        <v>1</v>
      </c>
      <c r="O95">
        <v>2</v>
      </c>
      <c r="P95">
        <v>3</v>
      </c>
      <c r="Q95">
        <v>6</v>
      </c>
      <c r="R95">
        <v>9</v>
      </c>
      <c r="S95">
        <v>12</v>
      </c>
      <c r="T95">
        <v>15</v>
      </c>
      <c r="U95">
        <v>18</v>
      </c>
      <c r="V95">
        <v>19</v>
      </c>
      <c r="W95">
        <v>20</v>
      </c>
      <c r="X95">
        <v>4</v>
      </c>
      <c r="Y95">
        <v>7</v>
      </c>
      <c r="Z95">
        <v>10</v>
      </c>
      <c r="AA95">
        <v>13</v>
      </c>
      <c r="AB95">
        <v>16</v>
      </c>
      <c r="AD95">
        <f t="shared" si="60"/>
        <v>22</v>
      </c>
      <c r="AE95">
        <f t="shared" si="61"/>
        <v>32</v>
      </c>
      <c r="AF95">
        <f t="shared" si="62"/>
        <v>42</v>
      </c>
      <c r="AG95">
        <f t="shared" si="63"/>
        <v>52</v>
      </c>
      <c r="AH95">
        <f t="shared" si="64"/>
        <v>62</v>
      </c>
      <c r="AI95">
        <f t="shared" si="65"/>
        <v>76</v>
      </c>
      <c r="AJ95">
        <f t="shared" si="66"/>
        <v>134</v>
      </c>
      <c r="AK95">
        <f t="shared" si="67"/>
        <v>71</v>
      </c>
      <c r="AL95">
        <f t="shared" si="68"/>
        <v>139</v>
      </c>
      <c r="AN95" s="67">
        <f t="shared" si="69"/>
        <v>0</v>
      </c>
      <c r="AO95" s="67">
        <f t="shared" si="70"/>
        <v>8.5470085470085472E-2</v>
      </c>
      <c r="AP95" s="67">
        <f t="shared" si="71"/>
        <v>0.17094017094017094</v>
      </c>
      <c r="AQ95" s="67">
        <f t="shared" si="72"/>
        <v>0.25641025641025639</v>
      </c>
      <c r="AR95" s="67">
        <f t="shared" si="73"/>
        <v>0.34188034188034189</v>
      </c>
      <c r="AS95" s="67">
        <f t="shared" si="74"/>
        <v>0.46153846153846156</v>
      </c>
      <c r="AT95" s="67">
        <f t="shared" si="75"/>
        <v>0.95726495726495731</v>
      </c>
      <c r="AU95" s="67">
        <f t="shared" si="76"/>
        <v>0.41880341880341881</v>
      </c>
      <c r="AV95" s="67">
        <f t="shared" si="77"/>
        <v>1</v>
      </c>
      <c r="AX95">
        <f t="shared" si="78"/>
        <v>0.34188034188034189</v>
      </c>
      <c r="AY95">
        <f t="shared" si="79"/>
        <v>0.49572649572649574</v>
      </c>
      <c r="AZ95">
        <f t="shared" si="80"/>
        <v>0.58119658119658113</v>
      </c>
      <c r="BB95">
        <f t="shared" si="81"/>
        <v>0.24096385542168677</v>
      </c>
      <c r="BC95">
        <f t="shared" si="82"/>
        <v>0.34939759036144585</v>
      </c>
      <c r="BD95">
        <f t="shared" si="83"/>
        <v>0.40963855421686746</v>
      </c>
      <c r="BF95" t="str">
        <f t="shared" si="59"/>
        <v>Theme</v>
      </c>
      <c r="BG95" t="str">
        <f t="shared" si="84"/>
        <v>B</v>
      </c>
      <c r="BI95">
        <f t="shared" si="85"/>
        <v>3.5</v>
      </c>
      <c r="BJ95" t="str">
        <f t="shared" si="86"/>
        <v>Super Bowl</v>
      </c>
      <c r="BK95" t="str">
        <f t="shared" si="87"/>
        <v>B</v>
      </c>
    </row>
    <row r="96" spans="8:63">
      <c r="H96">
        <v>89</v>
      </c>
      <c r="I96">
        <v>4</v>
      </c>
      <c r="J96">
        <v>8</v>
      </c>
      <c r="K96">
        <v>12</v>
      </c>
      <c r="L96">
        <v>16</v>
      </c>
      <c r="M96">
        <v>20</v>
      </c>
      <c r="N96">
        <v>2</v>
      </c>
      <c r="O96">
        <v>6</v>
      </c>
      <c r="P96">
        <v>10</v>
      </c>
      <c r="Q96">
        <v>14</v>
      </c>
      <c r="R96">
        <v>18</v>
      </c>
      <c r="S96">
        <v>3</v>
      </c>
      <c r="T96">
        <v>7</v>
      </c>
      <c r="U96">
        <v>11</v>
      </c>
      <c r="V96">
        <v>15</v>
      </c>
      <c r="W96">
        <v>19</v>
      </c>
      <c r="X96">
        <v>1</v>
      </c>
      <c r="Y96">
        <v>5</v>
      </c>
      <c r="Z96">
        <v>9</v>
      </c>
      <c r="AA96">
        <v>13</v>
      </c>
      <c r="AB96">
        <v>17</v>
      </c>
      <c r="AD96">
        <f t="shared" si="60"/>
        <v>10</v>
      </c>
      <c r="AE96">
        <f t="shared" si="61"/>
        <v>26</v>
      </c>
      <c r="AF96">
        <f t="shared" si="62"/>
        <v>42</v>
      </c>
      <c r="AG96">
        <f t="shared" si="63"/>
        <v>58</v>
      </c>
      <c r="AH96">
        <f t="shared" si="64"/>
        <v>74</v>
      </c>
      <c r="AI96">
        <f t="shared" si="65"/>
        <v>110</v>
      </c>
      <c r="AJ96">
        <f t="shared" si="66"/>
        <v>100</v>
      </c>
      <c r="AK96">
        <f t="shared" si="67"/>
        <v>95</v>
      </c>
      <c r="AL96">
        <f t="shared" si="68"/>
        <v>115</v>
      </c>
      <c r="AN96" s="67">
        <f t="shared" si="69"/>
        <v>0</v>
      </c>
      <c r="AO96" s="67">
        <f t="shared" si="70"/>
        <v>0.15238095238095239</v>
      </c>
      <c r="AP96" s="67">
        <f t="shared" si="71"/>
        <v>0.30476190476190479</v>
      </c>
      <c r="AQ96" s="67">
        <f t="shared" si="72"/>
        <v>0.45714285714285713</v>
      </c>
      <c r="AR96" s="67">
        <f t="shared" si="73"/>
        <v>0.60952380952380958</v>
      </c>
      <c r="AS96" s="67">
        <f t="shared" si="74"/>
        <v>0.95238095238095233</v>
      </c>
      <c r="AT96" s="67">
        <f t="shared" si="75"/>
        <v>0.8571428571428571</v>
      </c>
      <c r="AU96" s="67">
        <f t="shared" si="76"/>
        <v>0.80952380952380953</v>
      </c>
      <c r="AV96" s="67">
        <f t="shared" si="77"/>
        <v>1</v>
      </c>
      <c r="AX96">
        <f t="shared" si="78"/>
        <v>0.60952380952380958</v>
      </c>
      <c r="AY96">
        <f t="shared" si="79"/>
        <v>9.5238095238095233E-2</v>
      </c>
      <c r="AZ96">
        <f t="shared" si="80"/>
        <v>0.19047619047619047</v>
      </c>
      <c r="BB96">
        <f t="shared" si="81"/>
        <v>0.68085106382978722</v>
      </c>
      <c r="BC96">
        <f t="shared" si="82"/>
        <v>0.10638297872340424</v>
      </c>
      <c r="BD96">
        <f t="shared" si="83"/>
        <v>0.21276595744680848</v>
      </c>
      <c r="BF96" t="str">
        <f t="shared" si="59"/>
        <v>Price</v>
      </c>
      <c r="BG96">
        <f t="shared" si="84"/>
        <v>3.5</v>
      </c>
      <c r="BI96">
        <f t="shared" si="85"/>
        <v>3.5</v>
      </c>
      <c r="BJ96" t="str">
        <f t="shared" si="86"/>
        <v>Tennis</v>
      </c>
      <c r="BK96" t="str">
        <f t="shared" si="87"/>
        <v>B</v>
      </c>
    </row>
    <row r="97" spans="8:63">
      <c r="H97">
        <v>90</v>
      </c>
      <c r="I97">
        <v>1</v>
      </c>
      <c r="J97">
        <v>5</v>
      </c>
      <c r="K97">
        <v>9</v>
      </c>
      <c r="L97">
        <v>13</v>
      </c>
      <c r="M97">
        <v>17</v>
      </c>
      <c r="N97">
        <v>3</v>
      </c>
      <c r="O97">
        <v>7</v>
      </c>
      <c r="P97">
        <v>11</v>
      </c>
      <c r="Q97">
        <v>15</v>
      </c>
      <c r="R97">
        <v>19</v>
      </c>
      <c r="S97">
        <v>2</v>
      </c>
      <c r="T97">
        <v>6</v>
      </c>
      <c r="U97">
        <v>10</v>
      </c>
      <c r="V97">
        <v>14</v>
      </c>
      <c r="W97">
        <v>18</v>
      </c>
      <c r="X97">
        <v>4</v>
      </c>
      <c r="Y97">
        <v>8</v>
      </c>
      <c r="Z97">
        <v>12</v>
      </c>
      <c r="AA97">
        <v>16</v>
      </c>
      <c r="AB97">
        <v>20</v>
      </c>
      <c r="AD97">
        <f t="shared" si="60"/>
        <v>10</v>
      </c>
      <c r="AE97">
        <f t="shared" si="61"/>
        <v>26</v>
      </c>
      <c r="AF97">
        <f t="shared" si="62"/>
        <v>42</v>
      </c>
      <c r="AG97">
        <f t="shared" si="63"/>
        <v>58</v>
      </c>
      <c r="AH97">
        <f t="shared" si="64"/>
        <v>74</v>
      </c>
      <c r="AI97">
        <f t="shared" si="65"/>
        <v>100</v>
      </c>
      <c r="AJ97">
        <f t="shared" si="66"/>
        <v>110</v>
      </c>
      <c r="AK97">
        <f t="shared" si="67"/>
        <v>115</v>
      </c>
      <c r="AL97">
        <f t="shared" si="68"/>
        <v>95</v>
      </c>
      <c r="AN97" s="67">
        <f t="shared" si="69"/>
        <v>0</v>
      </c>
      <c r="AO97" s="67">
        <f t="shared" si="70"/>
        <v>0.15238095238095239</v>
      </c>
      <c r="AP97" s="67">
        <f t="shared" si="71"/>
        <v>0.30476190476190479</v>
      </c>
      <c r="AQ97" s="67">
        <f t="shared" si="72"/>
        <v>0.45714285714285713</v>
      </c>
      <c r="AR97" s="67">
        <f t="shared" si="73"/>
        <v>0.60952380952380958</v>
      </c>
      <c r="AS97" s="67">
        <f t="shared" si="74"/>
        <v>0.8571428571428571</v>
      </c>
      <c r="AT97" s="67">
        <f t="shared" si="75"/>
        <v>0.95238095238095233</v>
      </c>
      <c r="AU97" s="67">
        <f t="shared" si="76"/>
        <v>1</v>
      </c>
      <c r="AV97" s="67">
        <f t="shared" si="77"/>
        <v>0.80952380952380953</v>
      </c>
      <c r="AX97">
        <f t="shared" si="78"/>
        <v>0.60952380952380958</v>
      </c>
      <c r="AY97">
        <f t="shared" si="79"/>
        <v>9.5238095238095233E-2</v>
      </c>
      <c r="AZ97">
        <f t="shared" si="80"/>
        <v>0.19047619047619047</v>
      </c>
      <c r="BB97">
        <f t="shared" si="81"/>
        <v>0.68085106382978722</v>
      </c>
      <c r="BC97">
        <f t="shared" si="82"/>
        <v>0.10638297872340424</v>
      </c>
      <c r="BD97">
        <f t="shared" si="83"/>
        <v>0.21276595744680848</v>
      </c>
      <c r="BF97" t="str">
        <f t="shared" ref="BF97:BF118" si="88">INDEX($BB$7:$BD$7,,MATCH(MAX(BB97:BD97),BB97:BD97,0))</f>
        <v>Price</v>
      </c>
      <c r="BG97">
        <f t="shared" si="84"/>
        <v>3.5</v>
      </c>
      <c r="BI97">
        <f t="shared" si="85"/>
        <v>3.5</v>
      </c>
      <c r="BJ97" t="str">
        <f t="shared" si="86"/>
        <v>Super Bowl</v>
      </c>
      <c r="BK97" t="str">
        <f t="shared" si="87"/>
        <v>A</v>
      </c>
    </row>
    <row r="98" spans="8:63">
      <c r="H98">
        <v>91</v>
      </c>
      <c r="I98">
        <v>2</v>
      </c>
      <c r="J98">
        <v>6</v>
      </c>
      <c r="K98">
        <v>10</v>
      </c>
      <c r="L98">
        <v>14</v>
      </c>
      <c r="M98">
        <v>18</v>
      </c>
      <c r="N98">
        <v>4</v>
      </c>
      <c r="O98">
        <v>8</v>
      </c>
      <c r="P98">
        <v>12</v>
      </c>
      <c r="Q98">
        <v>16</v>
      </c>
      <c r="R98">
        <v>20</v>
      </c>
      <c r="S98">
        <v>2</v>
      </c>
      <c r="T98">
        <v>6</v>
      </c>
      <c r="U98">
        <v>10</v>
      </c>
      <c r="V98">
        <v>14</v>
      </c>
      <c r="W98">
        <v>18</v>
      </c>
      <c r="X98">
        <v>4</v>
      </c>
      <c r="Y98">
        <v>8</v>
      </c>
      <c r="Z98">
        <v>12</v>
      </c>
      <c r="AA98">
        <v>16</v>
      </c>
      <c r="AB98">
        <v>20</v>
      </c>
      <c r="AD98">
        <f t="shared" si="60"/>
        <v>12</v>
      </c>
      <c r="AE98">
        <f t="shared" si="61"/>
        <v>28</v>
      </c>
      <c r="AF98">
        <f t="shared" si="62"/>
        <v>44</v>
      </c>
      <c r="AG98">
        <f t="shared" si="63"/>
        <v>60</v>
      </c>
      <c r="AH98">
        <f t="shared" si="64"/>
        <v>76</v>
      </c>
      <c r="AI98">
        <f t="shared" si="65"/>
        <v>110</v>
      </c>
      <c r="AJ98">
        <f t="shared" si="66"/>
        <v>110</v>
      </c>
      <c r="AK98">
        <f t="shared" si="67"/>
        <v>120</v>
      </c>
      <c r="AL98">
        <f t="shared" si="68"/>
        <v>100</v>
      </c>
      <c r="AN98" s="67">
        <f t="shared" si="69"/>
        <v>0</v>
      </c>
      <c r="AO98" s="67">
        <f t="shared" si="70"/>
        <v>0.14814814814814814</v>
      </c>
      <c r="AP98" s="67">
        <f t="shared" si="71"/>
        <v>0.29629629629629628</v>
      </c>
      <c r="AQ98" s="67">
        <f t="shared" si="72"/>
        <v>0.44444444444444442</v>
      </c>
      <c r="AR98" s="67">
        <f t="shared" si="73"/>
        <v>0.59259259259259256</v>
      </c>
      <c r="AS98" s="67">
        <f t="shared" si="74"/>
        <v>0.90740740740740744</v>
      </c>
      <c r="AT98" s="67">
        <f t="shared" si="75"/>
        <v>0.90740740740740744</v>
      </c>
      <c r="AU98" s="67">
        <f t="shared" si="76"/>
        <v>1</v>
      </c>
      <c r="AV98" s="67">
        <f t="shared" si="77"/>
        <v>0.81481481481481477</v>
      </c>
      <c r="AX98">
        <f t="shared" si="78"/>
        <v>0.59259259259259256</v>
      </c>
      <c r="AY98">
        <f t="shared" si="79"/>
        <v>0</v>
      </c>
      <c r="AZ98">
        <f t="shared" si="80"/>
        <v>0.18518518518518523</v>
      </c>
      <c r="BB98">
        <f t="shared" si="81"/>
        <v>0.76190476190476186</v>
      </c>
      <c r="BC98">
        <f t="shared" si="82"/>
        <v>0</v>
      </c>
      <c r="BD98">
        <f t="shared" si="83"/>
        <v>0.23809523809523814</v>
      </c>
      <c r="BF98" t="str">
        <f t="shared" si="88"/>
        <v>Price</v>
      </c>
      <c r="BG98">
        <f t="shared" si="84"/>
        <v>3.5</v>
      </c>
      <c r="BI98">
        <f t="shared" si="85"/>
        <v>3.5</v>
      </c>
      <c r="BJ98" t="str">
        <f t="shared" si="86"/>
        <v>Super Bowl</v>
      </c>
      <c r="BK98" t="str">
        <f t="shared" si="87"/>
        <v>A</v>
      </c>
    </row>
    <row r="99" spans="8:63">
      <c r="H99">
        <v>92</v>
      </c>
      <c r="I99">
        <v>6</v>
      </c>
      <c r="J99">
        <v>9</v>
      </c>
      <c r="K99">
        <v>11</v>
      </c>
      <c r="L99">
        <v>14</v>
      </c>
      <c r="M99">
        <v>17</v>
      </c>
      <c r="N99">
        <v>1</v>
      </c>
      <c r="O99">
        <v>2</v>
      </c>
      <c r="P99">
        <v>3</v>
      </c>
      <c r="Q99">
        <v>5</v>
      </c>
      <c r="R99">
        <v>8</v>
      </c>
      <c r="S99">
        <v>13</v>
      </c>
      <c r="T99">
        <v>16</v>
      </c>
      <c r="U99">
        <v>18</v>
      </c>
      <c r="V99">
        <v>19</v>
      </c>
      <c r="W99">
        <v>20</v>
      </c>
      <c r="X99">
        <v>4</v>
      </c>
      <c r="Y99">
        <v>7</v>
      </c>
      <c r="Z99">
        <v>10</v>
      </c>
      <c r="AA99">
        <v>12</v>
      </c>
      <c r="AB99">
        <v>15</v>
      </c>
      <c r="AD99">
        <f t="shared" si="60"/>
        <v>24</v>
      </c>
      <c r="AE99">
        <f t="shared" si="61"/>
        <v>34</v>
      </c>
      <c r="AF99">
        <f t="shared" si="62"/>
        <v>42</v>
      </c>
      <c r="AG99">
        <f t="shared" si="63"/>
        <v>50</v>
      </c>
      <c r="AH99">
        <f t="shared" si="64"/>
        <v>60</v>
      </c>
      <c r="AI99">
        <f t="shared" si="65"/>
        <v>76</v>
      </c>
      <c r="AJ99">
        <f t="shared" si="66"/>
        <v>134</v>
      </c>
      <c r="AK99">
        <f t="shared" si="67"/>
        <v>67</v>
      </c>
      <c r="AL99">
        <f t="shared" si="68"/>
        <v>143</v>
      </c>
      <c r="AN99" s="67">
        <f t="shared" si="69"/>
        <v>0</v>
      </c>
      <c r="AO99" s="67">
        <f t="shared" si="70"/>
        <v>8.4033613445378158E-2</v>
      </c>
      <c r="AP99" s="67">
        <f t="shared" si="71"/>
        <v>0.15126050420168066</v>
      </c>
      <c r="AQ99" s="67">
        <f t="shared" si="72"/>
        <v>0.21848739495798319</v>
      </c>
      <c r="AR99" s="67">
        <f t="shared" si="73"/>
        <v>0.30252100840336132</v>
      </c>
      <c r="AS99" s="67">
        <f t="shared" si="74"/>
        <v>0.43697478991596639</v>
      </c>
      <c r="AT99" s="67">
        <f t="shared" si="75"/>
        <v>0.92436974789915971</v>
      </c>
      <c r="AU99" s="67">
        <f t="shared" si="76"/>
        <v>0.36134453781512604</v>
      </c>
      <c r="AV99" s="67">
        <f t="shared" si="77"/>
        <v>1</v>
      </c>
      <c r="AX99">
        <f t="shared" si="78"/>
        <v>0.30252100840336132</v>
      </c>
      <c r="AY99">
        <f t="shared" si="79"/>
        <v>0.48739495798319332</v>
      </c>
      <c r="AZ99">
        <f t="shared" si="80"/>
        <v>0.6386554621848739</v>
      </c>
      <c r="BB99">
        <f t="shared" si="81"/>
        <v>0.21176470588235291</v>
      </c>
      <c r="BC99">
        <f t="shared" si="82"/>
        <v>0.3411764705882353</v>
      </c>
      <c r="BD99">
        <f t="shared" si="83"/>
        <v>0.44705882352941173</v>
      </c>
      <c r="BF99" t="str">
        <f t="shared" si="88"/>
        <v>Theme</v>
      </c>
      <c r="BG99" t="str">
        <f t="shared" si="84"/>
        <v>B</v>
      </c>
      <c r="BI99">
        <f t="shared" si="85"/>
        <v>3.5</v>
      </c>
      <c r="BJ99" t="str">
        <f t="shared" si="86"/>
        <v>Super Bowl</v>
      </c>
      <c r="BK99" t="str">
        <f t="shared" si="87"/>
        <v>B</v>
      </c>
    </row>
    <row r="100" spans="8:63">
      <c r="H100">
        <v>93</v>
      </c>
      <c r="I100">
        <v>4</v>
      </c>
      <c r="J100">
        <v>8</v>
      </c>
      <c r="K100">
        <v>12</v>
      </c>
      <c r="L100">
        <v>16</v>
      </c>
      <c r="M100">
        <v>20</v>
      </c>
      <c r="N100">
        <v>3</v>
      </c>
      <c r="O100">
        <v>7</v>
      </c>
      <c r="P100">
        <v>11</v>
      </c>
      <c r="Q100">
        <v>15</v>
      </c>
      <c r="R100">
        <v>19</v>
      </c>
      <c r="S100">
        <v>2</v>
      </c>
      <c r="T100">
        <v>6</v>
      </c>
      <c r="U100">
        <v>10</v>
      </c>
      <c r="V100">
        <v>14</v>
      </c>
      <c r="W100">
        <v>18</v>
      </c>
      <c r="X100">
        <v>1</v>
      </c>
      <c r="Y100">
        <v>5</v>
      </c>
      <c r="Z100">
        <v>9</v>
      </c>
      <c r="AA100">
        <v>13</v>
      </c>
      <c r="AB100">
        <v>17</v>
      </c>
      <c r="AD100">
        <f t="shared" si="60"/>
        <v>10</v>
      </c>
      <c r="AE100">
        <f t="shared" si="61"/>
        <v>26</v>
      </c>
      <c r="AF100">
        <f t="shared" si="62"/>
        <v>42</v>
      </c>
      <c r="AG100">
        <f t="shared" si="63"/>
        <v>58</v>
      </c>
      <c r="AH100">
        <f t="shared" si="64"/>
        <v>74</v>
      </c>
      <c r="AI100">
        <f t="shared" si="65"/>
        <v>115</v>
      </c>
      <c r="AJ100">
        <f t="shared" si="66"/>
        <v>95</v>
      </c>
      <c r="AK100">
        <f t="shared" si="67"/>
        <v>100</v>
      </c>
      <c r="AL100">
        <f t="shared" si="68"/>
        <v>110</v>
      </c>
      <c r="AN100" s="67">
        <f t="shared" si="69"/>
        <v>0</v>
      </c>
      <c r="AO100" s="67">
        <f t="shared" si="70"/>
        <v>0.15238095238095239</v>
      </c>
      <c r="AP100" s="67">
        <f t="shared" si="71"/>
        <v>0.30476190476190479</v>
      </c>
      <c r="AQ100" s="67">
        <f t="shared" si="72"/>
        <v>0.45714285714285713</v>
      </c>
      <c r="AR100" s="67">
        <f t="shared" si="73"/>
        <v>0.60952380952380958</v>
      </c>
      <c r="AS100" s="67">
        <f t="shared" si="74"/>
        <v>1</v>
      </c>
      <c r="AT100" s="67">
        <f t="shared" si="75"/>
        <v>0.80952380952380953</v>
      </c>
      <c r="AU100" s="67">
        <f t="shared" si="76"/>
        <v>0.8571428571428571</v>
      </c>
      <c r="AV100" s="67">
        <f t="shared" si="77"/>
        <v>0.95238095238095233</v>
      </c>
      <c r="AX100">
        <f t="shared" si="78"/>
        <v>0.60952380952380958</v>
      </c>
      <c r="AY100">
        <f t="shared" si="79"/>
        <v>0.19047619047619047</v>
      </c>
      <c r="AZ100">
        <f t="shared" si="80"/>
        <v>9.5238095238095233E-2</v>
      </c>
      <c r="BB100">
        <f t="shared" si="81"/>
        <v>0.68085106382978722</v>
      </c>
      <c r="BC100">
        <f t="shared" si="82"/>
        <v>0.21276595744680848</v>
      </c>
      <c r="BD100">
        <f t="shared" si="83"/>
        <v>0.10638297872340424</v>
      </c>
      <c r="BF100" t="str">
        <f t="shared" si="88"/>
        <v>Price</v>
      </c>
      <c r="BG100">
        <f t="shared" si="84"/>
        <v>3.5</v>
      </c>
      <c r="BI100">
        <f t="shared" si="85"/>
        <v>3.5</v>
      </c>
      <c r="BJ100" t="str">
        <f t="shared" si="86"/>
        <v>Tennis</v>
      </c>
      <c r="BK100" t="str">
        <f t="shared" si="87"/>
        <v>B</v>
      </c>
    </row>
    <row r="101" spans="8:63">
      <c r="H101">
        <v>94</v>
      </c>
      <c r="I101">
        <v>1</v>
      </c>
      <c r="J101">
        <v>2</v>
      </c>
      <c r="K101">
        <v>5</v>
      </c>
      <c r="L101">
        <v>8</v>
      </c>
      <c r="M101">
        <v>12</v>
      </c>
      <c r="N101">
        <v>4</v>
      </c>
      <c r="O101">
        <v>7</v>
      </c>
      <c r="P101">
        <v>11</v>
      </c>
      <c r="Q101">
        <v>15</v>
      </c>
      <c r="R101">
        <v>18</v>
      </c>
      <c r="S101">
        <v>4</v>
      </c>
      <c r="T101">
        <v>7</v>
      </c>
      <c r="U101">
        <v>11</v>
      </c>
      <c r="V101">
        <v>15</v>
      </c>
      <c r="W101">
        <v>18</v>
      </c>
      <c r="X101">
        <v>9</v>
      </c>
      <c r="Y101">
        <v>13</v>
      </c>
      <c r="Z101">
        <v>16</v>
      </c>
      <c r="AA101">
        <v>19</v>
      </c>
      <c r="AB101">
        <v>20</v>
      </c>
      <c r="AD101">
        <f t="shared" si="60"/>
        <v>18</v>
      </c>
      <c r="AE101">
        <f t="shared" si="61"/>
        <v>29</v>
      </c>
      <c r="AF101">
        <f t="shared" si="62"/>
        <v>43</v>
      </c>
      <c r="AG101">
        <f t="shared" si="63"/>
        <v>57</v>
      </c>
      <c r="AH101">
        <f t="shared" si="64"/>
        <v>68</v>
      </c>
      <c r="AI101">
        <f t="shared" si="65"/>
        <v>83</v>
      </c>
      <c r="AJ101">
        <f t="shared" si="66"/>
        <v>132</v>
      </c>
      <c r="AK101">
        <f t="shared" si="67"/>
        <v>132</v>
      </c>
      <c r="AL101">
        <f t="shared" si="68"/>
        <v>83</v>
      </c>
      <c r="AN101" s="67">
        <f t="shared" si="69"/>
        <v>0</v>
      </c>
      <c r="AO101" s="67">
        <f t="shared" si="70"/>
        <v>9.6491228070175433E-2</v>
      </c>
      <c r="AP101" s="67">
        <f t="shared" si="71"/>
        <v>0.21929824561403508</v>
      </c>
      <c r="AQ101" s="67">
        <f t="shared" si="72"/>
        <v>0.34210526315789475</v>
      </c>
      <c r="AR101" s="67">
        <f t="shared" si="73"/>
        <v>0.43859649122807015</v>
      </c>
      <c r="AS101" s="67">
        <f t="shared" si="74"/>
        <v>0.57017543859649122</v>
      </c>
      <c r="AT101" s="67">
        <f t="shared" si="75"/>
        <v>1</v>
      </c>
      <c r="AU101" s="67">
        <f t="shared" si="76"/>
        <v>1</v>
      </c>
      <c r="AV101" s="67">
        <f t="shared" si="77"/>
        <v>0.57017543859649122</v>
      </c>
      <c r="AX101">
        <f t="shared" si="78"/>
        <v>0.43859649122807015</v>
      </c>
      <c r="AY101">
        <f t="shared" si="79"/>
        <v>0.42982456140350878</v>
      </c>
      <c r="AZ101">
        <f t="shared" si="80"/>
        <v>0.42982456140350878</v>
      </c>
      <c r="BB101">
        <f t="shared" si="81"/>
        <v>0.33783783783783783</v>
      </c>
      <c r="BC101">
        <f t="shared" si="82"/>
        <v>0.33108108108108109</v>
      </c>
      <c r="BD101">
        <f t="shared" si="83"/>
        <v>0.33108108108108109</v>
      </c>
      <c r="BF101" t="str">
        <f t="shared" si="88"/>
        <v>Price</v>
      </c>
      <c r="BG101">
        <f t="shared" si="84"/>
        <v>3.5</v>
      </c>
      <c r="BI101">
        <f t="shared" si="85"/>
        <v>3.5</v>
      </c>
      <c r="BJ101" t="str">
        <f t="shared" si="86"/>
        <v>Super Bowl</v>
      </c>
      <c r="BK101" t="str">
        <f t="shared" si="87"/>
        <v>A</v>
      </c>
    </row>
    <row r="102" spans="8:63">
      <c r="H102">
        <v>95</v>
      </c>
      <c r="I102">
        <v>3</v>
      </c>
      <c r="J102">
        <v>6</v>
      </c>
      <c r="K102">
        <v>9</v>
      </c>
      <c r="L102">
        <v>13</v>
      </c>
      <c r="M102">
        <v>16</v>
      </c>
      <c r="N102">
        <v>11</v>
      </c>
      <c r="O102">
        <v>14</v>
      </c>
      <c r="P102">
        <v>17</v>
      </c>
      <c r="Q102">
        <v>19</v>
      </c>
      <c r="R102">
        <v>20</v>
      </c>
      <c r="S102">
        <v>1</v>
      </c>
      <c r="T102">
        <v>2</v>
      </c>
      <c r="U102">
        <v>4</v>
      </c>
      <c r="V102">
        <v>7</v>
      </c>
      <c r="W102">
        <v>11</v>
      </c>
      <c r="X102">
        <v>5</v>
      </c>
      <c r="Y102">
        <v>8</v>
      </c>
      <c r="Z102">
        <v>12</v>
      </c>
      <c r="AA102">
        <v>15</v>
      </c>
      <c r="AB102">
        <v>18</v>
      </c>
      <c r="AD102">
        <f t="shared" si="60"/>
        <v>20</v>
      </c>
      <c r="AE102">
        <f t="shared" si="61"/>
        <v>30</v>
      </c>
      <c r="AF102">
        <f t="shared" si="62"/>
        <v>42</v>
      </c>
      <c r="AG102">
        <f t="shared" si="63"/>
        <v>54</v>
      </c>
      <c r="AH102">
        <f t="shared" si="64"/>
        <v>65</v>
      </c>
      <c r="AI102">
        <f t="shared" si="65"/>
        <v>128</v>
      </c>
      <c r="AJ102">
        <f t="shared" si="66"/>
        <v>83</v>
      </c>
      <c r="AK102">
        <f t="shared" si="67"/>
        <v>139</v>
      </c>
      <c r="AL102">
        <f t="shared" si="68"/>
        <v>72</v>
      </c>
      <c r="AN102" s="67">
        <f t="shared" si="69"/>
        <v>0</v>
      </c>
      <c r="AO102" s="67">
        <f t="shared" si="70"/>
        <v>8.4033613445378158E-2</v>
      </c>
      <c r="AP102" s="67">
        <f t="shared" si="71"/>
        <v>0.18487394957983194</v>
      </c>
      <c r="AQ102" s="67">
        <f t="shared" si="72"/>
        <v>0.2857142857142857</v>
      </c>
      <c r="AR102" s="67">
        <f t="shared" si="73"/>
        <v>0.37815126050420167</v>
      </c>
      <c r="AS102" s="67">
        <f t="shared" si="74"/>
        <v>0.90756302521008403</v>
      </c>
      <c r="AT102" s="67">
        <f t="shared" si="75"/>
        <v>0.52941176470588236</v>
      </c>
      <c r="AU102" s="67">
        <f t="shared" si="76"/>
        <v>1</v>
      </c>
      <c r="AV102" s="67">
        <f t="shared" si="77"/>
        <v>0.43697478991596639</v>
      </c>
      <c r="AX102">
        <f t="shared" si="78"/>
        <v>0.37815126050420167</v>
      </c>
      <c r="AY102">
        <f t="shared" si="79"/>
        <v>0.37815126050420167</v>
      </c>
      <c r="AZ102">
        <f t="shared" si="80"/>
        <v>0.56302521008403361</v>
      </c>
      <c r="BB102">
        <f t="shared" si="81"/>
        <v>0.28662420382165604</v>
      </c>
      <c r="BC102">
        <f t="shared" si="82"/>
        <v>0.28662420382165604</v>
      </c>
      <c r="BD102">
        <f t="shared" si="83"/>
        <v>0.42675159235668791</v>
      </c>
      <c r="BF102" t="str">
        <f t="shared" si="88"/>
        <v>Theme</v>
      </c>
      <c r="BG102" t="str">
        <f t="shared" si="84"/>
        <v>A</v>
      </c>
      <c r="BI102">
        <f t="shared" si="85"/>
        <v>3.5</v>
      </c>
      <c r="BJ102" t="str">
        <f t="shared" si="86"/>
        <v>Tennis</v>
      </c>
      <c r="BK102" t="str">
        <f t="shared" si="87"/>
        <v>A</v>
      </c>
    </row>
    <row r="103" spans="8:63">
      <c r="H103">
        <v>96</v>
      </c>
      <c r="I103">
        <v>5</v>
      </c>
      <c r="J103">
        <v>8</v>
      </c>
      <c r="K103">
        <v>12</v>
      </c>
      <c r="L103">
        <v>15</v>
      </c>
      <c r="M103">
        <v>18</v>
      </c>
      <c r="N103">
        <v>1</v>
      </c>
      <c r="O103">
        <v>2</v>
      </c>
      <c r="P103">
        <v>4</v>
      </c>
      <c r="Q103">
        <v>7</v>
      </c>
      <c r="R103">
        <v>10</v>
      </c>
      <c r="S103">
        <v>11</v>
      </c>
      <c r="T103">
        <v>14</v>
      </c>
      <c r="U103">
        <v>17</v>
      </c>
      <c r="V103">
        <v>19</v>
      </c>
      <c r="W103">
        <v>20</v>
      </c>
      <c r="X103">
        <v>3</v>
      </c>
      <c r="Y103">
        <v>6</v>
      </c>
      <c r="Z103">
        <v>9</v>
      </c>
      <c r="AA103">
        <v>13</v>
      </c>
      <c r="AB103">
        <v>16</v>
      </c>
      <c r="AD103">
        <f t="shared" si="60"/>
        <v>20</v>
      </c>
      <c r="AE103">
        <f t="shared" si="61"/>
        <v>30</v>
      </c>
      <c r="AF103">
        <f t="shared" si="62"/>
        <v>42</v>
      </c>
      <c r="AG103">
        <f t="shared" si="63"/>
        <v>54</v>
      </c>
      <c r="AH103">
        <f t="shared" si="64"/>
        <v>64</v>
      </c>
      <c r="AI103">
        <f t="shared" si="65"/>
        <v>82</v>
      </c>
      <c r="AJ103">
        <f t="shared" si="66"/>
        <v>128</v>
      </c>
      <c r="AK103">
        <f t="shared" si="67"/>
        <v>71</v>
      </c>
      <c r="AL103">
        <f t="shared" si="68"/>
        <v>139</v>
      </c>
      <c r="AN103" s="67">
        <f t="shared" si="69"/>
        <v>0</v>
      </c>
      <c r="AO103" s="67">
        <f t="shared" si="70"/>
        <v>8.4033613445378158E-2</v>
      </c>
      <c r="AP103" s="67">
        <f t="shared" si="71"/>
        <v>0.18487394957983194</v>
      </c>
      <c r="AQ103" s="67">
        <f t="shared" si="72"/>
        <v>0.2857142857142857</v>
      </c>
      <c r="AR103" s="67">
        <f t="shared" si="73"/>
        <v>0.36974789915966388</v>
      </c>
      <c r="AS103" s="67">
        <f t="shared" si="74"/>
        <v>0.52100840336134457</v>
      </c>
      <c r="AT103" s="67">
        <f t="shared" si="75"/>
        <v>0.90756302521008403</v>
      </c>
      <c r="AU103" s="67">
        <f t="shared" si="76"/>
        <v>0.42857142857142855</v>
      </c>
      <c r="AV103" s="67">
        <f t="shared" si="77"/>
        <v>1</v>
      </c>
      <c r="AX103">
        <f t="shared" si="78"/>
        <v>0.36974789915966388</v>
      </c>
      <c r="AY103">
        <f t="shared" si="79"/>
        <v>0.38655462184873945</v>
      </c>
      <c r="AZ103">
        <f t="shared" si="80"/>
        <v>0.5714285714285714</v>
      </c>
      <c r="BB103">
        <f t="shared" si="81"/>
        <v>0.27848101265822789</v>
      </c>
      <c r="BC103">
        <f t="shared" si="82"/>
        <v>0.29113924050632911</v>
      </c>
      <c r="BD103">
        <f t="shared" si="83"/>
        <v>0.43037974683544306</v>
      </c>
      <c r="BF103" t="str">
        <f t="shared" si="88"/>
        <v>Theme</v>
      </c>
      <c r="BG103" t="str">
        <f t="shared" si="84"/>
        <v>B</v>
      </c>
      <c r="BI103">
        <f t="shared" si="85"/>
        <v>3.5</v>
      </c>
      <c r="BJ103" t="str">
        <f t="shared" si="86"/>
        <v>Super Bowl</v>
      </c>
      <c r="BK103" t="str">
        <f t="shared" si="87"/>
        <v>B</v>
      </c>
    </row>
    <row r="104" spans="8:63">
      <c r="H104">
        <v>97</v>
      </c>
      <c r="I104">
        <v>4</v>
      </c>
      <c r="J104">
        <v>7</v>
      </c>
      <c r="K104">
        <v>10</v>
      </c>
      <c r="L104">
        <v>12</v>
      </c>
      <c r="M104">
        <v>15</v>
      </c>
      <c r="N104">
        <v>13</v>
      </c>
      <c r="O104">
        <v>16</v>
      </c>
      <c r="P104">
        <v>18</v>
      </c>
      <c r="Q104">
        <v>19</v>
      </c>
      <c r="R104">
        <v>20</v>
      </c>
      <c r="S104">
        <v>1</v>
      </c>
      <c r="T104">
        <v>2</v>
      </c>
      <c r="U104">
        <v>3</v>
      </c>
      <c r="V104">
        <v>5</v>
      </c>
      <c r="W104">
        <v>8</v>
      </c>
      <c r="X104">
        <v>6</v>
      </c>
      <c r="Y104">
        <v>9</v>
      </c>
      <c r="Z104">
        <v>11</v>
      </c>
      <c r="AA104">
        <v>14</v>
      </c>
      <c r="AB104">
        <v>17</v>
      </c>
      <c r="AD104">
        <f t="shared" si="60"/>
        <v>24</v>
      </c>
      <c r="AE104">
        <f t="shared" si="61"/>
        <v>34</v>
      </c>
      <c r="AF104">
        <f t="shared" si="62"/>
        <v>42</v>
      </c>
      <c r="AG104">
        <f t="shared" si="63"/>
        <v>50</v>
      </c>
      <c r="AH104">
        <f t="shared" si="64"/>
        <v>60</v>
      </c>
      <c r="AI104">
        <f t="shared" si="65"/>
        <v>134</v>
      </c>
      <c r="AJ104">
        <f t="shared" si="66"/>
        <v>76</v>
      </c>
      <c r="AK104">
        <f t="shared" si="67"/>
        <v>143</v>
      </c>
      <c r="AL104">
        <f t="shared" si="68"/>
        <v>67</v>
      </c>
      <c r="AN104" s="67">
        <f t="shared" si="69"/>
        <v>0</v>
      </c>
      <c r="AO104" s="67">
        <f t="shared" si="70"/>
        <v>8.4033613445378158E-2</v>
      </c>
      <c r="AP104" s="67">
        <f t="shared" si="71"/>
        <v>0.15126050420168066</v>
      </c>
      <c r="AQ104" s="67">
        <f t="shared" si="72"/>
        <v>0.21848739495798319</v>
      </c>
      <c r="AR104" s="67">
        <f t="shared" si="73"/>
        <v>0.30252100840336132</v>
      </c>
      <c r="AS104" s="67">
        <f t="shared" si="74"/>
        <v>0.92436974789915971</v>
      </c>
      <c r="AT104" s="67">
        <f t="shared" si="75"/>
        <v>0.43697478991596639</v>
      </c>
      <c r="AU104" s="67">
        <f t="shared" si="76"/>
        <v>1</v>
      </c>
      <c r="AV104" s="67">
        <f t="shared" si="77"/>
        <v>0.36134453781512604</v>
      </c>
      <c r="AX104">
        <f t="shared" si="78"/>
        <v>0.30252100840336132</v>
      </c>
      <c r="AY104">
        <f t="shared" si="79"/>
        <v>0.48739495798319332</v>
      </c>
      <c r="AZ104">
        <f t="shared" si="80"/>
        <v>0.6386554621848739</v>
      </c>
      <c r="BB104">
        <f t="shared" si="81"/>
        <v>0.21176470588235291</v>
      </c>
      <c r="BC104">
        <f t="shared" si="82"/>
        <v>0.3411764705882353</v>
      </c>
      <c r="BD104">
        <f t="shared" si="83"/>
        <v>0.44705882352941173</v>
      </c>
      <c r="BF104" t="str">
        <f t="shared" si="88"/>
        <v>Theme</v>
      </c>
      <c r="BG104" t="str">
        <f t="shared" si="84"/>
        <v>A</v>
      </c>
      <c r="BI104">
        <f t="shared" si="85"/>
        <v>3.5</v>
      </c>
      <c r="BJ104" t="str">
        <f t="shared" si="86"/>
        <v>Tennis</v>
      </c>
      <c r="BK104" t="str">
        <f t="shared" si="87"/>
        <v>A</v>
      </c>
    </row>
    <row r="105" spans="8:63">
      <c r="H105">
        <v>98</v>
      </c>
      <c r="I105">
        <v>4</v>
      </c>
      <c r="J105">
        <v>7</v>
      </c>
      <c r="K105">
        <v>10</v>
      </c>
      <c r="L105">
        <v>13</v>
      </c>
      <c r="M105">
        <v>16</v>
      </c>
      <c r="N105">
        <v>1</v>
      </c>
      <c r="O105">
        <v>2</v>
      </c>
      <c r="P105">
        <v>3</v>
      </c>
      <c r="Q105">
        <v>6</v>
      </c>
      <c r="R105">
        <v>9</v>
      </c>
      <c r="S105">
        <v>12</v>
      </c>
      <c r="T105">
        <v>15</v>
      </c>
      <c r="U105">
        <v>18</v>
      </c>
      <c r="V105">
        <v>19</v>
      </c>
      <c r="W105">
        <v>20</v>
      </c>
      <c r="X105">
        <v>5</v>
      </c>
      <c r="Y105">
        <v>8</v>
      </c>
      <c r="Z105">
        <v>11</v>
      </c>
      <c r="AA105">
        <v>14</v>
      </c>
      <c r="AB105">
        <v>17</v>
      </c>
      <c r="AD105">
        <f t="shared" ref="AD105:AD136" si="89">SUMIFS($I105:$AB105,$I$2:$AB$2,AD$7)</f>
        <v>22</v>
      </c>
      <c r="AE105">
        <f t="shared" ref="AE105:AE136" si="90">SUMIFS($I105:$AB105,$I$2:$AB$2,AE$7)</f>
        <v>32</v>
      </c>
      <c r="AF105">
        <f t="shared" ref="AF105:AF136" si="91">SUMIFS($I105:$AB105,$I$2:$AB$2,AF$7)</f>
        <v>42</v>
      </c>
      <c r="AG105">
        <f t="shared" ref="AG105:AG136" si="92">SUMIFS($I105:$AB105,$I$2:$AB$2,AG$7)</f>
        <v>52</v>
      </c>
      <c r="AH105">
        <f t="shared" ref="AH105:AH136" si="93">SUMIFS($I105:$AB105,$I$2:$AB$2,AH$7)</f>
        <v>62</v>
      </c>
      <c r="AI105">
        <f t="shared" ref="AI105:AI136" si="94">SUMIFS($I105:$AB105,$I$3:$AB$3,AI$7)</f>
        <v>71</v>
      </c>
      <c r="AJ105">
        <f t="shared" ref="AJ105:AJ136" si="95">SUMIFS($I105:$AB105,$I$3:$AB$3,AJ$7)</f>
        <v>139</v>
      </c>
      <c r="AK105">
        <f t="shared" ref="AK105:AK136" si="96">SUMIFS($I105:$AB105,$I$4:$AB$4,AK$7)</f>
        <v>76</v>
      </c>
      <c r="AL105">
        <f t="shared" ref="AL105:AL136" si="97">SUMIFS($I105:$AB105,$I$4:$AB$4,AL$7)</f>
        <v>134</v>
      </c>
      <c r="AN105" s="67">
        <f t="shared" ref="AN105:AN136" si="98">((AD105-MIN($AD105:$AL105))/(MAX($AD105:$AL105)-MIN($AD105:$AL105)))</f>
        <v>0</v>
      </c>
      <c r="AO105" s="67">
        <f t="shared" ref="AO105:AO136" si="99">((AE105-MIN($AD105:$AL105))/(MAX($AD105:$AL105)-MIN($AD105:$AL105)))</f>
        <v>8.5470085470085472E-2</v>
      </c>
      <c r="AP105" s="67">
        <f t="shared" ref="AP105:AP136" si="100">((AF105-MIN($AD105:$AL105))/(MAX($AD105:$AL105)-MIN($AD105:$AL105)))</f>
        <v>0.17094017094017094</v>
      </c>
      <c r="AQ105" s="67">
        <f t="shared" ref="AQ105:AQ136" si="101">((AG105-MIN($AD105:$AL105))/(MAX($AD105:$AL105)-MIN($AD105:$AL105)))</f>
        <v>0.25641025641025639</v>
      </c>
      <c r="AR105" s="67">
        <f t="shared" ref="AR105:AR136" si="102">((AH105-MIN($AD105:$AL105))/(MAX($AD105:$AL105)-MIN($AD105:$AL105)))</f>
        <v>0.34188034188034189</v>
      </c>
      <c r="AS105" s="67">
        <f t="shared" ref="AS105:AS136" si="103">((AI105-MIN($AD105:$AL105))/(MAX($AD105:$AL105)-MIN($AD105:$AL105)))</f>
        <v>0.41880341880341881</v>
      </c>
      <c r="AT105" s="67">
        <f t="shared" ref="AT105:AT136" si="104">((AJ105-MIN($AD105:$AL105))/(MAX($AD105:$AL105)-MIN($AD105:$AL105)))</f>
        <v>1</v>
      </c>
      <c r="AU105" s="67">
        <f t="shared" ref="AU105:AU136" si="105">((AK105-MIN($AD105:$AL105))/(MAX($AD105:$AL105)-MIN($AD105:$AL105)))</f>
        <v>0.46153846153846156</v>
      </c>
      <c r="AV105" s="67">
        <f t="shared" ref="AV105:AV136" si="106">((AL105-MIN($AD105:$AL105))/(MAX($AD105:$AL105)-MIN($AD105:$AL105)))</f>
        <v>0.95726495726495731</v>
      </c>
      <c r="AX105">
        <f t="shared" ref="AX105:AX139" si="107">MAX($AN105:$AR105)-MIN($AN105:$AR105)</f>
        <v>0.34188034188034189</v>
      </c>
      <c r="AY105">
        <f t="shared" ref="AY105:AY139" si="108">MAX($AS105:$AT105)-MIN($AS105:$AT105)</f>
        <v>0.58119658119658113</v>
      </c>
      <c r="AZ105">
        <f t="shared" ref="AZ105:AZ139" si="109">MAX($AU105:$AV105)-MIN($AU105:$AV105)</f>
        <v>0.49572649572649574</v>
      </c>
      <c r="BB105">
        <f t="shared" ref="BB105:BB136" si="110">AX105/SUM($AX105:$AZ105)</f>
        <v>0.24096385542168677</v>
      </c>
      <c r="BC105">
        <f t="shared" ref="BC105:BC136" si="111">AY105/SUM($AX105:$AZ105)</f>
        <v>0.40963855421686746</v>
      </c>
      <c r="BD105">
        <f t="shared" ref="BD105:BD136" si="112">AZ105/SUM($AX105:$AZ105)</f>
        <v>0.34939759036144585</v>
      </c>
      <c r="BF105" t="str">
        <f t="shared" si="88"/>
        <v xml:space="preserve">Brand </v>
      </c>
      <c r="BG105" t="str">
        <f t="shared" ref="BG105:BG139" si="113">INDEX(BI105:BK105,,MATCH(BF105,$BI$7:$BK$7,0))</f>
        <v>Super Bowl</v>
      </c>
      <c r="BI105">
        <f t="shared" ref="BI105:BI139" si="114">INDEX($AN$7:$AR$7,,MATCH(MIN(AN105:AR105),AN105:AR105,0))</f>
        <v>3.5</v>
      </c>
      <c r="BJ105" t="str">
        <f t="shared" ref="BJ105:BJ139" si="115">INDEX($AS$7:$AT$7,,MATCH(MIN(AS105:AT105),AS105:AT105,0))</f>
        <v>Super Bowl</v>
      </c>
      <c r="BK105" t="str">
        <f t="shared" ref="BK105:BK139" si="116">INDEX($AU$7:$AV$7,,MATCH(MIN(AU105:AV105),AU105:AV105,0))</f>
        <v>B</v>
      </c>
    </row>
    <row r="106" spans="8:63">
      <c r="H106">
        <v>99</v>
      </c>
      <c r="I106">
        <v>1</v>
      </c>
      <c r="J106">
        <v>2</v>
      </c>
      <c r="K106">
        <v>4</v>
      </c>
      <c r="L106">
        <v>7</v>
      </c>
      <c r="M106">
        <v>10</v>
      </c>
      <c r="N106">
        <v>6</v>
      </c>
      <c r="O106">
        <v>9</v>
      </c>
      <c r="P106">
        <v>13</v>
      </c>
      <c r="Q106">
        <v>16</v>
      </c>
      <c r="R106">
        <v>18</v>
      </c>
      <c r="S106">
        <v>3</v>
      </c>
      <c r="T106">
        <v>5</v>
      </c>
      <c r="U106">
        <v>8</v>
      </c>
      <c r="V106">
        <v>12</v>
      </c>
      <c r="W106">
        <v>15</v>
      </c>
      <c r="X106">
        <v>11</v>
      </c>
      <c r="Y106">
        <v>14</v>
      </c>
      <c r="Z106">
        <v>17</v>
      </c>
      <c r="AA106">
        <v>19</v>
      </c>
      <c r="AB106">
        <v>20</v>
      </c>
      <c r="AD106">
        <f t="shared" si="89"/>
        <v>21</v>
      </c>
      <c r="AE106">
        <f t="shared" si="90"/>
        <v>30</v>
      </c>
      <c r="AF106">
        <f t="shared" si="91"/>
        <v>42</v>
      </c>
      <c r="AG106">
        <f t="shared" si="92"/>
        <v>54</v>
      </c>
      <c r="AH106">
        <f t="shared" si="93"/>
        <v>63</v>
      </c>
      <c r="AI106">
        <f t="shared" si="94"/>
        <v>86</v>
      </c>
      <c r="AJ106">
        <f t="shared" si="95"/>
        <v>124</v>
      </c>
      <c r="AK106">
        <f t="shared" si="96"/>
        <v>143</v>
      </c>
      <c r="AL106">
        <f t="shared" si="97"/>
        <v>67</v>
      </c>
      <c r="AN106" s="67">
        <f t="shared" si="98"/>
        <v>0</v>
      </c>
      <c r="AO106" s="67">
        <f t="shared" si="99"/>
        <v>7.3770491803278687E-2</v>
      </c>
      <c r="AP106" s="67">
        <f t="shared" si="100"/>
        <v>0.1721311475409836</v>
      </c>
      <c r="AQ106" s="67">
        <f t="shared" si="101"/>
        <v>0.27049180327868855</v>
      </c>
      <c r="AR106" s="67">
        <f t="shared" si="102"/>
        <v>0.34426229508196721</v>
      </c>
      <c r="AS106" s="67">
        <f t="shared" si="103"/>
        <v>0.53278688524590168</v>
      </c>
      <c r="AT106" s="67">
        <f t="shared" si="104"/>
        <v>0.84426229508196726</v>
      </c>
      <c r="AU106" s="67">
        <f t="shared" si="105"/>
        <v>1</v>
      </c>
      <c r="AV106" s="67">
        <f t="shared" si="106"/>
        <v>0.37704918032786883</v>
      </c>
      <c r="AX106">
        <f t="shared" si="107"/>
        <v>0.34426229508196721</v>
      </c>
      <c r="AY106">
        <f t="shared" si="108"/>
        <v>0.31147540983606559</v>
      </c>
      <c r="AZ106">
        <f t="shared" si="109"/>
        <v>0.62295081967213117</v>
      </c>
      <c r="BB106">
        <f t="shared" si="110"/>
        <v>0.26923076923076922</v>
      </c>
      <c r="BC106">
        <f t="shared" si="111"/>
        <v>0.24358974358974358</v>
      </c>
      <c r="BD106">
        <f t="shared" si="112"/>
        <v>0.48717948717948717</v>
      </c>
      <c r="BF106" t="str">
        <f t="shared" si="88"/>
        <v>Theme</v>
      </c>
      <c r="BG106" t="str">
        <f t="shared" si="113"/>
        <v>A</v>
      </c>
      <c r="BI106">
        <f t="shared" si="114"/>
        <v>3.5</v>
      </c>
      <c r="BJ106" t="str">
        <f t="shared" si="115"/>
        <v>Super Bowl</v>
      </c>
      <c r="BK106" t="str">
        <f t="shared" si="116"/>
        <v>A</v>
      </c>
    </row>
    <row r="107" spans="8:63">
      <c r="H107">
        <v>100</v>
      </c>
      <c r="I107">
        <v>4</v>
      </c>
      <c r="J107">
        <v>7</v>
      </c>
      <c r="K107">
        <v>10</v>
      </c>
      <c r="L107">
        <v>13</v>
      </c>
      <c r="M107">
        <v>16</v>
      </c>
      <c r="N107">
        <v>1</v>
      </c>
      <c r="O107">
        <v>2</v>
      </c>
      <c r="P107">
        <v>3</v>
      </c>
      <c r="Q107">
        <v>6</v>
      </c>
      <c r="R107">
        <v>9</v>
      </c>
      <c r="S107">
        <v>12</v>
      </c>
      <c r="T107">
        <v>15</v>
      </c>
      <c r="U107">
        <v>18</v>
      </c>
      <c r="V107">
        <v>19</v>
      </c>
      <c r="W107">
        <v>20</v>
      </c>
      <c r="X107">
        <v>5</v>
      </c>
      <c r="Y107">
        <v>8</v>
      </c>
      <c r="Z107">
        <v>11</v>
      </c>
      <c r="AA107">
        <v>14</v>
      </c>
      <c r="AB107">
        <v>17</v>
      </c>
      <c r="AD107">
        <f t="shared" si="89"/>
        <v>22</v>
      </c>
      <c r="AE107">
        <f t="shared" si="90"/>
        <v>32</v>
      </c>
      <c r="AF107">
        <f t="shared" si="91"/>
        <v>42</v>
      </c>
      <c r="AG107">
        <f t="shared" si="92"/>
        <v>52</v>
      </c>
      <c r="AH107">
        <f t="shared" si="93"/>
        <v>62</v>
      </c>
      <c r="AI107">
        <f t="shared" si="94"/>
        <v>71</v>
      </c>
      <c r="AJ107">
        <f t="shared" si="95"/>
        <v>139</v>
      </c>
      <c r="AK107">
        <f t="shared" si="96"/>
        <v>76</v>
      </c>
      <c r="AL107">
        <f t="shared" si="97"/>
        <v>134</v>
      </c>
      <c r="AN107" s="67">
        <f t="shared" si="98"/>
        <v>0</v>
      </c>
      <c r="AO107" s="67">
        <f t="shared" si="99"/>
        <v>8.5470085470085472E-2</v>
      </c>
      <c r="AP107" s="67">
        <f t="shared" si="100"/>
        <v>0.17094017094017094</v>
      </c>
      <c r="AQ107" s="67">
        <f t="shared" si="101"/>
        <v>0.25641025641025639</v>
      </c>
      <c r="AR107" s="67">
        <f t="shared" si="102"/>
        <v>0.34188034188034189</v>
      </c>
      <c r="AS107" s="67">
        <f t="shared" si="103"/>
        <v>0.41880341880341881</v>
      </c>
      <c r="AT107" s="67">
        <f t="shared" si="104"/>
        <v>1</v>
      </c>
      <c r="AU107" s="67">
        <f t="shared" si="105"/>
        <v>0.46153846153846156</v>
      </c>
      <c r="AV107" s="67">
        <f t="shared" si="106"/>
        <v>0.95726495726495731</v>
      </c>
      <c r="AX107">
        <f t="shared" si="107"/>
        <v>0.34188034188034189</v>
      </c>
      <c r="AY107">
        <f t="shared" si="108"/>
        <v>0.58119658119658113</v>
      </c>
      <c r="AZ107">
        <f t="shared" si="109"/>
        <v>0.49572649572649574</v>
      </c>
      <c r="BB107">
        <f t="shared" si="110"/>
        <v>0.24096385542168677</v>
      </c>
      <c r="BC107">
        <f t="shared" si="111"/>
        <v>0.40963855421686746</v>
      </c>
      <c r="BD107">
        <f t="shared" si="112"/>
        <v>0.34939759036144585</v>
      </c>
      <c r="BF107" t="str">
        <f t="shared" si="88"/>
        <v xml:space="preserve">Brand </v>
      </c>
      <c r="BG107" t="str">
        <f t="shared" si="113"/>
        <v>Super Bowl</v>
      </c>
      <c r="BI107">
        <f t="shared" si="114"/>
        <v>3.5</v>
      </c>
      <c r="BJ107" t="str">
        <f t="shared" si="115"/>
        <v>Super Bowl</v>
      </c>
      <c r="BK107" t="str">
        <f t="shared" si="116"/>
        <v>B</v>
      </c>
    </row>
    <row r="108" spans="8:63">
      <c r="H108">
        <v>101</v>
      </c>
      <c r="I108">
        <v>6</v>
      </c>
      <c r="J108">
        <v>9</v>
      </c>
      <c r="K108">
        <v>11</v>
      </c>
      <c r="L108">
        <v>14</v>
      </c>
      <c r="M108">
        <v>17</v>
      </c>
      <c r="N108">
        <v>1</v>
      </c>
      <c r="O108">
        <v>2</v>
      </c>
      <c r="P108">
        <v>3</v>
      </c>
      <c r="Q108">
        <v>5</v>
      </c>
      <c r="R108">
        <v>8</v>
      </c>
      <c r="S108">
        <v>13</v>
      </c>
      <c r="T108">
        <v>16</v>
      </c>
      <c r="U108">
        <v>18</v>
      </c>
      <c r="V108">
        <v>19</v>
      </c>
      <c r="W108">
        <v>20</v>
      </c>
      <c r="X108">
        <v>4</v>
      </c>
      <c r="Y108">
        <v>7</v>
      </c>
      <c r="Z108">
        <v>10</v>
      </c>
      <c r="AA108">
        <v>12</v>
      </c>
      <c r="AB108">
        <v>15</v>
      </c>
      <c r="AD108">
        <f t="shared" si="89"/>
        <v>24</v>
      </c>
      <c r="AE108">
        <f t="shared" si="90"/>
        <v>34</v>
      </c>
      <c r="AF108">
        <f t="shared" si="91"/>
        <v>42</v>
      </c>
      <c r="AG108">
        <f t="shared" si="92"/>
        <v>50</v>
      </c>
      <c r="AH108">
        <f t="shared" si="93"/>
        <v>60</v>
      </c>
      <c r="AI108">
        <f t="shared" si="94"/>
        <v>76</v>
      </c>
      <c r="AJ108">
        <f t="shared" si="95"/>
        <v>134</v>
      </c>
      <c r="AK108">
        <f t="shared" si="96"/>
        <v>67</v>
      </c>
      <c r="AL108">
        <f t="shared" si="97"/>
        <v>143</v>
      </c>
      <c r="AN108" s="67">
        <f t="shared" si="98"/>
        <v>0</v>
      </c>
      <c r="AO108" s="67">
        <f t="shared" si="99"/>
        <v>8.4033613445378158E-2</v>
      </c>
      <c r="AP108" s="67">
        <f t="shared" si="100"/>
        <v>0.15126050420168066</v>
      </c>
      <c r="AQ108" s="67">
        <f t="shared" si="101"/>
        <v>0.21848739495798319</v>
      </c>
      <c r="AR108" s="67">
        <f t="shared" si="102"/>
        <v>0.30252100840336132</v>
      </c>
      <c r="AS108" s="67">
        <f t="shared" si="103"/>
        <v>0.43697478991596639</v>
      </c>
      <c r="AT108" s="67">
        <f t="shared" si="104"/>
        <v>0.92436974789915971</v>
      </c>
      <c r="AU108" s="67">
        <f t="shared" si="105"/>
        <v>0.36134453781512604</v>
      </c>
      <c r="AV108" s="67">
        <f t="shared" si="106"/>
        <v>1</v>
      </c>
      <c r="AX108">
        <f t="shared" si="107"/>
        <v>0.30252100840336132</v>
      </c>
      <c r="AY108">
        <f t="shared" si="108"/>
        <v>0.48739495798319332</v>
      </c>
      <c r="AZ108">
        <f t="shared" si="109"/>
        <v>0.6386554621848739</v>
      </c>
      <c r="BB108">
        <f t="shared" si="110"/>
        <v>0.21176470588235291</v>
      </c>
      <c r="BC108">
        <f t="shared" si="111"/>
        <v>0.3411764705882353</v>
      </c>
      <c r="BD108">
        <f t="shared" si="112"/>
        <v>0.44705882352941173</v>
      </c>
      <c r="BF108" t="str">
        <f t="shared" si="88"/>
        <v>Theme</v>
      </c>
      <c r="BG108" t="str">
        <f t="shared" si="113"/>
        <v>B</v>
      </c>
      <c r="BI108">
        <f t="shared" si="114"/>
        <v>3.5</v>
      </c>
      <c r="BJ108" t="str">
        <f t="shared" si="115"/>
        <v>Super Bowl</v>
      </c>
      <c r="BK108" t="str">
        <f t="shared" si="116"/>
        <v>B</v>
      </c>
    </row>
    <row r="109" spans="8:63">
      <c r="H109">
        <v>102</v>
      </c>
      <c r="I109">
        <v>1</v>
      </c>
      <c r="J109">
        <v>2</v>
      </c>
      <c r="K109">
        <v>4</v>
      </c>
      <c r="L109">
        <v>7</v>
      </c>
      <c r="M109">
        <v>10</v>
      </c>
      <c r="N109">
        <v>3</v>
      </c>
      <c r="O109">
        <v>6</v>
      </c>
      <c r="P109">
        <v>9</v>
      </c>
      <c r="Q109">
        <v>13</v>
      </c>
      <c r="R109">
        <v>16</v>
      </c>
      <c r="S109">
        <v>6</v>
      </c>
      <c r="T109">
        <v>9</v>
      </c>
      <c r="U109">
        <v>13</v>
      </c>
      <c r="V109">
        <v>16</v>
      </c>
      <c r="W109">
        <v>18</v>
      </c>
      <c r="X109">
        <v>11</v>
      </c>
      <c r="Y109">
        <v>14</v>
      </c>
      <c r="Z109">
        <v>17</v>
      </c>
      <c r="AA109">
        <v>19</v>
      </c>
      <c r="AB109">
        <v>20</v>
      </c>
      <c r="AD109">
        <f t="shared" si="89"/>
        <v>21</v>
      </c>
      <c r="AE109">
        <f t="shared" si="90"/>
        <v>31</v>
      </c>
      <c r="AF109">
        <f t="shared" si="91"/>
        <v>43</v>
      </c>
      <c r="AG109">
        <f t="shared" si="92"/>
        <v>55</v>
      </c>
      <c r="AH109">
        <f t="shared" si="93"/>
        <v>64</v>
      </c>
      <c r="AI109">
        <f t="shared" si="94"/>
        <v>71</v>
      </c>
      <c r="AJ109">
        <f t="shared" si="95"/>
        <v>143</v>
      </c>
      <c r="AK109">
        <f t="shared" si="96"/>
        <v>128</v>
      </c>
      <c r="AL109">
        <f t="shared" si="97"/>
        <v>86</v>
      </c>
      <c r="AN109" s="67">
        <f t="shared" si="98"/>
        <v>0</v>
      </c>
      <c r="AO109" s="67">
        <f t="shared" si="99"/>
        <v>8.1967213114754092E-2</v>
      </c>
      <c r="AP109" s="67">
        <f t="shared" si="100"/>
        <v>0.18032786885245902</v>
      </c>
      <c r="AQ109" s="67">
        <f t="shared" si="101"/>
        <v>0.27868852459016391</v>
      </c>
      <c r="AR109" s="67">
        <f t="shared" si="102"/>
        <v>0.35245901639344263</v>
      </c>
      <c r="AS109" s="67">
        <f t="shared" si="103"/>
        <v>0.4098360655737705</v>
      </c>
      <c r="AT109" s="67">
        <f t="shared" si="104"/>
        <v>1</v>
      </c>
      <c r="AU109" s="67">
        <f t="shared" si="105"/>
        <v>0.87704918032786883</v>
      </c>
      <c r="AV109" s="67">
        <f t="shared" si="106"/>
        <v>0.53278688524590168</v>
      </c>
      <c r="AX109">
        <f t="shared" si="107"/>
        <v>0.35245901639344263</v>
      </c>
      <c r="AY109">
        <f t="shared" si="108"/>
        <v>0.5901639344262295</v>
      </c>
      <c r="AZ109">
        <f t="shared" si="109"/>
        <v>0.34426229508196715</v>
      </c>
      <c r="BB109">
        <f t="shared" si="110"/>
        <v>0.27388535031847133</v>
      </c>
      <c r="BC109">
        <f t="shared" si="111"/>
        <v>0.45859872611464969</v>
      </c>
      <c r="BD109">
        <f t="shared" si="112"/>
        <v>0.26751592356687892</v>
      </c>
      <c r="BF109" t="str">
        <f t="shared" si="88"/>
        <v xml:space="preserve">Brand </v>
      </c>
      <c r="BG109" t="str">
        <f t="shared" si="113"/>
        <v>Super Bowl</v>
      </c>
      <c r="BI109">
        <f t="shared" si="114"/>
        <v>3.5</v>
      </c>
      <c r="BJ109" t="str">
        <f t="shared" si="115"/>
        <v>Super Bowl</v>
      </c>
      <c r="BK109" t="str">
        <f t="shared" si="116"/>
        <v>A</v>
      </c>
    </row>
    <row r="110" spans="8:63">
      <c r="H110">
        <v>103</v>
      </c>
      <c r="I110">
        <v>3</v>
      </c>
      <c r="J110">
        <v>7</v>
      </c>
      <c r="K110">
        <v>11</v>
      </c>
      <c r="L110">
        <v>15</v>
      </c>
      <c r="M110">
        <v>19</v>
      </c>
      <c r="N110">
        <v>4</v>
      </c>
      <c r="O110">
        <v>8</v>
      </c>
      <c r="P110">
        <v>12</v>
      </c>
      <c r="Q110">
        <v>16</v>
      </c>
      <c r="R110">
        <v>20</v>
      </c>
      <c r="S110">
        <v>1</v>
      </c>
      <c r="T110">
        <v>5</v>
      </c>
      <c r="U110">
        <v>9</v>
      </c>
      <c r="V110">
        <v>13</v>
      </c>
      <c r="W110">
        <v>17</v>
      </c>
      <c r="X110">
        <v>2</v>
      </c>
      <c r="Y110">
        <v>6</v>
      </c>
      <c r="Z110">
        <v>10</v>
      </c>
      <c r="AA110">
        <v>14</v>
      </c>
      <c r="AB110">
        <v>18</v>
      </c>
      <c r="AD110">
        <f t="shared" si="89"/>
        <v>10</v>
      </c>
      <c r="AE110">
        <f t="shared" si="90"/>
        <v>26</v>
      </c>
      <c r="AF110">
        <f t="shared" si="91"/>
        <v>42</v>
      </c>
      <c r="AG110">
        <f t="shared" si="92"/>
        <v>58</v>
      </c>
      <c r="AH110">
        <f t="shared" si="93"/>
        <v>74</v>
      </c>
      <c r="AI110">
        <f t="shared" si="94"/>
        <v>115</v>
      </c>
      <c r="AJ110">
        <f t="shared" si="95"/>
        <v>95</v>
      </c>
      <c r="AK110">
        <f t="shared" si="96"/>
        <v>110</v>
      </c>
      <c r="AL110">
        <f t="shared" si="97"/>
        <v>100</v>
      </c>
      <c r="AN110" s="67">
        <f t="shared" si="98"/>
        <v>0</v>
      </c>
      <c r="AO110" s="67">
        <f t="shared" si="99"/>
        <v>0.15238095238095239</v>
      </c>
      <c r="AP110" s="67">
        <f t="shared" si="100"/>
        <v>0.30476190476190479</v>
      </c>
      <c r="AQ110" s="67">
        <f t="shared" si="101"/>
        <v>0.45714285714285713</v>
      </c>
      <c r="AR110" s="67">
        <f t="shared" si="102"/>
        <v>0.60952380952380958</v>
      </c>
      <c r="AS110" s="67">
        <f t="shared" si="103"/>
        <v>1</v>
      </c>
      <c r="AT110" s="67">
        <f t="shared" si="104"/>
        <v>0.80952380952380953</v>
      </c>
      <c r="AU110" s="67">
        <f t="shared" si="105"/>
        <v>0.95238095238095233</v>
      </c>
      <c r="AV110" s="67">
        <f t="shared" si="106"/>
        <v>0.8571428571428571</v>
      </c>
      <c r="AX110">
        <f t="shared" si="107"/>
        <v>0.60952380952380958</v>
      </c>
      <c r="AY110">
        <f t="shared" si="108"/>
        <v>0.19047619047619047</v>
      </c>
      <c r="AZ110">
        <f t="shared" si="109"/>
        <v>9.5238095238095233E-2</v>
      </c>
      <c r="BB110">
        <f t="shared" si="110"/>
        <v>0.68085106382978722</v>
      </c>
      <c r="BC110">
        <f t="shared" si="111"/>
        <v>0.21276595744680848</v>
      </c>
      <c r="BD110">
        <f t="shared" si="112"/>
        <v>0.10638297872340424</v>
      </c>
      <c r="BF110" t="str">
        <f t="shared" si="88"/>
        <v>Price</v>
      </c>
      <c r="BG110">
        <f t="shared" si="113"/>
        <v>3.5</v>
      </c>
      <c r="BI110">
        <f t="shared" si="114"/>
        <v>3.5</v>
      </c>
      <c r="BJ110" t="str">
        <f t="shared" si="115"/>
        <v>Tennis</v>
      </c>
      <c r="BK110" t="str">
        <f t="shared" si="116"/>
        <v>A</v>
      </c>
    </row>
    <row r="111" spans="8:63">
      <c r="H111">
        <v>104</v>
      </c>
      <c r="I111">
        <v>4</v>
      </c>
      <c r="J111">
        <v>7</v>
      </c>
      <c r="K111">
        <v>11</v>
      </c>
      <c r="L111">
        <v>15</v>
      </c>
      <c r="M111">
        <v>18</v>
      </c>
      <c r="N111">
        <v>1</v>
      </c>
      <c r="O111">
        <v>2</v>
      </c>
      <c r="P111">
        <v>5</v>
      </c>
      <c r="Q111">
        <v>8</v>
      </c>
      <c r="R111">
        <v>12</v>
      </c>
      <c r="S111">
        <v>9</v>
      </c>
      <c r="T111">
        <v>13</v>
      </c>
      <c r="U111">
        <v>16</v>
      </c>
      <c r="V111">
        <v>19</v>
      </c>
      <c r="W111">
        <v>20</v>
      </c>
      <c r="X111">
        <v>3</v>
      </c>
      <c r="Y111">
        <v>6</v>
      </c>
      <c r="Z111">
        <v>10</v>
      </c>
      <c r="AA111">
        <v>14</v>
      </c>
      <c r="AB111">
        <v>17</v>
      </c>
      <c r="AD111">
        <f t="shared" si="89"/>
        <v>17</v>
      </c>
      <c r="AE111">
        <f t="shared" si="90"/>
        <v>28</v>
      </c>
      <c r="AF111">
        <f t="shared" si="91"/>
        <v>42</v>
      </c>
      <c r="AG111">
        <f t="shared" si="92"/>
        <v>56</v>
      </c>
      <c r="AH111">
        <f t="shared" si="93"/>
        <v>67</v>
      </c>
      <c r="AI111">
        <f t="shared" si="94"/>
        <v>83</v>
      </c>
      <c r="AJ111">
        <f t="shared" si="95"/>
        <v>127</v>
      </c>
      <c r="AK111">
        <f t="shared" si="96"/>
        <v>78</v>
      </c>
      <c r="AL111">
        <f t="shared" si="97"/>
        <v>132</v>
      </c>
      <c r="AN111" s="67">
        <f t="shared" si="98"/>
        <v>0</v>
      </c>
      <c r="AO111" s="67">
        <f t="shared" si="99"/>
        <v>9.5652173913043481E-2</v>
      </c>
      <c r="AP111" s="67">
        <f t="shared" si="100"/>
        <v>0.21739130434782608</v>
      </c>
      <c r="AQ111" s="67">
        <f t="shared" si="101"/>
        <v>0.33913043478260868</v>
      </c>
      <c r="AR111" s="67">
        <f t="shared" si="102"/>
        <v>0.43478260869565216</v>
      </c>
      <c r="AS111" s="67">
        <f t="shared" si="103"/>
        <v>0.57391304347826089</v>
      </c>
      <c r="AT111" s="67">
        <f t="shared" si="104"/>
        <v>0.95652173913043481</v>
      </c>
      <c r="AU111" s="67">
        <f t="shared" si="105"/>
        <v>0.5304347826086957</v>
      </c>
      <c r="AV111" s="67">
        <f t="shared" si="106"/>
        <v>1</v>
      </c>
      <c r="AX111">
        <f t="shared" si="107"/>
        <v>0.43478260869565216</v>
      </c>
      <c r="AY111">
        <f t="shared" si="108"/>
        <v>0.38260869565217392</v>
      </c>
      <c r="AZ111">
        <f t="shared" si="109"/>
        <v>0.4695652173913043</v>
      </c>
      <c r="BB111">
        <f t="shared" si="110"/>
        <v>0.33783783783783783</v>
      </c>
      <c r="BC111">
        <f t="shared" si="111"/>
        <v>0.29729729729729731</v>
      </c>
      <c r="BD111">
        <f t="shared" si="112"/>
        <v>0.36486486486486486</v>
      </c>
      <c r="BF111" t="str">
        <f t="shared" si="88"/>
        <v>Theme</v>
      </c>
      <c r="BG111" t="str">
        <f t="shared" si="113"/>
        <v>B</v>
      </c>
      <c r="BI111">
        <f t="shared" si="114"/>
        <v>3.5</v>
      </c>
      <c r="BJ111" t="str">
        <f t="shared" si="115"/>
        <v>Super Bowl</v>
      </c>
      <c r="BK111" t="str">
        <f t="shared" si="116"/>
        <v>B</v>
      </c>
    </row>
    <row r="112" spans="8:63">
      <c r="H112">
        <v>105</v>
      </c>
      <c r="I112">
        <v>5</v>
      </c>
      <c r="J112">
        <v>8</v>
      </c>
      <c r="K112">
        <v>11</v>
      </c>
      <c r="L112">
        <v>14</v>
      </c>
      <c r="M112">
        <v>17</v>
      </c>
      <c r="N112">
        <v>12</v>
      </c>
      <c r="O112">
        <v>15</v>
      </c>
      <c r="P112">
        <v>18</v>
      </c>
      <c r="Q112">
        <v>19</v>
      </c>
      <c r="R112">
        <v>20</v>
      </c>
      <c r="S112">
        <v>1</v>
      </c>
      <c r="T112">
        <v>2</v>
      </c>
      <c r="U112">
        <v>3</v>
      </c>
      <c r="V112">
        <v>6</v>
      </c>
      <c r="W112">
        <v>9</v>
      </c>
      <c r="X112">
        <v>4</v>
      </c>
      <c r="Y112">
        <v>7</v>
      </c>
      <c r="Z112">
        <v>10</v>
      </c>
      <c r="AA112">
        <v>13</v>
      </c>
      <c r="AB112">
        <v>16</v>
      </c>
      <c r="AD112">
        <f t="shared" si="89"/>
        <v>22</v>
      </c>
      <c r="AE112">
        <f t="shared" si="90"/>
        <v>32</v>
      </c>
      <c r="AF112">
        <f t="shared" si="91"/>
        <v>42</v>
      </c>
      <c r="AG112">
        <f t="shared" si="92"/>
        <v>52</v>
      </c>
      <c r="AH112">
        <f t="shared" si="93"/>
        <v>62</v>
      </c>
      <c r="AI112">
        <f t="shared" si="94"/>
        <v>139</v>
      </c>
      <c r="AJ112">
        <f t="shared" si="95"/>
        <v>71</v>
      </c>
      <c r="AK112">
        <f t="shared" si="96"/>
        <v>134</v>
      </c>
      <c r="AL112">
        <f t="shared" si="97"/>
        <v>76</v>
      </c>
      <c r="AN112" s="67">
        <f t="shared" si="98"/>
        <v>0</v>
      </c>
      <c r="AO112" s="67">
        <f t="shared" si="99"/>
        <v>8.5470085470085472E-2</v>
      </c>
      <c r="AP112" s="67">
        <f t="shared" si="100"/>
        <v>0.17094017094017094</v>
      </c>
      <c r="AQ112" s="67">
        <f t="shared" si="101"/>
        <v>0.25641025641025639</v>
      </c>
      <c r="AR112" s="67">
        <f t="shared" si="102"/>
        <v>0.34188034188034189</v>
      </c>
      <c r="AS112" s="67">
        <f t="shared" si="103"/>
        <v>1</v>
      </c>
      <c r="AT112" s="67">
        <f t="shared" si="104"/>
        <v>0.41880341880341881</v>
      </c>
      <c r="AU112" s="67">
        <f t="shared" si="105"/>
        <v>0.95726495726495731</v>
      </c>
      <c r="AV112" s="67">
        <f t="shared" si="106"/>
        <v>0.46153846153846156</v>
      </c>
      <c r="AX112">
        <f t="shared" si="107"/>
        <v>0.34188034188034189</v>
      </c>
      <c r="AY112">
        <f t="shared" si="108"/>
        <v>0.58119658119658113</v>
      </c>
      <c r="AZ112">
        <f t="shared" si="109"/>
        <v>0.49572649572649574</v>
      </c>
      <c r="BB112">
        <f t="shared" si="110"/>
        <v>0.24096385542168677</v>
      </c>
      <c r="BC112">
        <f t="shared" si="111"/>
        <v>0.40963855421686746</v>
      </c>
      <c r="BD112">
        <f t="shared" si="112"/>
        <v>0.34939759036144585</v>
      </c>
      <c r="BF112" t="str">
        <f t="shared" si="88"/>
        <v xml:space="preserve">Brand </v>
      </c>
      <c r="BG112" t="str">
        <f t="shared" si="113"/>
        <v>Tennis</v>
      </c>
      <c r="BI112">
        <f t="shared" si="114"/>
        <v>3.5</v>
      </c>
      <c r="BJ112" t="str">
        <f t="shared" si="115"/>
        <v>Tennis</v>
      </c>
      <c r="BK112" t="str">
        <f t="shared" si="116"/>
        <v>A</v>
      </c>
    </row>
    <row r="113" spans="8:63">
      <c r="H113">
        <v>106</v>
      </c>
      <c r="I113">
        <v>1</v>
      </c>
      <c r="J113">
        <v>2</v>
      </c>
      <c r="K113">
        <v>4</v>
      </c>
      <c r="L113">
        <v>6</v>
      </c>
      <c r="M113">
        <v>9</v>
      </c>
      <c r="N113">
        <v>3</v>
      </c>
      <c r="O113">
        <v>5</v>
      </c>
      <c r="P113">
        <v>8</v>
      </c>
      <c r="Q113">
        <v>11</v>
      </c>
      <c r="R113">
        <v>14</v>
      </c>
      <c r="S113">
        <v>7</v>
      </c>
      <c r="T113">
        <v>10</v>
      </c>
      <c r="U113">
        <v>13</v>
      </c>
      <c r="V113">
        <v>16</v>
      </c>
      <c r="W113">
        <v>18</v>
      </c>
      <c r="X113">
        <v>12</v>
      </c>
      <c r="Y113">
        <v>15</v>
      </c>
      <c r="Z113">
        <v>17</v>
      </c>
      <c r="AA113">
        <v>19</v>
      </c>
      <c r="AB113">
        <v>20</v>
      </c>
      <c r="AD113">
        <f t="shared" si="89"/>
        <v>23</v>
      </c>
      <c r="AE113">
        <f t="shared" si="90"/>
        <v>32</v>
      </c>
      <c r="AF113">
        <f t="shared" si="91"/>
        <v>42</v>
      </c>
      <c r="AG113">
        <f t="shared" si="92"/>
        <v>52</v>
      </c>
      <c r="AH113">
        <f t="shared" si="93"/>
        <v>61</v>
      </c>
      <c r="AI113">
        <f t="shared" si="94"/>
        <v>63</v>
      </c>
      <c r="AJ113">
        <f t="shared" si="95"/>
        <v>147</v>
      </c>
      <c r="AK113">
        <f t="shared" si="96"/>
        <v>124</v>
      </c>
      <c r="AL113">
        <f t="shared" si="97"/>
        <v>86</v>
      </c>
      <c r="AN113" s="67">
        <f t="shared" si="98"/>
        <v>0</v>
      </c>
      <c r="AO113" s="67">
        <f t="shared" si="99"/>
        <v>7.2580645161290328E-2</v>
      </c>
      <c r="AP113" s="67">
        <f t="shared" si="100"/>
        <v>0.15322580645161291</v>
      </c>
      <c r="AQ113" s="67">
        <f t="shared" si="101"/>
        <v>0.23387096774193547</v>
      </c>
      <c r="AR113" s="67">
        <f t="shared" si="102"/>
        <v>0.30645161290322581</v>
      </c>
      <c r="AS113" s="67">
        <f t="shared" si="103"/>
        <v>0.32258064516129031</v>
      </c>
      <c r="AT113" s="67">
        <f t="shared" si="104"/>
        <v>1</v>
      </c>
      <c r="AU113" s="67">
        <f t="shared" si="105"/>
        <v>0.81451612903225812</v>
      </c>
      <c r="AV113" s="67">
        <f t="shared" si="106"/>
        <v>0.50806451612903225</v>
      </c>
      <c r="AX113">
        <f t="shared" si="107"/>
        <v>0.30645161290322581</v>
      </c>
      <c r="AY113">
        <f t="shared" si="108"/>
        <v>0.67741935483870974</v>
      </c>
      <c r="AZ113">
        <f t="shared" si="109"/>
        <v>0.30645161290322587</v>
      </c>
      <c r="BB113">
        <f t="shared" si="110"/>
        <v>0.23749999999999996</v>
      </c>
      <c r="BC113">
        <f t="shared" si="111"/>
        <v>0.52500000000000002</v>
      </c>
      <c r="BD113">
        <f t="shared" si="112"/>
        <v>0.23750000000000002</v>
      </c>
      <c r="BF113" t="str">
        <f t="shared" si="88"/>
        <v xml:space="preserve">Brand </v>
      </c>
      <c r="BG113" t="str">
        <f t="shared" si="113"/>
        <v>Super Bowl</v>
      </c>
      <c r="BI113">
        <f t="shared" si="114"/>
        <v>3.5</v>
      </c>
      <c r="BJ113" t="str">
        <f t="shared" si="115"/>
        <v>Super Bowl</v>
      </c>
      <c r="BK113" t="str">
        <f t="shared" si="116"/>
        <v>A</v>
      </c>
    </row>
    <row r="114" spans="8:63">
      <c r="H114">
        <v>107</v>
      </c>
      <c r="I114">
        <v>1</v>
      </c>
      <c r="J114">
        <v>5</v>
      </c>
      <c r="K114">
        <v>9</v>
      </c>
      <c r="L114">
        <v>13</v>
      </c>
      <c r="M114">
        <v>17</v>
      </c>
      <c r="N114">
        <v>3</v>
      </c>
      <c r="O114">
        <v>7</v>
      </c>
      <c r="P114">
        <v>11</v>
      </c>
      <c r="Q114">
        <v>15</v>
      </c>
      <c r="R114">
        <v>19</v>
      </c>
      <c r="S114">
        <v>2</v>
      </c>
      <c r="T114">
        <v>6</v>
      </c>
      <c r="U114">
        <v>10</v>
      </c>
      <c r="V114">
        <v>14</v>
      </c>
      <c r="W114">
        <v>18</v>
      </c>
      <c r="X114">
        <v>4</v>
      </c>
      <c r="Y114">
        <v>8</v>
      </c>
      <c r="Z114">
        <v>12</v>
      </c>
      <c r="AA114">
        <v>16</v>
      </c>
      <c r="AB114">
        <v>20</v>
      </c>
      <c r="AD114">
        <f t="shared" si="89"/>
        <v>10</v>
      </c>
      <c r="AE114">
        <f t="shared" si="90"/>
        <v>26</v>
      </c>
      <c r="AF114">
        <f t="shared" si="91"/>
        <v>42</v>
      </c>
      <c r="AG114">
        <f t="shared" si="92"/>
        <v>58</v>
      </c>
      <c r="AH114">
        <f t="shared" si="93"/>
        <v>74</v>
      </c>
      <c r="AI114">
        <f t="shared" si="94"/>
        <v>100</v>
      </c>
      <c r="AJ114">
        <f t="shared" si="95"/>
        <v>110</v>
      </c>
      <c r="AK114">
        <f t="shared" si="96"/>
        <v>115</v>
      </c>
      <c r="AL114">
        <f t="shared" si="97"/>
        <v>95</v>
      </c>
      <c r="AN114" s="67">
        <f t="shared" si="98"/>
        <v>0</v>
      </c>
      <c r="AO114" s="67">
        <f t="shared" si="99"/>
        <v>0.15238095238095239</v>
      </c>
      <c r="AP114" s="67">
        <f t="shared" si="100"/>
        <v>0.30476190476190479</v>
      </c>
      <c r="AQ114" s="67">
        <f t="shared" si="101"/>
        <v>0.45714285714285713</v>
      </c>
      <c r="AR114" s="67">
        <f t="shared" si="102"/>
        <v>0.60952380952380958</v>
      </c>
      <c r="AS114" s="67">
        <f t="shared" si="103"/>
        <v>0.8571428571428571</v>
      </c>
      <c r="AT114" s="67">
        <f t="shared" si="104"/>
        <v>0.95238095238095233</v>
      </c>
      <c r="AU114" s="67">
        <f t="shared" si="105"/>
        <v>1</v>
      </c>
      <c r="AV114" s="67">
        <f t="shared" si="106"/>
        <v>0.80952380952380953</v>
      </c>
      <c r="AX114">
        <f t="shared" si="107"/>
        <v>0.60952380952380958</v>
      </c>
      <c r="AY114">
        <f t="shared" si="108"/>
        <v>9.5238095238095233E-2</v>
      </c>
      <c r="AZ114">
        <f t="shared" si="109"/>
        <v>0.19047619047619047</v>
      </c>
      <c r="BB114">
        <f t="shared" si="110"/>
        <v>0.68085106382978722</v>
      </c>
      <c r="BC114">
        <f t="shared" si="111"/>
        <v>0.10638297872340424</v>
      </c>
      <c r="BD114">
        <f t="shared" si="112"/>
        <v>0.21276595744680848</v>
      </c>
      <c r="BF114" t="str">
        <f t="shared" si="88"/>
        <v>Price</v>
      </c>
      <c r="BG114">
        <f t="shared" si="113"/>
        <v>3.5</v>
      </c>
      <c r="BI114">
        <f t="shared" si="114"/>
        <v>3.5</v>
      </c>
      <c r="BJ114" t="str">
        <f t="shared" si="115"/>
        <v>Super Bowl</v>
      </c>
      <c r="BK114" t="str">
        <f t="shared" si="116"/>
        <v>A</v>
      </c>
    </row>
    <row r="115" spans="8:63">
      <c r="H115">
        <v>108</v>
      </c>
      <c r="I115">
        <v>1</v>
      </c>
      <c r="J115">
        <v>2</v>
      </c>
      <c r="K115">
        <v>4</v>
      </c>
      <c r="L115">
        <v>7</v>
      </c>
      <c r="M115">
        <v>11</v>
      </c>
      <c r="N115">
        <v>3</v>
      </c>
      <c r="O115">
        <v>6</v>
      </c>
      <c r="P115">
        <v>9</v>
      </c>
      <c r="Q115">
        <v>13</v>
      </c>
      <c r="R115">
        <v>16</v>
      </c>
      <c r="S115">
        <v>5</v>
      </c>
      <c r="T115">
        <v>8</v>
      </c>
      <c r="U115">
        <v>12</v>
      </c>
      <c r="V115">
        <v>15</v>
      </c>
      <c r="W115">
        <v>18</v>
      </c>
      <c r="X115">
        <v>10</v>
      </c>
      <c r="Y115">
        <v>14</v>
      </c>
      <c r="Z115">
        <v>17</v>
      </c>
      <c r="AA115">
        <v>19</v>
      </c>
      <c r="AB115">
        <v>20</v>
      </c>
      <c r="AD115">
        <f t="shared" si="89"/>
        <v>19</v>
      </c>
      <c r="AE115">
        <f t="shared" si="90"/>
        <v>30</v>
      </c>
      <c r="AF115">
        <f t="shared" si="91"/>
        <v>42</v>
      </c>
      <c r="AG115">
        <f t="shared" si="92"/>
        <v>54</v>
      </c>
      <c r="AH115">
        <f t="shared" si="93"/>
        <v>65</v>
      </c>
      <c r="AI115">
        <f t="shared" si="94"/>
        <v>72</v>
      </c>
      <c r="AJ115">
        <f t="shared" si="95"/>
        <v>138</v>
      </c>
      <c r="AK115">
        <f t="shared" si="96"/>
        <v>127</v>
      </c>
      <c r="AL115">
        <f t="shared" si="97"/>
        <v>83</v>
      </c>
      <c r="AN115" s="67">
        <f t="shared" si="98"/>
        <v>0</v>
      </c>
      <c r="AO115" s="67">
        <f t="shared" si="99"/>
        <v>9.2436974789915971E-2</v>
      </c>
      <c r="AP115" s="67">
        <f t="shared" si="100"/>
        <v>0.19327731092436976</v>
      </c>
      <c r="AQ115" s="67">
        <f t="shared" si="101"/>
        <v>0.29411764705882354</v>
      </c>
      <c r="AR115" s="67">
        <f t="shared" si="102"/>
        <v>0.38655462184873951</v>
      </c>
      <c r="AS115" s="67">
        <f t="shared" si="103"/>
        <v>0.44537815126050423</v>
      </c>
      <c r="AT115" s="67">
        <f t="shared" si="104"/>
        <v>1</v>
      </c>
      <c r="AU115" s="67">
        <f t="shared" si="105"/>
        <v>0.90756302521008403</v>
      </c>
      <c r="AV115" s="67">
        <f t="shared" si="106"/>
        <v>0.53781512605042014</v>
      </c>
      <c r="AX115">
        <f t="shared" si="107"/>
        <v>0.38655462184873951</v>
      </c>
      <c r="AY115">
        <f t="shared" si="108"/>
        <v>0.55462184873949583</v>
      </c>
      <c r="AZ115">
        <f t="shared" si="109"/>
        <v>0.36974789915966388</v>
      </c>
      <c r="BB115">
        <f t="shared" si="110"/>
        <v>0.29487179487179488</v>
      </c>
      <c r="BC115">
        <f t="shared" si="111"/>
        <v>0.42307692307692307</v>
      </c>
      <c r="BD115">
        <f t="shared" si="112"/>
        <v>0.28205128205128205</v>
      </c>
      <c r="BF115" t="str">
        <f t="shared" si="88"/>
        <v xml:space="preserve">Brand </v>
      </c>
      <c r="BG115" t="str">
        <f t="shared" si="113"/>
        <v>Super Bowl</v>
      </c>
      <c r="BI115">
        <f t="shared" si="114"/>
        <v>3.5</v>
      </c>
      <c r="BJ115" t="str">
        <f t="shared" si="115"/>
        <v>Super Bowl</v>
      </c>
      <c r="BK115" t="str">
        <f t="shared" si="116"/>
        <v>A</v>
      </c>
    </row>
    <row r="116" spans="8:63">
      <c r="H116">
        <v>109</v>
      </c>
      <c r="I116">
        <v>5</v>
      </c>
      <c r="J116">
        <v>8</v>
      </c>
      <c r="K116">
        <v>12</v>
      </c>
      <c r="L116">
        <v>15</v>
      </c>
      <c r="M116">
        <v>18</v>
      </c>
      <c r="N116">
        <v>1</v>
      </c>
      <c r="O116">
        <v>2</v>
      </c>
      <c r="P116">
        <v>4</v>
      </c>
      <c r="Q116">
        <v>7</v>
      </c>
      <c r="R116">
        <v>10</v>
      </c>
      <c r="S116">
        <v>11</v>
      </c>
      <c r="T116">
        <v>14</v>
      </c>
      <c r="U116">
        <v>17</v>
      </c>
      <c r="V116">
        <v>19</v>
      </c>
      <c r="W116">
        <v>20</v>
      </c>
      <c r="X116">
        <v>3</v>
      </c>
      <c r="Y116">
        <v>6</v>
      </c>
      <c r="Z116">
        <v>9</v>
      </c>
      <c r="AA116">
        <v>13</v>
      </c>
      <c r="AB116">
        <v>16</v>
      </c>
      <c r="AD116">
        <f t="shared" si="89"/>
        <v>20</v>
      </c>
      <c r="AE116">
        <f t="shared" si="90"/>
        <v>30</v>
      </c>
      <c r="AF116">
        <f t="shared" si="91"/>
        <v>42</v>
      </c>
      <c r="AG116">
        <f t="shared" si="92"/>
        <v>54</v>
      </c>
      <c r="AH116">
        <f t="shared" si="93"/>
        <v>64</v>
      </c>
      <c r="AI116">
        <f t="shared" si="94"/>
        <v>82</v>
      </c>
      <c r="AJ116">
        <f t="shared" si="95"/>
        <v>128</v>
      </c>
      <c r="AK116">
        <f t="shared" si="96"/>
        <v>71</v>
      </c>
      <c r="AL116">
        <f t="shared" si="97"/>
        <v>139</v>
      </c>
      <c r="AN116" s="67">
        <f t="shared" si="98"/>
        <v>0</v>
      </c>
      <c r="AO116" s="67">
        <f t="shared" si="99"/>
        <v>8.4033613445378158E-2</v>
      </c>
      <c r="AP116" s="67">
        <f t="shared" si="100"/>
        <v>0.18487394957983194</v>
      </c>
      <c r="AQ116" s="67">
        <f t="shared" si="101"/>
        <v>0.2857142857142857</v>
      </c>
      <c r="AR116" s="67">
        <f t="shared" si="102"/>
        <v>0.36974789915966388</v>
      </c>
      <c r="AS116" s="67">
        <f t="shared" si="103"/>
        <v>0.52100840336134457</v>
      </c>
      <c r="AT116" s="67">
        <f t="shared" si="104"/>
        <v>0.90756302521008403</v>
      </c>
      <c r="AU116" s="67">
        <f t="shared" si="105"/>
        <v>0.42857142857142855</v>
      </c>
      <c r="AV116" s="67">
        <f t="shared" si="106"/>
        <v>1</v>
      </c>
      <c r="AX116">
        <f t="shared" si="107"/>
        <v>0.36974789915966388</v>
      </c>
      <c r="AY116">
        <f t="shared" si="108"/>
        <v>0.38655462184873945</v>
      </c>
      <c r="AZ116">
        <f t="shared" si="109"/>
        <v>0.5714285714285714</v>
      </c>
      <c r="BB116">
        <f t="shared" si="110"/>
        <v>0.27848101265822789</v>
      </c>
      <c r="BC116">
        <f t="shared" si="111"/>
        <v>0.29113924050632911</v>
      </c>
      <c r="BD116">
        <f t="shared" si="112"/>
        <v>0.43037974683544306</v>
      </c>
      <c r="BF116" t="str">
        <f t="shared" si="88"/>
        <v>Theme</v>
      </c>
      <c r="BG116" t="str">
        <f t="shared" si="113"/>
        <v>B</v>
      </c>
      <c r="BI116">
        <f t="shared" si="114"/>
        <v>3.5</v>
      </c>
      <c r="BJ116" t="str">
        <f t="shared" si="115"/>
        <v>Super Bowl</v>
      </c>
      <c r="BK116" t="str">
        <f t="shared" si="116"/>
        <v>B</v>
      </c>
    </row>
    <row r="117" spans="8:63">
      <c r="H117">
        <v>110</v>
      </c>
      <c r="I117">
        <v>1</v>
      </c>
      <c r="J117">
        <v>2</v>
      </c>
      <c r="K117">
        <v>4</v>
      </c>
      <c r="L117">
        <v>7</v>
      </c>
      <c r="M117">
        <v>10</v>
      </c>
      <c r="N117">
        <v>5</v>
      </c>
      <c r="O117">
        <v>8</v>
      </c>
      <c r="P117">
        <v>12</v>
      </c>
      <c r="Q117">
        <v>15</v>
      </c>
      <c r="R117">
        <v>18</v>
      </c>
      <c r="S117">
        <v>3</v>
      </c>
      <c r="T117">
        <v>6</v>
      </c>
      <c r="U117">
        <v>9</v>
      </c>
      <c r="V117">
        <v>13</v>
      </c>
      <c r="W117">
        <v>16</v>
      </c>
      <c r="X117">
        <v>11</v>
      </c>
      <c r="Y117">
        <v>14</v>
      </c>
      <c r="Z117">
        <v>17</v>
      </c>
      <c r="AA117">
        <v>19</v>
      </c>
      <c r="AB117">
        <v>20</v>
      </c>
      <c r="AD117">
        <f t="shared" si="89"/>
        <v>20</v>
      </c>
      <c r="AE117">
        <f t="shared" si="90"/>
        <v>30</v>
      </c>
      <c r="AF117">
        <f t="shared" si="91"/>
        <v>42</v>
      </c>
      <c r="AG117">
        <f t="shared" si="92"/>
        <v>54</v>
      </c>
      <c r="AH117">
        <f t="shared" si="93"/>
        <v>64</v>
      </c>
      <c r="AI117">
        <f t="shared" si="94"/>
        <v>82</v>
      </c>
      <c r="AJ117">
        <f t="shared" si="95"/>
        <v>128</v>
      </c>
      <c r="AK117">
        <f t="shared" si="96"/>
        <v>139</v>
      </c>
      <c r="AL117">
        <f t="shared" si="97"/>
        <v>71</v>
      </c>
      <c r="AN117" s="67">
        <f t="shared" si="98"/>
        <v>0</v>
      </c>
      <c r="AO117" s="67">
        <f t="shared" si="99"/>
        <v>8.4033613445378158E-2</v>
      </c>
      <c r="AP117" s="67">
        <f t="shared" si="100"/>
        <v>0.18487394957983194</v>
      </c>
      <c r="AQ117" s="67">
        <f t="shared" si="101"/>
        <v>0.2857142857142857</v>
      </c>
      <c r="AR117" s="67">
        <f t="shared" si="102"/>
        <v>0.36974789915966388</v>
      </c>
      <c r="AS117" s="67">
        <f t="shared" si="103"/>
        <v>0.52100840336134457</v>
      </c>
      <c r="AT117" s="67">
        <f t="shared" si="104"/>
        <v>0.90756302521008403</v>
      </c>
      <c r="AU117" s="67">
        <f t="shared" si="105"/>
        <v>1</v>
      </c>
      <c r="AV117" s="67">
        <f t="shared" si="106"/>
        <v>0.42857142857142855</v>
      </c>
      <c r="AX117">
        <f t="shared" si="107"/>
        <v>0.36974789915966388</v>
      </c>
      <c r="AY117">
        <f t="shared" si="108"/>
        <v>0.38655462184873945</v>
      </c>
      <c r="AZ117">
        <f t="shared" si="109"/>
        <v>0.5714285714285714</v>
      </c>
      <c r="BB117">
        <f t="shared" si="110"/>
        <v>0.27848101265822789</v>
      </c>
      <c r="BC117">
        <f t="shared" si="111"/>
        <v>0.29113924050632911</v>
      </c>
      <c r="BD117">
        <f t="shared" si="112"/>
        <v>0.43037974683544306</v>
      </c>
      <c r="BF117" t="str">
        <f t="shared" si="88"/>
        <v>Theme</v>
      </c>
      <c r="BG117" t="str">
        <f t="shared" si="113"/>
        <v>A</v>
      </c>
      <c r="BI117">
        <f t="shared" si="114"/>
        <v>3.5</v>
      </c>
      <c r="BJ117" t="str">
        <f t="shared" si="115"/>
        <v>Super Bowl</v>
      </c>
      <c r="BK117" t="str">
        <f t="shared" si="116"/>
        <v>A</v>
      </c>
    </row>
    <row r="118" spans="8:63">
      <c r="H118">
        <v>111</v>
      </c>
      <c r="I118">
        <v>4</v>
      </c>
      <c r="J118">
        <v>8</v>
      </c>
      <c r="K118">
        <v>12</v>
      </c>
      <c r="L118">
        <v>16</v>
      </c>
      <c r="M118">
        <v>20</v>
      </c>
      <c r="N118">
        <v>3</v>
      </c>
      <c r="O118">
        <v>7</v>
      </c>
      <c r="P118">
        <v>11</v>
      </c>
      <c r="Q118">
        <v>15</v>
      </c>
      <c r="R118">
        <v>19</v>
      </c>
      <c r="S118">
        <v>2</v>
      </c>
      <c r="T118">
        <v>6</v>
      </c>
      <c r="U118">
        <v>10</v>
      </c>
      <c r="V118">
        <v>14</v>
      </c>
      <c r="W118">
        <v>18</v>
      </c>
      <c r="X118">
        <v>1</v>
      </c>
      <c r="Y118">
        <v>5</v>
      </c>
      <c r="Z118">
        <v>9</v>
      </c>
      <c r="AA118">
        <v>13</v>
      </c>
      <c r="AB118">
        <v>17</v>
      </c>
      <c r="AD118">
        <f t="shared" si="89"/>
        <v>10</v>
      </c>
      <c r="AE118">
        <f t="shared" si="90"/>
        <v>26</v>
      </c>
      <c r="AF118">
        <f t="shared" si="91"/>
        <v>42</v>
      </c>
      <c r="AG118">
        <f t="shared" si="92"/>
        <v>58</v>
      </c>
      <c r="AH118">
        <f t="shared" si="93"/>
        <v>74</v>
      </c>
      <c r="AI118">
        <f t="shared" si="94"/>
        <v>115</v>
      </c>
      <c r="AJ118">
        <f t="shared" si="95"/>
        <v>95</v>
      </c>
      <c r="AK118">
        <f t="shared" si="96"/>
        <v>100</v>
      </c>
      <c r="AL118">
        <f t="shared" si="97"/>
        <v>110</v>
      </c>
      <c r="AN118" s="67">
        <f t="shared" si="98"/>
        <v>0</v>
      </c>
      <c r="AO118" s="67">
        <f t="shared" si="99"/>
        <v>0.15238095238095239</v>
      </c>
      <c r="AP118" s="67">
        <f t="shared" si="100"/>
        <v>0.30476190476190479</v>
      </c>
      <c r="AQ118" s="67">
        <f t="shared" si="101"/>
        <v>0.45714285714285713</v>
      </c>
      <c r="AR118" s="67">
        <f t="shared" si="102"/>
        <v>0.60952380952380958</v>
      </c>
      <c r="AS118" s="67">
        <f t="shared" si="103"/>
        <v>1</v>
      </c>
      <c r="AT118" s="67">
        <f t="shared" si="104"/>
        <v>0.80952380952380953</v>
      </c>
      <c r="AU118" s="67">
        <f t="shared" si="105"/>
        <v>0.8571428571428571</v>
      </c>
      <c r="AV118" s="67">
        <f t="shared" si="106"/>
        <v>0.95238095238095233</v>
      </c>
      <c r="AX118">
        <f t="shared" si="107"/>
        <v>0.60952380952380958</v>
      </c>
      <c r="AY118">
        <f t="shared" si="108"/>
        <v>0.19047619047619047</v>
      </c>
      <c r="AZ118">
        <f t="shared" si="109"/>
        <v>9.5238095238095233E-2</v>
      </c>
      <c r="BB118">
        <f t="shared" si="110"/>
        <v>0.68085106382978722</v>
      </c>
      <c r="BC118">
        <f t="shared" si="111"/>
        <v>0.21276595744680848</v>
      </c>
      <c r="BD118">
        <f t="shared" si="112"/>
        <v>0.10638297872340424</v>
      </c>
      <c r="BF118" t="str">
        <f t="shared" si="88"/>
        <v>Price</v>
      </c>
      <c r="BG118">
        <f t="shared" si="113"/>
        <v>3.5</v>
      </c>
      <c r="BI118">
        <f t="shared" si="114"/>
        <v>3.5</v>
      </c>
      <c r="BJ118" t="str">
        <f t="shared" si="115"/>
        <v>Tennis</v>
      </c>
      <c r="BK118" t="str">
        <f t="shared" si="116"/>
        <v>B</v>
      </c>
    </row>
    <row r="119" spans="8:63">
      <c r="H119">
        <v>112</v>
      </c>
      <c r="I119">
        <v>5</v>
      </c>
      <c r="J119">
        <v>8</v>
      </c>
      <c r="K119">
        <v>11</v>
      </c>
      <c r="L119">
        <v>14</v>
      </c>
      <c r="M119">
        <v>17</v>
      </c>
      <c r="N119">
        <v>12</v>
      </c>
      <c r="O119">
        <v>15</v>
      </c>
      <c r="P119">
        <v>18</v>
      </c>
      <c r="Q119">
        <v>19</v>
      </c>
      <c r="R119">
        <v>20</v>
      </c>
      <c r="S119">
        <v>1</v>
      </c>
      <c r="T119">
        <v>2</v>
      </c>
      <c r="U119">
        <v>3</v>
      </c>
      <c r="V119">
        <v>6</v>
      </c>
      <c r="W119">
        <v>9</v>
      </c>
      <c r="X119">
        <v>5</v>
      </c>
      <c r="Y119">
        <v>8</v>
      </c>
      <c r="Z119">
        <v>11</v>
      </c>
      <c r="AA119">
        <v>14</v>
      </c>
      <c r="AB119">
        <v>17</v>
      </c>
      <c r="AD119">
        <f t="shared" si="89"/>
        <v>23</v>
      </c>
      <c r="AE119">
        <f t="shared" si="90"/>
        <v>33</v>
      </c>
      <c r="AF119">
        <f t="shared" si="91"/>
        <v>43</v>
      </c>
      <c r="AG119">
        <f t="shared" si="92"/>
        <v>53</v>
      </c>
      <c r="AH119">
        <f t="shared" si="93"/>
        <v>63</v>
      </c>
      <c r="AI119">
        <f t="shared" si="94"/>
        <v>139</v>
      </c>
      <c r="AJ119">
        <f t="shared" si="95"/>
        <v>76</v>
      </c>
      <c r="AK119">
        <f t="shared" si="96"/>
        <v>139</v>
      </c>
      <c r="AL119">
        <f t="shared" si="97"/>
        <v>76</v>
      </c>
      <c r="AN119" s="67">
        <f t="shared" si="98"/>
        <v>0</v>
      </c>
      <c r="AO119" s="67">
        <f t="shared" si="99"/>
        <v>8.6206896551724144E-2</v>
      </c>
      <c r="AP119" s="67">
        <f t="shared" si="100"/>
        <v>0.17241379310344829</v>
      </c>
      <c r="AQ119" s="67">
        <f t="shared" si="101"/>
        <v>0.25862068965517243</v>
      </c>
      <c r="AR119" s="67">
        <f t="shared" si="102"/>
        <v>0.34482758620689657</v>
      </c>
      <c r="AS119" s="67">
        <f t="shared" si="103"/>
        <v>1</v>
      </c>
      <c r="AT119" s="67">
        <f t="shared" si="104"/>
        <v>0.45689655172413796</v>
      </c>
      <c r="AU119" s="67">
        <f t="shared" si="105"/>
        <v>1</v>
      </c>
      <c r="AV119" s="67">
        <f t="shared" si="106"/>
        <v>0.45689655172413796</v>
      </c>
      <c r="AX119">
        <f t="shared" si="107"/>
        <v>0.34482758620689657</v>
      </c>
      <c r="AY119">
        <f t="shared" si="108"/>
        <v>0.5431034482758621</v>
      </c>
      <c r="AZ119">
        <f t="shared" si="109"/>
        <v>0.5431034482758621</v>
      </c>
      <c r="BB119">
        <f t="shared" si="110"/>
        <v>0.24096385542168675</v>
      </c>
      <c r="BC119">
        <f t="shared" si="111"/>
        <v>0.37951807228915663</v>
      </c>
      <c r="BD119">
        <f t="shared" si="112"/>
        <v>0.37951807228915663</v>
      </c>
      <c r="BF119" t="str">
        <f t="shared" ref="BF119:BF139" si="117">INDEX($BB$7:$BD$7,,MATCH(MAX(BB119:BD119),BB119:BD119,0))</f>
        <v xml:space="preserve">Brand </v>
      </c>
      <c r="BG119" t="str">
        <f t="shared" si="113"/>
        <v>Tennis</v>
      </c>
      <c r="BI119">
        <f t="shared" si="114"/>
        <v>3.5</v>
      </c>
      <c r="BJ119" t="str">
        <f t="shared" si="115"/>
        <v>Tennis</v>
      </c>
      <c r="BK119" t="str">
        <f t="shared" si="116"/>
        <v>A</v>
      </c>
    </row>
    <row r="120" spans="8:63">
      <c r="H120">
        <v>113</v>
      </c>
      <c r="I120">
        <v>3</v>
      </c>
      <c r="J120">
        <v>5</v>
      </c>
      <c r="K120">
        <v>8</v>
      </c>
      <c r="L120">
        <v>11</v>
      </c>
      <c r="M120">
        <v>14</v>
      </c>
      <c r="N120">
        <v>12</v>
      </c>
      <c r="O120">
        <v>15</v>
      </c>
      <c r="P120">
        <v>17</v>
      </c>
      <c r="Q120">
        <v>19</v>
      </c>
      <c r="R120">
        <v>20</v>
      </c>
      <c r="S120">
        <v>1</v>
      </c>
      <c r="T120">
        <v>2</v>
      </c>
      <c r="U120">
        <v>4</v>
      </c>
      <c r="V120">
        <v>6</v>
      </c>
      <c r="W120">
        <v>9</v>
      </c>
      <c r="X120">
        <v>7</v>
      </c>
      <c r="Y120">
        <v>10</v>
      </c>
      <c r="Z120">
        <v>13</v>
      </c>
      <c r="AA120">
        <v>16</v>
      </c>
      <c r="AB120">
        <v>18</v>
      </c>
      <c r="AD120">
        <f t="shared" si="89"/>
        <v>23</v>
      </c>
      <c r="AE120">
        <f t="shared" si="90"/>
        <v>32</v>
      </c>
      <c r="AF120">
        <f t="shared" si="91"/>
        <v>42</v>
      </c>
      <c r="AG120">
        <f t="shared" si="92"/>
        <v>52</v>
      </c>
      <c r="AH120">
        <f t="shared" si="93"/>
        <v>61</v>
      </c>
      <c r="AI120">
        <f t="shared" si="94"/>
        <v>124</v>
      </c>
      <c r="AJ120">
        <f t="shared" si="95"/>
        <v>86</v>
      </c>
      <c r="AK120">
        <f t="shared" si="96"/>
        <v>147</v>
      </c>
      <c r="AL120">
        <f t="shared" si="97"/>
        <v>63</v>
      </c>
      <c r="AN120" s="67">
        <f t="shared" si="98"/>
        <v>0</v>
      </c>
      <c r="AO120" s="67">
        <f t="shared" si="99"/>
        <v>7.2580645161290328E-2</v>
      </c>
      <c r="AP120" s="67">
        <f t="shared" si="100"/>
        <v>0.15322580645161291</v>
      </c>
      <c r="AQ120" s="67">
        <f t="shared" si="101"/>
        <v>0.23387096774193547</v>
      </c>
      <c r="AR120" s="67">
        <f t="shared" si="102"/>
        <v>0.30645161290322581</v>
      </c>
      <c r="AS120" s="67">
        <f t="shared" si="103"/>
        <v>0.81451612903225812</v>
      </c>
      <c r="AT120" s="67">
        <f t="shared" si="104"/>
        <v>0.50806451612903225</v>
      </c>
      <c r="AU120" s="67">
        <f t="shared" si="105"/>
        <v>1</v>
      </c>
      <c r="AV120" s="67">
        <f t="shared" si="106"/>
        <v>0.32258064516129031</v>
      </c>
      <c r="AX120">
        <f t="shared" si="107"/>
        <v>0.30645161290322581</v>
      </c>
      <c r="AY120">
        <f t="shared" si="108"/>
        <v>0.30645161290322587</v>
      </c>
      <c r="AZ120">
        <f t="shared" si="109"/>
        <v>0.67741935483870974</v>
      </c>
      <c r="BB120">
        <f t="shared" si="110"/>
        <v>0.23749999999999996</v>
      </c>
      <c r="BC120">
        <f t="shared" si="111"/>
        <v>0.23750000000000002</v>
      </c>
      <c r="BD120">
        <f t="shared" si="112"/>
        <v>0.52500000000000002</v>
      </c>
      <c r="BF120" t="str">
        <f t="shared" si="117"/>
        <v>Theme</v>
      </c>
      <c r="BG120" t="str">
        <f t="shared" si="113"/>
        <v>A</v>
      </c>
      <c r="BI120">
        <f t="shared" si="114"/>
        <v>3.5</v>
      </c>
      <c r="BJ120" t="str">
        <f t="shared" si="115"/>
        <v>Tennis</v>
      </c>
      <c r="BK120" t="str">
        <f t="shared" si="116"/>
        <v>A</v>
      </c>
    </row>
    <row r="121" spans="8:63">
      <c r="H121">
        <v>114</v>
      </c>
      <c r="I121">
        <v>2</v>
      </c>
      <c r="J121">
        <v>6</v>
      </c>
      <c r="K121">
        <v>10</v>
      </c>
      <c r="L121">
        <v>14</v>
      </c>
      <c r="M121">
        <v>18</v>
      </c>
      <c r="N121">
        <v>4</v>
      </c>
      <c r="O121">
        <v>8</v>
      </c>
      <c r="P121">
        <v>12</v>
      </c>
      <c r="Q121">
        <v>16</v>
      </c>
      <c r="R121">
        <v>20</v>
      </c>
      <c r="S121">
        <v>1</v>
      </c>
      <c r="T121">
        <v>5</v>
      </c>
      <c r="U121">
        <v>9</v>
      </c>
      <c r="V121">
        <v>13</v>
      </c>
      <c r="W121">
        <v>17</v>
      </c>
      <c r="X121">
        <v>3</v>
      </c>
      <c r="Y121">
        <v>7</v>
      </c>
      <c r="Z121">
        <v>11</v>
      </c>
      <c r="AA121">
        <v>15</v>
      </c>
      <c r="AB121">
        <v>19</v>
      </c>
      <c r="AD121">
        <f t="shared" si="89"/>
        <v>10</v>
      </c>
      <c r="AE121">
        <f t="shared" si="90"/>
        <v>26</v>
      </c>
      <c r="AF121">
        <f t="shared" si="91"/>
        <v>42</v>
      </c>
      <c r="AG121">
        <f t="shared" si="92"/>
        <v>58</v>
      </c>
      <c r="AH121">
        <f t="shared" si="93"/>
        <v>74</v>
      </c>
      <c r="AI121">
        <f t="shared" si="94"/>
        <v>110</v>
      </c>
      <c r="AJ121">
        <f t="shared" si="95"/>
        <v>100</v>
      </c>
      <c r="AK121">
        <f t="shared" si="96"/>
        <v>115</v>
      </c>
      <c r="AL121">
        <f t="shared" si="97"/>
        <v>95</v>
      </c>
      <c r="AN121" s="67">
        <f t="shared" si="98"/>
        <v>0</v>
      </c>
      <c r="AO121" s="67">
        <f t="shared" si="99"/>
        <v>0.15238095238095239</v>
      </c>
      <c r="AP121" s="67">
        <f t="shared" si="100"/>
        <v>0.30476190476190479</v>
      </c>
      <c r="AQ121" s="67">
        <f t="shared" si="101"/>
        <v>0.45714285714285713</v>
      </c>
      <c r="AR121" s="67">
        <f t="shared" si="102"/>
        <v>0.60952380952380958</v>
      </c>
      <c r="AS121" s="67">
        <f t="shared" si="103"/>
        <v>0.95238095238095233</v>
      </c>
      <c r="AT121" s="67">
        <f t="shared" si="104"/>
        <v>0.8571428571428571</v>
      </c>
      <c r="AU121" s="67">
        <f t="shared" si="105"/>
        <v>1</v>
      </c>
      <c r="AV121" s="67">
        <f t="shared" si="106"/>
        <v>0.80952380952380953</v>
      </c>
      <c r="AX121">
        <f t="shared" si="107"/>
        <v>0.60952380952380958</v>
      </c>
      <c r="AY121">
        <f t="shared" si="108"/>
        <v>9.5238095238095233E-2</v>
      </c>
      <c r="AZ121">
        <f t="shared" si="109"/>
        <v>0.19047619047619047</v>
      </c>
      <c r="BB121">
        <f t="shared" si="110"/>
        <v>0.68085106382978722</v>
      </c>
      <c r="BC121">
        <f t="shared" si="111"/>
        <v>0.10638297872340424</v>
      </c>
      <c r="BD121">
        <f t="shared" si="112"/>
        <v>0.21276595744680848</v>
      </c>
      <c r="BF121" t="str">
        <f t="shared" si="117"/>
        <v>Price</v>
      </c>
      <c r="BG121">
        <f t="shared" si="113"/>
        <v>3.5</v>
      </c>
      <c r="BI121">
        <f t="shared" si="114"/>
        <v>3.5</v>
      </c>
      <c r="BJ121" t="str">
        <f t="shared" si="115"/>
        <v>Tennis</v>
      </c>
      <c r="BK121" t="str">
        <f t="shared" si="116"/>
        <v>A</v>
      </c>
    </row>
    <row r="122" spans="8:63">
      <c r="H122">
        <v>115</v>
      </c>
      <c r="I122">
        <v>5</v>
      </c>
      <c r="J122">
        <v>8</v>
      </c>
      <c r="K122">
        <v>10</v>
      </c>
      <c r="L122">
        <v>12</v>
      </c>
      <c r="M122">
        <v>15</v>
      </c>
      <c r="N122">
        <v>1</v>
      </c>
      <c r="O122">
        <v>2</v>
      </c>
      <c r="P122">
        <v>3</v>
      </c>
      <c r="Q122">
        <v>5</v>
      </c>
      <c r="R122">
        <v>8</v>
      </c>
      <c r="S122">
        <v>14</v>
      </c>
      <c r="T122">
        <v>17</v>
      </c>
      <c r="U122">
        <v>18</v>
      </c>
      <c r="V122">
        <v>19</v>
      </c>
      <c r="W122">
        <v>20</v>
      </c>
      <c r="X122">
        <v>6</v>
      </c>
      <c r="Y122">
        <v>9</v>
      </c>
      <c r="Z122">
        <v>11</v>
      </c>
      <c r="AA122">
        <v>14</v>
      </c>
      <c r="AB122">
        <v>17</v>
      </c>
      <c r="AD122">
        <f t="shared" si="89"/>
        <v>26</v>
      </c>
      <c r="AE122">
        <f t="shared" si="90"/>
        <v>36</v>
      </c>
      <c r="AF122">
        <f t="shared" si="91"/>
        <v>42</v>
      </c>
      <c r="AG122">
        <f t="shared" si="92"/>
        <v>50</v>
      </c>
      <c r="AH122">
        <f t="shared" si="93"/>
        <v>60</v>
      </c>
      <c r="AI122">
        <f t="shared" si="94"/>
        <v>69</v>
      </c>
      <c r="AJ122">
        <f t="shared" si="95"/>
        <v>145</v>
      </c>
      <c r="AK122">
        <f t="shared" si="96"/>
        <v>76</v>
      </c>
      <c r="AL122">
        <f t="shared" si="97"/>
        <v>138</v>
      </c>
      <c r="AN122" s="67">
        <f t="shared" si="98"/>
        <v>0</v>
      </c>
      <c r="AO122" s="67">
        <f t="shared" si="99"/>
        <v>8.4033613445378158E-2</v>
      </c>
      <c r="AP122" s="67">
        <f t="shared" si="100"/>
        <v>0.13445378151260504</v>
      </c>
      <c r="AQ122" s="67">
        <f t="shared" si="101"/>
        <v>0.20168067226890757</v>
      </c>
      <c r="AR122" s="67">
        <f t="shared" si="102"/>
        <v>0.2857142857142857</v>
      </c>
      <c r="AS122" s="67">
        <f t="shared" si="103"/>
        <v>0.36134453781512604</v>
      </c>
      <c r="AT122" s="67">
        <f t="shared" si="104"/>
        <v>1</v>
      </c>
      <c r="AU122" s="67">
        <f t="shared" si="105"/>
        <v>0.42016806722689076</v>
      </c>
      <c r="AV122" s="67">
        <f t="shared" si="106"/>
        <v>0.94117647058823528</v>
      </c>
      <c r="AX122">
        <f t="shared" si="107"/>
        <v>0.2857142857142857</v>
      </c>
      <c r="AY122">
        <f t="shared" si="108"/>
        <v>0.6386554621848739</v>
      </c>
      <c r="AZ122">
        <f t="shared" si="109"/>
        <v>0.52100840336134446</v>
      </c>
      <c r="BB122">
        <f t="shared" si="110"/>
        <v>0.19767441860465118</v>
      </c>
      <c r="BC122">
        <f t="shared" si="111"/>
        <v>0.44186046511627913</v>
      </c>
      <c r="BD122">
        <f t="shared" si="112"/>
        <v>0.3604651162790698</v>
      </c>
      <c r="BF122" t="str">
        <f t="shared" si="117"/>
        <v xml:space="preserve">Brand </v>
      </c>
      <c r="BG122" t="str">
        <f t="shared" si="113"/>
        <v>Super Bowl</v>
      </c>
      <c r="BI122">
        <f t="shared" si="114"/>
        <v>3.5</v>
      </c>
      <c r="BJ122" t="str">
        <f t="shared" si="115"/>
        <v>Super Bowl</v>
      </c>
      <c r="BK122" t="str">
        <f t="shared" si="116"/>
        <v>B</v>
      </c>
    </row>
    <row r="123" spans="8:63">
      <c r="H123">
        <v>116</v>
      </c>
      <c r="I123">
        <v>5</v>
      </c>
      <c r="J123">
        <v>8</v>
      </c>
      <c r="K123">
        <v>11</v>
      </c>
      <c r="L123">
        <v>14</v>
      </c>
      <c r="M123">
        <v>17</v>
      </c>
      <c r="N123">
        <v>1</v>
      </c>
      <c r="O123">
        <v>2</v>
      </c>
      <c r="P123">
        <v>3</v>
      </c>
      <c r="Q123">
        <v>6</v>
      </c>
      <c r="R123">
        <v>9</v>
      </c>
      <c r="S123">
        <v>12</v>
      </c>
      <c r="T123">
        <v>15</v>
      </c>
      <c r="U123">
        <v>18</v>
      </c>
      <c r="V123">
        <v>19</v>
      </c>
      <c r="W123">
        <v>20</v>
      </c>
      <c r="X123">
        <v>4</v>
      </c>
      <c r="Y123">
        <v>7</v>
      </c>
      <c r="Z123">
        <v>10</v>
      </c>
      <c r="AA123">
        <v>13</v>
      </c>
      <c r="AB123">
        <v>16</v>
      </c>
      <c r="AD123">
        <f t="shared" si="89"/>
        <v>22</v>
      </c>
      <c r="AE123">
        <f t="shared" si="90"/>
        <v>32</v>
      </c>
      <c r="AF123">
        <f t="shared" si="91"/>
        <v>42</v>
      </c>
      <c r="AG123">
        <f t="shared" si="92"/>
        <v>52</v>
      </c>
      <c r="AH123">
        <f t="shared" si="93"/>
        <v>62</v>
      </c>
      <c r="AI123">
        <f t="shared" si="94"/>
        <v>76</v>
      </c>
      <c r="AJ123">
        <f t="shared" si="95"/>
        <v>134</v>
      </c>
      <c r="AK123">
        <f t="shared" si="96"/>
        <v>71</v>
      </c>
      <c r="AL123">
        <f t="shared" si="97"/>
        <v>139</v>
      </c>
      <c r="AN123" s="67">
        <f t="shared" si="98"/>
        <v>0</v>
      </c>
      <c r="AO123" s="67">
        <f t="shared" si="99"/>
        <v>8.5470085470085472E-2</v>
      </c>
      <c r="AP123" s="67">
        <f t="shared" si="100"/>
        <v>0.17094017094017094</v>
      </c>
      <c r="AQ123" s="67">
        <f t="shared" si="101"/>
        <v>0.25641025641025639</v>
      </c>
      <c r="AR123" s="67">
        <f t="shared" si="102"/>
        <v>0.34188034188034189</v>
      </c>
      <c r="AS123" s="67">
        <f t="shared" si="103"/>
        <v>0.46153846153846156</v>
      </c>
      <c r="AT123" s="67">
        <f t="shared" si="104"/>
        <v>0.95726495726495731</v>
      </c>
      <c r="AU123" s="67">
        <f t="shared" si="105"/>
        <v>0.41880341880341881</v>
      </c>
      <c r="AV123" s="67">
        <f t="shared" si="106"/>
        <v>1</v>
      </c>
      <c r="AX123">
        <f t="shared" si="107"/>
        <v>0.34188034188034189</v>
      </c>
      <c r="AY123">
        <f t="shared" si="108"/>
        <v>0.49572649572649574</v>
      </c>
      <c r="AZ123">
        <f t="shared" si="109"/>
        <v>0.58119658119658113</v>
      </c>
      <c r="BB123">
        <f t="shared" si="110"/>
        <v>0.24096385542168677</v>
      </c>
      <c r="BC123">
        <f t="shared" si="111"/>
        <v>0.34939759036144585</v>
      </c>
      <c r="BD123">
        <f t="shared" si="112"/>
        <v>0.40963855421686746</v>
      </c>
      <c r="BF123" t="str">
        <f t="shared" si="117"/>
        <v>Theme</v>
      </c>
      <c r="BG123" t="str">
        <f t="shared" si="113"/>
        <v>B</v>
      </c>
      <c r="BI123">
        <f t="shared" si="114"/>
        <v>3.5</v>
      </c>
      <c r="BJ123" t="str">
        <f t="shared" si="115"/>
        <v>Super Bowl</v>
      </c>
      <c r="BK123" t="str">
        <f t="shared" si="116"/>
        <v>B</v>
      </c>
    </row>
    <row r="124" spans="8:63">
      <c r="H124">
        <v>117</v>
      </c>
      <c r="I124">
        <v>4</v>
      </c>
      <c r="J124">
        <v>7</v>
      </c>
      <c r="K124">
        <v>10</v>
      </c>
      <c r="L124">
        <v>13</v>
      </c>
      <c r="M124">
        <v>16</v>
      </c>
      <c r="N124">
        <v>12</v>
      </c>
      <c r="O124">
        <v>15</v>
      </c>
      <c r="P124">
        <v>18</v>
      </c>
      <c r="Q124">
        <v>19</v>
      </c>
      <c r="R124">
        <v>20</v>
      </c>
      <c r="S124">
        <v>1</v>
      </c>
      <c r="T124">
        <v>2</v>
      </c>
      <c r="U124">
        <v>4</v>
      </c>
      <c r="V124">
        <v>7</v>
      </c>
      <c r="W124">
        <v>10</v>
      </c>
      <c r="X124">
        <v>5</v>
      </c>
      <c r="Y124">
        <v>8</v>
      </c>
      <c r="Z124">
        <v>12</v>
      </c>
      <c r="AA124">
        <v>15</v>
      </c>
      <c r="AB124">
        <v>18</v>
      </c>
      <c r="AD124">
        <f t="shared" si="89"/>
        <v>22</v>
      </c>
      <c r="AE124">
        <f t="shared" si="90"/>
        <v>32</v>
      </c>
      <c r="AF124">
        <f t="shared" si="91"/>
        <v>44</v>
      </c>
      <c r="AG124">
        <f t="shared" si="92"/>
        <v>54</v>
      </c>
      <c r="AH124">
        <f t="shared" si="93"/>
        <v>64</v>
      </c>
      <c r="AI124">
        <f t="shared" si="94"/>
        <v>134</v>
      </c>
      <c r="AJ124">
        <f t="shared" si="95"/>
        <v>82</v>
      </c>
      <c r="AK124">
        <f t="shared" si="96"/>
        <v>142</v>
      </c>
      <c r="AL124">
        <f t="shared" si="97"/>
        <v>74</v>
      </c>
      <c r="AN124" s="67">
        <f t="shared" si="98"/>
        <v>0</v>
      </c>
      <c r="AO124" s="67">
        <f t="shared" si="99"/>
        <v>8.3333333333333329E-2</v>
      </c>
      <c r="AP124" s="67">
        <f t="shared" si="100"/>
        <v>0.18333333333333332</v>
      </c>
      <c r="AQ124" s="67">
        <f t="shared" si="101"/>
        <v>0.26666666666666666</v>
      </c>
      <c r="AR124" s="67">
        <f t="shared" si="102"/>
        <v>0.35</v>
      </c>
      <c r="AS124" s="67">
        <f t="shared" si="103"/>
        <v>0.93333333333333335</v>
      </c>
      <c r="AT124" s="67">
        <f t="shared" si="104"/>
        <v>0.5</v>
      </c>
      <c r="AU124" s="67">
        <f t="shared" si="105"/>
        <v>1</v>
      </c>
      <c r="AV124" s="67">
        <f t="shared" si="106"/>
        <v>0.43333333333333335</v>
      </c>
      <c r="AX124">
        <f t="shared" si="107"/>
        <v>0.35</v>
      </c>
      <c r="AY124">
        <f t="shared" si="108"/>
        <v>0.43333333333333335</v>
      </c>
      <c r="AZ124">
        <f t="shared" si="109"/>
        <v>0.56666666666666665</v>
      </c>
      <c r="BB124">
        <f t="shared" si="110"/>
        <v>0.25925925925925924</v>
      </c>
      <c r="BC124">
        <f t="shared" si="111"/>
        <v>0.32098765432098764</v>
      </c>
      <c r="BD124">
        <f t="shared" si="112"/>
        <v>0.41975308641975306</v>
      </c>
      <c r="BF124" t="str">
        <f t="shared" si="117"/>
        <v>Theme</v>
      </c>
      <c r="BG124" t="str">
        <f t="shared" si="113"/>
        <v>A</v>
      </c>
      <c r="BI124">
        <f t="shared" si="114"/>
        <v>3.5</v>
      </c>
      <c r="BJ124" t="str">
        <f t="shared" si="115"/>
        <v>Tennis</v>
      </c>
      <c r="BK124" t="str">
        <f t="shared" si="116"/>
        <v>A</v>
      </c>
    </row>
    <row r="125" spans="8:63">
      <c r="H125">
        <v>118</v>
      </c>
      <c r="I125">
        <v>5</v>
      </c>
      <c r="J125">
        <v>8</v>
      </c>
      <c r="K125">
        <v>12</v>
      </c>
      <c r="L125">
        <v>15</v>
      </c>
      <c r="M125">
        <v>18</v>
      </c>
      <c r="N125">
        <v>1</v>
      </c>
      <c r="O125">
        <v>2</v>
      </c>
      <c r="P125">
        <v>4</v>
      </c>
      <c r="Q125">
        <v>7</v>
      </c>
      <c r="R125">
        <v>11</v>
      </c>
      <c r="S125">
        <v>10</v>
      </c>
      <c r="T125">
        <v>14</v>
      </c>
      <c r="U125">
        <v>17</v>
      </c>
      <c r="V125">
        <v>19</v>
      </c>
      <c r="W125">
        <v>20</v>
      </c>
      <c r="X125">
        <v>3</v>
      </c>
      <c r="Y125">
        <v>6</v>
      </c>
      <c r="Z125">
        <v>9</v>
      </c>
      <c r="AA125">
        <v>13</v>
      </c>
      <c r="AB125">
        <v>16</v>
      </c>
      <c r="AD125">
        <f t="shared" si="89"/>
        <v>19</v>
      </c>
      <c r="AE125">
        <f t="shared" si="90"/>
        <v>30</v>
      </c>
      <c r="AF125">
        <f t="shared" si="91"/>
        <v>42</v>
      </c>
      <c r="AG125">
        <f t="shared" si="92"/>
        <v>54</v>
      </c>
      <c r="AH125">
        <f t="shared" si="93"/>
        <v>65</v>
      </c>
      <c r="AI125">
        <f t="shared" si="94"/>
        <v>83</v>
      </c>
      <c r="AJ125">
        <f t="shared" si="95"/>
        <v>127</v>
      </c>
      <c r="AK125">
        <f t="shared" si="96"/>
        <v>72</v>
      </c>
      <c r="AL125">
        <f t="shared" si="97"/>
        <v>138</v>
      </c>
      <c r="AN125" s="67">
        <f t="shared" si="98"/>
        <v>0</v>
      </c>
      <c r="AO125" s="67">
        <f t="shared" si="99"/>
        <v>9.2436974789915971E-2</v>
      </c>
      <c r="AP125" s="67">
        <f t="shared" si="100"/>
        <v>0.19327731092436976</v>
      </c>
      <c r="AQ125" s="67">
        <f t="shared" si="101"/>
        <v>0.29411764705882354</v>
      </c>
      <c r="AR125" s="67">
        <f t="shared" si="102"/>
        <v>0.38655462184873951</v>
      </c>
      <c r="AS125" s="67">
        <f t="shared" si="103"/>
        <v>0.53781512605042014</v>
      </c>
      <c r="AT125" s="67">
        <f t="shared" si="104"/>
        <v>0.90756302521008403</v>
      </c>
      <c r="AU125" s="67">
        <f t="shared" si="105"/>
        <v>0.44537815126050423</v>
      </c>
      <c r="AV125" s="67">
        <f t="shared" si="106"/>
        <v>1</v>
      </c>
      <c r="AX125">
        <f t="shared" si="107"/>
        <v>0.38655462184873951</v>
      </c>
      <c r="AY125">
        <f t="shared" si="108"/>
        <v>0.36974789915966388</v>
      </c>
      <c r="AZ125">
        <f t="shared" si="109"/>
        <v>0.55462184873949583</v>
      </c>
      <c r="BB125">
        <f t="shared" si="110"/>
        <v>0.29487179487179488</v>
      </c>
      <c r="BC125">
        <f t="shared" si="111"/>
        <v>0.28205128205128205</v>
      </c>
      <c r="BD125">
        <f t="shared" si="112"/>
        <v>0.42307692307692307</v>
      </c>
      <c r="BF125" t="str">
        <f t="shared" si="117"/>
        <v>Theme</v>
      </c>
      <c r="BG125" t="str">
        <f t="shared" si="113"/>
        <v>B</v>
      </c>
      <c r="BI125">
        <f t="shared" si="114"/>
        <v>3.5</v>
      </c>
      <c r="BJ125" t="str">
        <f t="shared" si="115"/>
        <v>Super Bowl</v>
      </c>
      <c r="BK125" t="str">
        <f t="shared" si="116"/>
        <v>B</v>
      </c>
    </row>
    <row r="126" spans="8:63">
      <c r="H126">
        <v>119</v>
      </c>
      <c r="I126">
        <v>6</v>
      </c>
      <c r="J126">
        <v>9</v>
      </c>
      <c r="K126">
        <v>13</v>
      </c>
      <c r="L126">
        <v>16</v>
      </c>
      <c r="M126">
        <v>18</v>
      </c>
      <c r="N126">
        <v>1</v>
      </c>
      <c r="O126">
        <v>2</v>
      </c>
      <c r="P126">
        <v>4</v>
      </c>
      <c r="Q126">
        <v>7</v>
      </c>
      <c r="R126">
        <v>10</v>
      </c>
      <c r="S126">
        <v>11</v>
      </c>
      <c r="T126">
        <v>14</v>
      </c>
      <c r="U126">
        <v>17</v>
      </c>
      <c r="V126">
        <v>19</v>
      </c>
      <c r="W126">
        <v>20</v>
      </c>
      <c r="X126">
        <v>3</v>
      </c>
      <c r="Y126">
        <v>5</v>
      </c>
      <c r="Z126">
        <v>8</v>
      </c>
      <c r="AA126">
        <v>12</v>
      </c>
      <c r="AB126">
        <v>15</v>
      </c>
      <c r="AD126">
        <f t="shared" si="89"/>
        <v>21</v>
      </c>
      <c r="AE126">
        <f t="shared" si="90"/>
        <v>30</v>
      </c>
      <c r="AF126">
        <f t="shared" si="91"/>
        <v>42</v>
      </c>
      <c r="AG126">
        <f t="shared" si="92"/>
        <v>54</v>
      </c>
      <c r="AH126">
        <f t="shared" si="93"/>
        <v>63</v>
      </c>
      <c r="AI126">
        <f t="shared" si="94"/>
        <v>86</v>
      </c>
      <c r="AJ126">
        <f t="shared" si="95"/>
        <v>124</v>
      </c>
      <c r="AK126">
        <f t="shared" si="96"/>
        <v>67</v>
      </c>
      <c r="AL126">
        <f t="shared" si="97"/>
        <v>143</v>
      </c>
      <c r="AN126" s="67">
        <f t="shared" si="98"/>
        <v>0</v>
      </c>
      <c r="AO126" s="67">
        <f t="shared" si="99"/>
        <v>7.3770491803278687E-2</v>
      </c>
      <c r="AP126" s="67">
        <f t="shared" si="100"/>
        <v>0.1721311475409836</v>
      </c>
      <c r="AQ126" s="67">
        <f t="shared" si="101"/>
        <v>0.27049180327868855</v>
      </c>
      <c r="AR126" s="67">
        <f t="shared" si="102"/>
        <v>0.34426229508196721</v>
      </c>
      <c r="AS126" s="67">
        <f t="shared" si="103"/>
        <v>0.53278688524590168</v>
      </c>
      <c r="AT126" s="67">
        <f t="shared" si="104"/>
        <v>0.84426229508196726</v>
      </c>
      <c r="AU126" s="67">
        <f t="shared" si="105"/>
        <v>0.37704918032786883</v>
      </c>
      <c r="AV126" s="67">
        <f t="shared" si="106"/>
        <v>1</v>
      </c>
      <c r="AX126">
        <f t="shared" si="107"/>
        <v>0.34426229508196721</v>
      </c>
      <c r="AY126">
        <f t="shared" si="108"/>
        <v>0.31147540983606559</v>
      </c>
      <c r="AZ126">
        <f t="shared" si="109"/>
        <v>0.62295081967213117</v>
      </c>
      <c r="BB126">
        <f t="shared" si="110"/>
        <v>0.26923076923076922</v>
      </c>
      <c r="BC126">
        <f t="shared" si="111"/>
        <v>0.24358974358974358</v>
      </c>
      <c r="BD126">
        <f t="shared" si="112"/>
        <v>0.48717948717948717</v>
      </c>
      <c r="BF126" t="str">
        <f t="shared" si="117"/>
        <v>Theme</v>
      </c>
      <c r="BG126" t="str">
        <f t="shared" si="113"/>
        <v>B</v>
      </c>
      <c r="BI126">
        <f t="shared" si="114"/>
        <v>3.5</v>
      </c>
      <c r="BJ126" t="str">
        <f t="shared" si="115"/>
        <v>Super Bowl</v>
      </c>
      <c r="BK126" t="str">
        <f t="shared" si="116"/>
        <v>B</v>
      </c>
    </row>
    <row r="127" spans="8:63">
      <c r="H127">
        <v>120</v>
      </c>
      <c r="I127">
        <v>4</v>
      </c>
      <c r="J127">
        <v>7</v>
      </c>
      <c r="K127">
        <v>10</v>
      </c>
      <c r="L127">
        <v>13</v>
      </c>
      <c r="M127">
        <v>16</v>
      </c>
      <c r="N127">
        <v>13</v>
      </c>
      <c r="O127">
        <v>16</v>
      </c>
      <c r="P127">
        <v>18</v>
      </c>
      <c r="Q127">
        <v>19</v>
      </c>
      <c r="R127">
        <v>20</v>
      </c>
      <c r="S127">
        <v>1</v>
      </c>
      <c r="T127">
        <v>2</v>
      </c>
      <c r="U127">
        <v>3</v>
      </c>
      <c r="V127">
        <v>6</v>
      </c>
      <c r="W127">
        <v>9</v>
      </c>
      <c r="X127">
        <v>6</v>
      </c>
      <c r="Y127">
        <v>9</v>
      </c>
      <c r="Z127">
        <v>11</v>
      </c>
      <c r="AA127">
        <v>14</v>
      </c>
      <c r="AB127">
        <v>17</v>
      </c>
      <c r="AD127">
        <f t="shared" si="89"/>
        <v>24</v>
      </c>
      <c r="AE127">
        <f t="shared" si="90"/>
        <v>34</v>
      </c>
      <c r="AF127">
        <f t="shared" si="91"/>
        <v>42</v>
      </c>
      <c r="AG127">
        <f t="shared" si="92"/>
        <v>52</v>
      </c>
      <c r="AH127">
        <f t="shared" si="93"/>
        <v>62</v>
      </c>
      <c r="AI127">
        <f t="shared" si="94"/>
        <v>136</v>
      </c>
      <c r="AJ127">
        <f t="shared" si="95"/>
        <v>78</v>
      </c>
      <c r="AK127">
        <f t="shared" si="96"/>
        <v>143</v>
      </c>
      <c r="AL127">
        <f t="shared" si="97"/>
        <v>71</v>
      </c>
      <c r="AN127" s="67">
        <f t="shared" si="98"/>
        <v>0</v>
      </c>
      <c r="AO127" s="67">
        <f t="shared" si="99"/>
        <v>8.4033613445378158E-2</v>
      </c>
      <c r="AP127" s="67">
        <f t="shared" si="100"/>
        <v>0.15126050420168066</v>
      </c>
      <c r="AQ127" s="67">
        <f t="shared" si="101"/>
        <v>0.23529411764705882</v>
      </c>
      <c r="AR127" s="67">
        <f t="shared" si="102"/>
        <v>0.31932773109243695</v>
      </c>
      <c r="AS127" s="67">
        <f t="shared" si="103"/>
        <v>0.94117647058823528</v>
      </c>
      <c r="AT127" s="67">
        <f t="shared" si="104"/>
        <v>0.45378151260504201</v>
      </c>
      <c r="AU127" s="67">
        <f t="shared" si="105"/>
        <v>1</v>
      </c>
      <c r="AV127" s="67">
        <f t="shared" si="106"/>
        <v>0.3949579831932773</v>
      </c>
      <c r="AX127">
        <f t="shared" si="107"/>
        <v>0.31932773109243695</v>
      </c>
      <c r="AY127">
        <f t="shared" si="108"/>
        <v>0.48739495798319327</v>
      </c>
      <c r="AZ127">
        <f t="shared" si="109"/>
        <v>0.60504201680672276</v>
      </c>
      <c r="BB127">
        <f t="shared" si="110"/>
        <v>0.22619047619047616</v>
      </c>
      <c r="BC127">
        <f t="shared" si="111"/>
        <v>0.34523809523809523</v>
      </c>
      <c r="BD127">
        <f t="shared" si="112"/>
        <v>0.4285714285714286</v>
      </c>
      <c r="BF127" t="str">
        <f t="shared" si="117"/>
        <v>Theme</v>
      </c>
      <c r="BG127" t="str">
        <f t="shared" si="113"/>
        <v>A</v>
      </c>
      <c r="BI127">
        <f t="shared" si="114"/>
        <v>3.5</v>
      </c>
      <c r="BJ127" t="str">
        <f t="shared" si="115"/>
        <v>Tennis</v>
      </c>
      <c r="BK127" t="str">
        <f t="shared" si="116"/>
        <v>A</v>
      </c>
    </row>
    <row r="128" spans="8:63">
      <c r="H128">
        <v>121</v>
      </c>
      <c r="I128">
        <v>12</v>
      </c>
      <c r="J128">
        <v>15</v>
      </c>
      <c r="K128">
        <v>18</v>
      </c>
      <c r="L128">
        <v>19</v>
      </c>
      <c r="M128">
        <v>20</v>
      </c>
      <c r="N128">
        <v>4</v>
      </c>
      <c r="O128">
        <v>7</v>
      </c>
      <c r="P128">
        <v>10</v>
      </c>
      <c r="Q128">
        <v>13</v>
      </c>
      <c r="R128">
        <v>16</v>
      </c>
      <c r="S128">
        <v>5</v>
      </c>
      <c r="T128">
        <v>8</v>
      </c>
      <c r="U128">
        <v>11</v>
      </c>
      <c r="V128">
        <v>14</v>
      </c>
      <c r="W128">
        <v>17</v>
      </c>
      <c r="X128">
        <v>1</v>
      </c>
      <c r="Y128">
        <v>2</v>
      </c>
      <c r="Z128">
        <v>3</v>
      </c>
      <c r="AA128">
        <v>6</v>
      </c>
      <c r="AB128">
        <v>9</v>
      </c>
      <c r="AD128">
        <f t="shared" si="89"/>
        <v>22</v>
      </c>
      <c r="AE128">
        <f t="shared" si="90"/>
        <v>32</v>
      </c>
      <c r="AF128">
        <f t="shared" si="91"/>
        <v>42</v>
      </c>
      <c r="AG128">
        <f t="shared" si="92"/>
        <v>52</v>
      </c>
      <c r="AH128">
        <f t="shared" si="93"/>
        <v>62</v>
      </c>
      <c r="AI128">
        <f t="shared" si="94"/>
        <v>134</v>
      </c>
      <c r="AJ128">
        <f t="shared" si="95"/>
        <v>76</v>
      </c>
      <c r="AK128">
        <f t="shared" si="96"/>
        <v>71</v>
      </c>
      <c r="AL128">
        <f t="shared" si="97"/>
        <v>139</v>
      </c>
      <c r="AN128" s="67">
        <f t="shared" si="98"/>
        <v>0</v>
      </c>
      <c r="AO128" s="67">
        <f t="shared" si="99"/>
        <v>8.5470085470085472E-2</v>
      </c>
      <c r="AP128" s="67">
        <f t="shared" si="100"/>
        <v>0.17094017094017094</v>
      </c>
      <c r="AQ128" s="67">
        <f t="shared" si="101"/>
        <v>0.25641025641025639</v>
      </c>
      <c r="AR128" s="67">
        <f t="shared" si="102"/>
        <v>0.34188034188034189</v>
      </c>
      <c r="AS128" s="67">
        <f t="shared" si="103"/>
        <v>0.95726495726495731</v>
      </c>
      <c r="AT128" s="67">
        <f t="shared" si="104"/>
        <v>0.46153846153846156</v>
      </c>
      <c r="AU128" s="67">
        <f t="shared" si="105"/>
        <v>0.41880341880341881</v>
      </c>
      <c r="AV128" s="67">
        <f t="shared" si="106"/>
        <v>1</v>
      </c>
      <c r="AX128">
        <f t="shared" si="107"/>
        <v>0.34188034188034189</v>
      </c>
      <c r="AY128">
        <f t="shared" si="108"/>
        <v>0.49572649572649574</v>
      </c>
      <c r="AZ128">
        <f t="shared" si="109"/>
        <v>0.58119658119658113</v>
      </c>
      <c r="BB128">
        <f t="shared" si="110"/>
        <v>0.24096385542168677</v>
      </c>
      <c r="BC128">
        <f t="shared" si="111"/>
        <v>0.34939759036144585</v>
      </c>
      <c r="BD128">
        <f t="shared" si="112"/>
        <v>0.40963855421686746</v>
      </c>
      <c r="BF128" t="str">
        <f t="shared" si="117"/>
        <v>Theme</v>
      </c>
      <c r="BG128" t="str">
        <f t="shared" si="113"/>
        <v>B</v>
      </c>
      <c r="BI128">
        <f t="shared" si="114"/>
        <v>3.5</v>
      </c>
      <c r="BJ128" t="str">
        <f t="shared" si="115"/>
        <v>Tennis</v>
      </c>
      <c r="BK128" t="str">
        <f t="shared" si="116"/>
        <v>B</v>
      </c>
    </row>
    <row r="129" spans="8:63">
      <c r="H129">
        <v>122</v>
      </c>
      <c r="I129">
        <v>3</v>
      </c>
      <c r="J129">
        <v>6</v>
      </c>
      <c r="K129">
        <v>9</v>
      </c>
      <c r="L129">
        <v>13</v>
      </c>
      <c r="M129">
        <v>16</v>
      </c>
      <c r="N129">
        <v>11</v>
      </c>
      <c r="O129">
        <v>14</v>
      </c>
      <c r="P129">
        <v>17</v>
      </c>
      <c r="Q129">
        <v>19</v>
      </c>
      <c r="R129">
        <v>20</v>
      </c>
      <c r="S129">
        <v>1</v>
      </c>
      <c r="T129">
        <v>2</v>
      </c>
      <c r="U129">
        <v>4</v>
      </c>
      <c r="V129">
        <v>7</v>
      </c>
      <c r="W129">
        <v>10</v>
      </c>
      <c r="X129">
        <v>5</v>
      </c>
      <c r="Y129">
        <v>8</v>
      </c>
      <c r="Z129">
        <v>12</v>
      </c>
      <c r="AA129">
        <v>15</v>
      </c>
      <c r="AB129">
        <v>18</v>
      </c>
      <c r="AD129">
        <f t="shared" si="89"/>
        <v>20</v>
      </c>
      <c r="AE129">
        <f t="shared" si="90"/>
        <v>30</v>
      </c>
      <c r="AF129">
        <f t="shared" si="91"/>
        <v>42</v>
      </c>
      <c r="AG129">
        <f t="shared" si="92"/>
        <v>54</v>
      </c>
      <c r="AH129">
        <f t="shared" si="93"/>
        <v>64</v>
      </c>
      <c r="AI129">
        <f t="shared" si="94"/>
        <v>128</v>
      </c>
      <c r="AJ129">
        <f t="shared" si="95"/>
        <v>82</v>
      </c>
      <c r="AK129">
        <f t="shared" si="96"/>
        <v>139</v>
      </c>
      <c r="AL129">
        <f t="shared" si="97"/>
        <v>71</v>
      </c>
      <c r="AN129" s="67">
        <f t="shared" si="98"/>
        <v>0</v>
      </c>
      <c r="AO129" s="67">
        <f t="shared" si="99"/>
        <v>8.4033613445378158E-2</v>
      </c>
      <c r="AP129" s="67">
        <f t="shared" si="100"/>
        <v>0.18487394957983194</v>
      </c>
      <c r="AQ129" s="67">
        <f t="shared" si="101"/>
        <v>0.2857142857142857</v>
      </c>
      <c r="AR129" s="67">
        <f t="shared" si="102"/>
        <v>0.36974789915966388</v>
      </c>
      <c r="AS129" s="67">
        <f t="shared" si="103"/>
        <v>0.90756302521008403</v>
      </c>
      <c r="AT129" s="67">
        <f t="shared" si="104"/>
        <v>0.52100840336134457</v>
      </c>
      <c r="AU129" s="67">
        <f t="shared" si="105"/>
        <v>1</v>
      </c>
      <c r="AV129" s="67">
        <f t="shared" si="106"/>
        <v>0.42857142857142855</v>
      </c>
      <c r="AX129">
        <f t="shared" si="107"/>
        <v>0.36974789915966388</v>
      </c>
      <c r="AY129">
        <f t="shared" si="108"/>
        <v>0.38655462184873945</v>
      </c>
      <c r="AZ129">
        <f t="shared" si="109"/>
        <v>0.5714285714285714</v>
      </c>
      <c r="BB129">
        <f t="shared" si="110"/>
        <v>0.27848101265822789</v>
      </c>
      <c r="BC129">
        <f t="shared" si="111"/>
        <v>0.29113924050632911</v>
      </c>
      <c r="BD129">
        <f t="shared" si="112"/>
        <v>0.43037974683544306</v>
      </c>
      <c r="BF129" t="str">
        <f t="shared" si="117"/>
        <v>Theme</v>
      </c>
      <c r="BG129" t="str">
        <f t="shared" si="113"/>
        <v>A</v>
      </c>
      <c r="BI129">
        <f t="shared" si="114"/>
        <v>3.5</v>
      </c>
      <c r="BJ129" t="str">
        <f t="shared" si="115"/>
        <v>Tennis</v>
      </c>
      <c r="BK129" t="str">
        <f t="shared" si="116"/>
        <v>A</v>
      </c>
    </row>
    <row r="130" spans="8:63">
      <c r="H130">
        <v>123</v>
      </c>
      <c r="I130">
        <v>3</v>
      </c>
      <c r="J130">
        <v>6</v>
      </c>
      <c r="K130">
        <v>9</v>
      </c>
      <c r="L130">
        <v>13</v>
      </c>
      <c r="M130">
        <v>16</v>
      </c>
      <c r="N130">
        <v>11</v>
      </c>
      <c r="O130">
        <v>14</v>
      </c>
      <c r="P130">
        <v>17</v>
      </c>
      <c r="Q130">
        <v>19</v>
      </c>
      <c r="R130">
        <v>20</v>
      </c>
      <c r="S130">
        <v>1</v>
      </c>
      <c r="T130">
        <v>2</v>
      </c>
      <c r="U130">
        <v>4</v>
      </c>
      <c r="V130">
        <v>7</v>
      </c>
      <c r="W130">
        <v>10</v>
      </c>
      <c r="X130">
        <v>5</v>
      </c>
      <c r="Y130">
        <v>8</v>
      </c>
      <c r="Z130">
        <v>12</v>
      </c>
      <c r="AA130">
        <v>15</v>
      </c>
      <c r="AB130">
        <v>18</v>
      </c>
      <c r="AD130">
        <f t="shared" si="89"/>
        <v>20</v>
      </c>
      <c r="AE130">
        <f t="shared" si="90"/>
        <v>30</v>
      </c>
      <c r="AF130">
        <f t="shared" si="91"/>
        <v>42</v>
      </c>
      <c r="AG130">
        <f t="shared" si="92"/>
        <v>54</v>
      </c>
      <c r="AH130">
        <f t="shared" si="93"/>
        <v>64</v>
      </c>
      <c r="AI130">
        <f t="shared" si="94"/>
        <v>128</v>
      </c>
      <c r="AJ130">
        <f t="shared" si="95"/>
        <v>82</v>
      </c>
      <c r="AK130">
        <f t="shared" si="96"/>
        <v>139</v>
      </c>
      <c r="AL130">
        <f t="shared" si="97"/>
        <v>71</v>
      </c>
      <c r="AN130" s="67">
        <f t="shared" si="98"/>
        <v>0</v>
      </c>
      <c r="AO130" s="67">
        <f t="shared" si="99"/>
        <v>8.4033613445378158E-2</v>
      </c>
      <c r="AP130" s="67">
        <f t="shared" si="100"/>
        <v>0.18487394957983194</v>
      </c>
      <c r="AQ130" s="67">
        <f t="shared" si="101"/>
        <v>0.2857142857142857</v>
      </c>
      <c r="AR130" s="67">
        <f t="shared" si="102"/>
        <v>0.36974789915966388</v>
      </c>
      <c r="AS130" s="67">
        <f t="shared" si="103"/>
        <v>0.90756302521008403</v>
      </c>
      <c r="AT130" s="67">
        <f t="shared" si="104"/>
        <v>0.52100840336134457</v>
      </c>
      <c r="AU130" s="67">
        <f t="shared" si="105"/>
        <v>1</v>
      </c>
      <c r="AV130" s="67">
        <f t="shared" si="106"/>
        <v>0.42857142857142855</v>
      </c>
      <c r="AX130">
        <f t="shared" si="107"/>
        <v>0.36974789915966388</v>
      </c>
      <c r="AY130">
        <f t="shared" si="108"/>
        <v>0.38655462184873945</v>
      </c>
      <c r="AZ130">
        <f t="shared" si="109"/>
        <v>0.5714285714285714</v>
      </c>
      <c r="BB130">
        <f t="shared" si="110"/>
        <v>0.27848101265822789</v>
      </c>
      <c r="BC130">
        <f t="shared" si="111"/>
        <v>0.29113924050632911</v>
      </c>
      <c r="BD130">
        <f t="shared" si="112"/>
        <v>0.43037974683544306</v>
      </c>
      <c r="BF130" t="str">
        <f t="shared" si="117"/>
        <v>Theme</v>
      </c>
      <c r="BG130" t="str">
        <f t="shared" si="113"/>
        <v>A</v>
      </c>
      <c r="BI130">
        <f t="shared" si="114"/>
        <v>3.5</v>
      </c>
      <c r="BJ130" t="str">
        <f t="shared" si="115"/>
        <v>Tennis</v>
      </c>
      <c r="BK130" t="str">
        <f t="shared" si="116"/>
        <v>A</v>
      </c>
    </row>
    <row r="131" spans="8:63">
      <c r="H131">
        <v>124</v>
      </c>
      <c r="I131">
        <v>4</v>
      </c>
      <c r="J131">
        <v>7</v>
      </c>
      <c r="K131">
        <v>10</v>
      </c>
      <c r="L131">
        <v>13</v>
      </c>
      <c r="M131">
        <v>16</v>
      </c>
      <c r="N131">
        <v>12</v>
      </c>
      <c r="O131">
        <v>15</v>
      </c>
      <c r="P131">
        <v>18</v>
      </c>
      <c r="Q131">
        <v>19</v>
      </c>
      <c r="R131">
        <v>20</v>
      </c>
      <c r="S131">
        <v>1</v>
      </c>
      <c r="T131">
        <v>2</v>
      </c>
      <c r="U131">
        <v>3</v>
      </c>
      <c r="V131">
        <v>6</v>
      </c>
      <c r="W131">
        <v>9</v>
      </c>
      <c r="X131">
        <v>5</v>
      </c>
      <c r="Y131">
        <v>8</v>
      </c>
      <c r="Z131">
        <v>11</v>
      </c>
      <c r="AA131">
        <v>14</v>
      </c>
      <c r="AB131">
        <v>17</v>
      </c>
      <c r="AD131">
        <f t="shared" si="89"/>
        <v>22</v>
      </c>
      <c r="AE131">
        <f t="shared" si="90"/>
        <v>32</v>
      </c>
      <c r="AF131">
        <f t="shared" si="91"/>
        <v>42</v>
      </c>
      <c r="AG131">
        <f t="shared" si="92"/>
        <v>52</v>
      </c>
      <c r="AH131">
        <f t="shared" si="93"/>
        <v>62</v>
      </c>
      <c r="AI131">
        <f t="shared" si="94"/>
        <v>134</v>
      </c>
      <c r="AJ131">
        <f t="shared" si="95"/>
        <v>76</v>
      </c>
      <c r="AK131">
        <f t="shared" si="96"/>
        <v>139</v>
      </c>
      <c r="AL131">
        <f t="shared" si="97"/>
        <v>71</v>
      </c>
      <c r="AN131" s="67">
        <f t="shared" si="98"/>
        <v>0</v>
      </c>
      <c r="AO131" s="67">
        <f t="shared" si="99"/>
        <v>8.5470085470085472E-2</v>
      </c>
      <c r="AP131" s="67">
        <f t="shared" si="100"/>
        <v>0.17094017094017094</v>
      </c>
      <c r="AQ131" s="67">
        <f t="shared" si="101"/>
        <v>0.25641025641025639</v>
      </c>
      <c r="AR131" s="67">
        <f t="shared" si="102"/>
        <v>0.34188034188034189</v>
      </c>
      <c r="AS131" s="67">
        <f t="shared" si="103"/>
        <v>0.95726495726495731</v>
      </c>
      <c r="AT131" s="67">
        <f t="shared" si="104"/>
        <v>0.46153846153846156</v>
      </c>
      <c r="AU131" s="67">
        <f t="shared" si="105"/>
        <v>1</v>
      </c>
      <c r="AV131" s="67">
        <f t="shared" si="106"/>
        <v>0.41880341880341881</v>
      </c>
      <c r="AX131">
        <f t="shared" si="107"/>
        <v>0.34188034188034189</v>
      </c>
      <c r="AY131">
        <f t="shared" si="108"/>
        <v>0.49572649572649574</v>
      </c>
      <c r="AZ131">
        <f t="shared" si="109"/>
        <v>0.58119658119658113</v>
      </c>
      <c r="BB131">
        <f t="shared" si="110"/>
        <v>0.24096385542168677</v>
      </c>
      <c r="BC131">
        <f t="shared" si="111"/>
        <v>0.34939759036144585</v>
      </c>
      <c r="BD131">
        <f t="shared" si="112"/>
        <v>0.40963855421686746</v>
      </c>
      <c r="BF131" t="str">
        <f t="shared" si="117"/>
        <v>Theme</v>
      </c>
      <c r="BG131" t="str">
        <f t="shared" si="113"/>
        <v>A</v>
      </c>
      <c r="BI131">
        <f t="shared" si="114"/>
        <v>3.5</v>
      </c>
      <c r="BJ131" t="str">
        <f t="shared" si="115"/>
        <v>Tennis</v>
      </c>
      <c r="BK131" t="str">
        <f t="shared" si="116"/>
        <v>A</v>
      </c>
    </row>
    <row r="132" spans="8:63">
      <c r="H132">
        <v>125</v>
      </c>
      <c r="I132">
        <v>7</v>
      </c>
      <c r="J132">
        <v>10</v>
      </c>
      <c r="K132">
        <v>13</v>
      </c>
      <c r="L132">
        <v>16</v>
      </c>
      <c r="M132">
        <v>18</v>
      </c>
      <c r="N132">
        <v>1</v>
      </c>
      <c r="O132">
        <v>2</v>
      </c>
      <c r="P132">
        <v>4</v>
      </c>
      <c r="Q132">
        <v>6</v>
      </c>
      <c r="R132">
        <v>9</v>
      </c>
      <c r="S132">
        <v>12</v>
      </c>
      <c r="T132">
        <v>15</v>
      </c>
      <c r="U132">
        <v>17</v>
      </c>
      <c r="V132">
        <v>19</v>
      </c>
      <c r="W132">
        <v>20</v>
      </c>
      <c r="X132">
        <v>3</v>
      </c>
      <c r="Y132">
        <v>5</v>
      </c>
      <c r="Z132">
        <v>8</v>
      </c>
      <c r="AA132">
        <v>11</v>
      </c>
      <c r="AB132">
        <v>14</v>
      </c>
      <c r="AD132">
        <f t="shared" si="89"/>
        <v>23</v>
      </c>
      <c r="AE132">
        <f t="shared" si="90"/>
        <v>32</v>
      </c>
      <c r="AF132">
        <f t="shared" si="91"/>
        <v>42</v>
      </c>
      <c r="AG132">
        <f t="shared" si="92"/>
        <v>52</v>
      </c>
      <c r="AH132">
        <f t="shared" si="93"/>
        <v>61</v>
      </c>
      <c r="AI132">
        <f t="shared" si="94"/>
        <v>86</v>
      </c>
      <c r="AJ132">
        <f t="shared" si="95"/>
        <v>124</v>
      </c>
      <c r="AK132">
        <f t="shared" si="96"/>
        <v>63</v>
      </c>
      <c r="AL132">
        <f t="shared" si="97"/>
        <v>147</v>
      </c>
      <c r="AN132" s="67">
        <f t="shared" si="98"/>
        <v>0</v>
      </c>
      <c r="AO132" s="67">
        <f t="shared" si="99"/>
        <v>7.2580645161290328E-2</v>
      </c>
      <c r="AP132" s="67">
        <f t="shared" si="100"/>
        <v>0.15322580645161291</v>
      </c>
      <c r="AQ132" s="67">
        <f t="shared" si="101"/>
        <v>0.23387096774193547</v>
      </c>
      <c r="AR132" s="67">
        <f t="shared" si="102"/>
        <v>0.30645161290322581</v>
      </c>
      <c r="AS132" s="67">
        <f t="shared" si="103"/>
        <v>0.50806451612903225</v>
      </c>
      <c r="AT132" s="67">
        <f t="shared" si="104"/>
        <v>0.81451612903225812</v>
      </c>
      <c r="AU132" s="67">
        <f t="shared" si="105"/>
        <v>0.32258064516129031</v>
      </c>
      <c r="AV132" s="67">
        <f t="shared" si="106"/>
        <v>1</v>
      </c>
      <c r="AX132">
        <f t="shared" si="107"/>
        <v>0.30645161290322581</v>
      </c>
      <c r="AY132">
        <f t="shared" si="108"/>
        <v>0.30645161290322587</v>
      </c>
      <c r="AZ132">
        <f t="shared" si="109"/>
        <v>0.67741935483870974</v>
      </c>
      <c r="BB132">
        <f t="shared" si="110"/>
        <v>0.23749999999999996</v>
      </c>
      <c r="BC132">
        <f t="shared" si="111"/>
        <v>0.23750000000000002</v>
      </c>
      <c r="BD132">
        <f t="shared" si="112"/>
        <v>0.52500000000000002</v>
      </c>
      <c r="BF132" t="str">
        <f t="shared" si="117"/>
        <v>Theme</v>
      </c>
      <c r="BG132" t="str">
        <f t="shared" si="113"/>
        <v>B</v>
      </c>
      <c r="BI132">
        <f t="shared" si="114"/>
        <v>3.5</v>
      </c>
      <c r="BJ132" t="str">
        <f t="shared" si="115"/>
        <v>Super Bowl</v>
      </c>
      <c r="BK132" t="str">
        <f t="shared" si="116"/>
        <v>B</v>
      </c>
    </row>
    <row r="133" spans="8:63">
      <c r="H133">
        <v>126</v>
      </c>
      <c r="I133">
        <v>13</v>
      </c>
      <c r="J133">
        <v>16</v>
      </c>
      <c r="K133">
        <v>18</v>
      </c>
      <c r="L133">
        <v>19</v>
      </c>
      <c r="M133">
        <v>20</v>
      </c>
      <c r="N133">
        <v>4</v>
      </c>
      <c r="O133">
        <v>7</v>
      </c>
      <c r="P133">
        <v>10</v>
      </c>
      <c r="Q133">
        <v>12</v>
      </c>
      <c r="R133">
        <v>15</v>
      </c>
      <c r="S133">
        <v>6</v>
      </c>
      <c r="T133">
        <v>9</v>
      </c>
      <c r="U133">
        <v>11</v>
      </c>
      <c r="V133">
        <v>14</v>
      </c>
      <c r="W133">
        <v>17</v>
      </c>
      <c r="X133">
        <v>1</v>
      </c>
      <c r="Y133">
        <v>2</v>
      </c>
      <c r="Z133">
        <v>3</v>
      </c>
      <c r="AA133">
        <v>5</v>
      </c>
      <c r="AB133">
        <v>8</v>
      </c>
      <c r="AD133">
        <f t="shared" si="89"/>
        <v>24</v>
      </c>
      <c r="AE133">
        <f t="shared" si="90"/>
        <v>34</v>
      </c>
      <c r="AF133">
        <f t="shared" si="91"/>
        <v>42</v>
      </c>
      <c r="AG133">
        <f t="shared" si="92"/>
        <v>50</v>
      </c>
      <c r="AH133">
        <f t="shared" si="93"/>
        <v>60</v>
      </c>
      <c r="AI133">
        <f t="shared" si="94"/>
        <v>134</v>
      </c>
      <c r="AJ133">
        <f t="shared" si="95"/>
        <v>76</v>
      </c>
      <c r="AK133">
        <f t="shared" si="96"/>
        <v>67</v>
      </c>
      <c r="AL133">
        <f t="shared" si="97"/>
        <v>143</v>
      </c>
      <c r="AN133" s="67">
        <f t="shared" si="98"/>
        <v>0</v>
      </c>
      <c r="AO133" s="67">
        <f t="shared" si="99"/>
        <v>8.4033613445378158E-2</v>
      </c>
      <c r="AP133" s="67">
        <f t="shared" si="100"/>
        <v>0.15126050420168066</v>
      </c>
      <c r="AQ133" s="67">
        <f t="shared" si="101"/>
        <v>0.21848739495798319</v>
      </c>
      <c r="AR133" s="67">
        <f t="shared" si="102"/>
        <v>0.30252100840336132</v>
      </c>
      <c r="AS133" s="67">
        <f t="shared" si="103"/>
        <v>0.92436974789915971</v>
      </c>
      <c r="AT133" s="67">
        <f t="shared" si="104"/>
        <v>0.43697478991596639</v>
      </c>
      <c r="AU133" s="67">
        <f t="shared" si="105"/>
        <v>0.36134453781512604</v>
      </c>
      <c r="AV133" s="67">
        <f t="shared" si="106"/>
        <v>1</v>
      </c>
      <c r="AX133">
        <f t="shared" si="107"/>
        <v>0.30252100840336132</v>
      </c>
      <c r="AY133">
        <f t="shared" si="108"/>
        <v>0.48739495798319332</v>
      </c>
      <c r="AZ133">
        <f t="shared" si="109"/>
        <v>0.6386554621848739</v>
      </c>
      <c r="BB133">
        <f t="shared" si="110"/>
        <v>0.21176470588235291</v>
      </c>
      <c r="BC133">
        <f t="shared" si="111"/>
        <v>0.3411764705882353</v>
      </c>
      <c r="BD133">
        <f t="shared" si="112"/>
        <v>0.44705882352941173</v>
      </c>
      <c r="BF133" t="str">
        <f t="shared" si="117"/>
        <v>Theme</v>
      </c>
      <c r="BG133" t="str">
        <f t="shared" si="113"/>
        <v>B</v>
      </c>
      <c r="BI133">
        <f t="shared" si="114"/>
        <v>3.5</v>
      </c>
      <c r="BJ133" t="str">
        <f t="shared" si="115"/>
        <v>Tennis</v>
      </c>
      <c r="BK133" t="str">
        <f t="shared" si="116"/>
        <v>B</v>
      </c>
    </row>
    <row r="134" spans="8:63">
      <c r="H134">
        <v>127</v>
      </c>
      <c r="I134">
        <v>1</v>
      </c>
      <c r="J134">
        <v>2</v>
      </c>
      <c r="K134">
        <v>3</v>
      </c>
      <c r="L134">
        <v>5</v>
      </c>
      <c r="M134">
        <v>8</v>
      </c>
      <c r="N134">
        <v>4</v>
      </c>
      <c r="O134">
        <v>7</v>
      </c>
      <c r="P134">
        <v>10</v>
      </c>
      <c r="Q134">
        <v>12</v>
      </c>
      <c r="R134">
        <v>15</v>
      </c>
      <c r="S134">
        <v>6</v>
      </c>
      <c r="T134">
        <v>9</v>
      </c>
      <c r="U134">
        <v>11</v>
      </c>
      <c r="V134">
        <v>14</v>
      </c>
      <c r="W134">
        <v>17</v>
      </c>
      <c r="X134">
        <v>13</v>
      </c>
      <c r="Y134">
        <v>16</v>
      </c>
      <c r="Z134">
        <v>18</v>
      </c>
      <c r="AA134">
        <v>19</v>
      </c>
      <c r="AB134">
        <v>20</v>
      </c>
      <c r="AD134">
        <f t="shared" si="89"/>
        <v>24</v>
      </c>
      <c r="AE134">
        <f t="shared" si="90"/>
        <v>34</v>
      </c>
      <c r="AF134">
        <f t="shared" si="91"/>
        <v>42</v>
      </c>
      <c r="AG134">
        <f t="shared" si="92"/>
        <v>50</v>
      </c>
      <c r="AH134">
        <f t="shared" si="93"/>
        <v>60</v>
      </c>
      <c r="AI134">
        <f t="shared" si="94"/>
        <v>67</v>
      </c>
      <c r="AJ134">
        <f t="shared" si="95"/>
        <v>143</v>
      </c>
      <c r="AK134">
        <f t="shared" si="96"/>
        <v>134</v>
      </c>
      <c r="AL134">
        <f t="shared" si="97"/>
        <v>76</v>
      </c>
      <c r="AN134" s="67">
        <f t="shared" si="98"/>
        <v>0</v>
      </c>
      <c r="AO134" s="67">
        <f t="shared" si="99"/>
        <v>8.4033613445378158E-2</v>
      </c>
      <c r="AP134" s="67">
        <f t="shared" si="100"/>
        <v>0.15126050420168066</v>
      </c>
      <c r="AQ134" s="67">
        <f t="shared" si="101"/>
        <v>0.21848739495798319</v>
      </c>
      <c r="AR134" s="67">
        <f t="shared" si="102"/>
        <v>0.30252100840336132</v>
      </c>
      <c r="AS134" s="67">
        <f t="shared" si="103"/>
        <v>0.36134453781512604</v>
      </c>
      <c r="AT134" s="67">
        <f t="shared" si="104"/>
        <v>1</v>
      </c>
      <c r="AU134" s="67">
        <f t="shared" si="105"/>
        <v>0.92436974789915971</v>
      </c>
      <c r="AV134" s="67">
        <f t="shared" si="106"/>
        <v>0.43697478991596639</v>
      </c>
      <c r="AX134">
        <f t="shared" si="107"/>
        <v>0.30252100840336132</v>
      </c>
      <c r="AY134">
        <f t="shared" si="108"/>
        <v>0.6386554621848739</v>
      </c>
      <c r="AZ134">
        <f t="shared" si="109"/>
        <v>0.48739495798319332</v>
      </c>
      <c r="BB134">
        <f t="shared" si="110"/>
        <v>0.21176470588235291</v>
      </c>
      <c r="BC134">
        <f t="shared" si="111"/>
        <v>0.44705882352941173</v>
      </c>
      <c r="BD134">
        <f t="shared" si="112"/>
        <v>0.3411764705882353</v>
      </c>
      <c r="BF134" t="str">
        <f t="shared" si="117"/>
        <v xml:space="preserve">Brand </v>
      </c>
      <c r="BG134" t="str">
        <f t="shared" si="113"/>
        <v>Super Bowl</v>
      </c>
      <c r="BI134">
        <f t="shared" si="114"/>
        <v>3.5</v>
      </c>
      <c r="BJ134" t="str">
        <f t="shared" si="115"/>
        <v>Super Bowl</v>
      </c>
      <c r="BK134" t="str">
        <f t="shared" si="116"/>
        <v>A</v>
      </c>
    </row>
    <row r="135" spans="8:63">
      <c r="H135">
        <v>128</v>
      </c>
      <c r="I135">
        <v>11</v>
      </c>
      <c r="J135">
        <v>14</v>
      </c>
      <c r="K135">
        <v>17</v>
      </c>
      <c r="L135">
        <v>19</v>
      </c>
      <c r="M135">
        <v>20</v>
      </c>
      <c r="N135">
        <v>6</v>
      </c>
      <c r="O135">
        <v>9</v>
      </c>
      <c r="P135">
        <v>13</v>
      </c>
      <c r="Q135">
        <v>16</v>
      </c>
      <c r="R135">
        <v>18</v>
      </c>
      <c r="S135">
        <v>3</v>
      </c>
      <c r="T135">
        <v>5</v>
      </c>
      <c r="U135">
        <v>8</v>
      </c>
      <c r="V135">
        <v>12</v>
      </c>
      <c r="W135">
        <v>15</v>
      </c>
      <c r="X135">
        <v>1</v>
      </c>
      <c r="Y135">
        <v>2</v>
      </c>
      <c r="Z135">
        <v>4</v>
      </c>
      <c r="AA135">
        <v>7</v>
      </c>
      <c r="AB135">
        <v>10</v>
      </c>
      <c r="AD135">
        <f t="shared" si="89"/>
        <v>21</v>
      </c>
      <c r="AE135">
        <f t="shared" si="90"/>
        <v>30</v>
      </c>
      <c r="AF135">
        <f t="shared" si="91"/>
        <v>42</v>
      </c>
      <c r="AG135">
        <f t="shared" si="92"/>
        <v>54</v>
      </c>
      <c r="AH135">
        <f t="shared" si="93"/>
        <v>63</v>
      </c>
      <c r="AI135">
        <f t="shared" si="94"/>
        <v>143</v>
      </c>
      <c r="AJ135">
        <f t="shared" si="95"/>
        <v>67</v>
      </c>
      <c r="AK135">
        <f t="shared" si="96"/>
        <v>86</v>
      </c>
      <c r="AL135">
        <f t="shared" si="97"/>
        <v>124</v>
      </c>
      <c r="AN135" s="67">
        <f t="shared" si="98"/>
        <v>0</v>
      </c>
      <c r="AO135" s="67">
        <f t="shared" si="99"/>
        <v>7.3770491803278687E-2</v>
      </c>
      <c r="AP135" s="67">
        <f t="shared" si="100"/>
        <v>0.1721311475409836</v>
      </c>
      <c r="AQ135" s="67">
        <f t="shared" si="101"/>
        <v>0.27049180327868855</v>
      </c>
      <c r="AR135" s="67">
        <f t="shared" si="102"/>
        <v>0.34426229508196721</v>
      </c>
      <c r="AS135" s="67">
        <f t="shared" si="103"/>
        <v>1</v>
      </c>
      <c r="AT135" s="67">
        <f t="shared" si="104"/>
        <v>0.37704918032786883</v>
      </c>
      <c r="AU135" s="67">
        <f t="shared" si="105"/>
        <v>0.53278688524590168</v>
      </c>
      <c r="AV135" s="67">
        <f t="shared" si="106"/>
        <v>0.84426229508196726</v>
      </c>
      <c r="AX135">
        <f t="shared" si="107"/>
        <v>0.34426229508196721</v>
      </c>
      <c r="AY135">
        <f t="shared" si="108"/>
        <v>0.62295081967213117</v>
      </c>
      <c r="AZ135">
        <f t="shared" si="109"/>
        <v>0.31147540983606559</v>
      </c>
      <c r="BB135">
        <f t="shared" si="110"/>
        <v>0.26923076923076922</v>
      </c>
      <c r="BC135">
        <f t="shared" si="111"/>
        <v>0.48717948717948717</v>
      </c>
      <c r="BD135">
        <f t="shared" si="112"/>
        <v>0.24358974358974358</v>
      </c>
      <c r="BF135" t="str">
        <f t="shared" si="117"/>
        <v xml:space="preserve">Brand </v>
      </c>
      <c r="BG135" t="str">
        <f t="shared" si="113"/>
        <v>Tennis</v>
      </c>
      <c r="BI135">
        <f t="shared" si="114"/>
        <v>3.5</v>
      </c>
      <c r="BJ135" t="str">
        <f t="shared" si="115"/>
        <v>Tennis</v>
      </c>
      <c r="BK135" t="str">
        <f t="shared" si="116"/>
        <v>B</v>
      </c>
    </row>
    <row r="136" spans="8:63">
      <c r="H136">
        <v>129</v>
      </c>
      <c r="I136">
        <v>4</v>
      </c>
      <c r="J136">
        <v>6</v>
      </c>
      <c r="K136">
        <v>9</v>
      </c>
      <c r="L136">
        <v>11</v>
      </c>
      <c r="M136">
        <v>14</v>
      </c>
      <c r="N136">
        <v>13</v>
      </c>
      <c r="O136">
        <v>16</v>
      </c>
      <c r="P136">
        <v>18</v>
      </c>
      <c r="Q136">
        <v>19</v>
      </c>
      <c r="R136">
        <v>20</v>
      </c>
      <c r="S136">
        <v>1</v>
      </c>
      <c r="T136">
        <v>2</v>
      </c>
      <c r="U136">
        <v>3</v>
      </c>
      <c r="V136">
        <v>5</v>
      </c>
      <c r="W136">
        <v>8</v>
      </c>
      <c r="X136">
        <v>7</v>
      </c>
      <c r="Y136">
        <v>10</v>
      </c>
      <c r="Z136">
        <v>12</v>
      </c>
      <c r="AA136">
        <v>15</v>
      </c>
      <c r="AB136">
        <v>17</v>
      </c>
      <c r="AD136">
        <f t="shared" si="89"/>
        <v>25</v>
      </c>
      <c r="AE136">
        <f t="shared" si="90"/>
        <v>34</v>
      </c>
      <c r="AF136">
        <f t="shared" si="91"/>
        <v>42</v>
      </c>
      <c r="AG136">
        <f t="shared" si="92"/>
        <v>50</v>
      </c>
      <c r="AH136">
        <f t="shared" si="93"/>
        <v>59</v>
      </c>
      <c r="AI136">
        <f t="shared" si="94"/>
        <v>130</v>
      </c>
      <c r="AJ136">
        <f t="shared" si="95"/>
        <v>80</v>
      </c>
      <c r="AK136">
        <f t="shared" si="96"/>
        <v>147</v>
      </c>
      <c r="AL136">
        <f t="shared" si="97"/>
        <v>63</v>
      </c>
      <c r="AN136" s="67">
        <f t="shared" si="98"/>
        <v>0</v>
      </c>
      <c r="AO136" s="67">
        <f t="shared" si="99"/>
        <v>7.3770491803278687E-2</v>
      </c>
      <c r="AP136" s="67">
        <f t="shared" si="100"/>
        <v>0.13934426229508196</v>
      </c>
      <c r="AQ136" s="67">
        <f t="shared" si="101"/>
        <v>0.20491803278688525</v>
      </c>
      <c r="AR136" s="67">
        <f t="shared" si="102"/>
        <v>0.27868852459016391</v>
      </c>
      <c r="AS136" s="67">
        <f t="shared" si="103"/>
        <v>0.86065573770491799</v>
      </c>
      <c r="AT136" s="67">
        <f t="shared" si="104"/>
        <v>0.45081967213114754</v>
      </c>
      <c r="AU136" s="67">
        <f t="shared" si="105"/>
        <v>1</v>
      </c>
      <c r="AV136" s="67">
        <f t="shared" si="106"/>
        <v>0.31147540983606559</v>
      </c>
      <c r="AX136">
        <f t="shared" si="107"/>
        <v>0.27868852459016391</v>
      </c>
      <c r="AY136">
        <f t="shared" si="108"/>
        <v>0.40983606557377045</v>
      </c>
      <c r="AZ136">
        <f t="shared" si="109"/>
        <v>0.68852459016393441</v>
      </c>
      <c r="BB136">
        <f t="shared" si="110"/>
        <v>0.20238095238095241</v>
      </c>
      <c r="BC136">
        <f t="shared" si="111"/>
        <v>0.29761904761904762</v>
      </c>
      <c r="BD136">
        <f t="shared" si="112"/>
        <v>0.50000000000000011</v>
      </c>
      <c r="BF136" t="str">
        <f t="shared" si="117"/>
        <v>Theme</v>
      </c>
      <c r="BG136" t="str">
        <f t="shared" si="113"/>
        <v>A</v>
      </c>
      <c r="BI136">
        <f t="shared" si="114"/>
        <v>3.5</v>
      </c>
      <c r="BJ136" t="str">
        <f t="shared" si="115"/>
        <v>Tennis</v>
      </c>
      <c r="BK136" t="str">
        <f t="shared" si="116"/>
        <v>A</v>
      </c>
    </row>
    <row r="137" spans="8:63">
      <c r="H137">
        <v>130</v>
      </c>
      <c r="I137">
        <v>4</v>
      </c>
      <c r="J137">
        <v>7</v>
      </c>
      <c r="K137">
        <v>10</v>
      </c>
      <c r="L137">
        <v>12</v>
      </c>
      <c r="M137">
        <v>15</v>
      </c>
      <c r="N137">
        <v>13</v>
      </c>
      <c r="O137">
        <v>16</v>
      </c>
      <c r="P137">
        <v>18</v>
      </c>
      <c r="Q137">
        <v>19</v>
      </c>
      <c r="R137">
        <v>20</v>
      </c>
      <c r="S137">
        <v>1</v>
      </c>
      <c r="T137">
        <v>2</v>
      </c>
      <c r="U137">
        <v>3</v>
      </c>
      <c r="V137">
        <v>5</v>
      </c>
      <c r="W137">
        <v>8</v>
      </c>
      <c r="X137">
        <v>6</v>
      </c>
      <c r="Y137">
        <v>9</v>
      </c>
      <c r="Z137">
        <v>11</v>
      </c>
      <c r="AA137">
        <v>14</v>
      </c>
      <c r="AB137">
        <v>17</v>
      </c>
      <c r="AD137">
        <f t="shared" ref="AD137:AH139" si="118">SUMIFS($I137:$AB137,$I$2:$AB$2,AD$7)</f>
        <v>24</v>
      </c>
      <c r="AE137">
        <f t="shared" si="118"/>
        <v>34</v>
      </c>
      <c r="AF137">
        <f t="shared" si="118"/>
        <v>42</v>
      </c>
      <c r="AG137">
        <f t="shared" si="118"/>
        <v>50</v>
      </c>
      <c r="AH137">
        <f t="shared" si="118"/>
        <v>60</v>
      </c>
      <c r="AI137">
        <f t="shared" ref="AI137:AJ139" si="119">SUMIFS($I137:$AB137,$I$3:$AB$3,AI$7)</f>
        <v>134</v>
      </c>
      <c r="AJ137">
        <f t="shared" si="119"/>
        <v>76</v>
      </c>
      <c r="AK137">
        <f t="shared" ref="AK137:AL139" si="120">SUMIFS($I137:$AB137,$I$4:$AB$4,AK$7)</f>
        <v>143</v>
      </c>
      <c r="AL137">
        <f t="shared" si="120"/>
        <v>67</v>
      </c>
      <c r="AN137" s="67">
        <f t="shared" ref="AN137:AV139" si="121">((AD137-MIN($AD137:$AL137))/(MAX($AD137:$AL137)-MIN($AD137:$AL137)))</f>
        <v>0</v>
      </c>
      <c r="AO137" s="67">
        <f t="shared" si="121"/>
        <v>8.4033613445378158E-2</v>
      </c>
      <c r="AP137" s="67">
        <f t="shared" si="121"/>
        <v>0.15126050420168066</v>
      </c>
      <c r="AQ137" s="67">
        <f t="shared" si="121"/>
        <v>0.21848739495798319</v>
      </c>
      <c r="AR137" s="67">
        <f t="shared" si="121"/>
        <v>0.30252100840336132</v>
      </c>
      <c r="AS137" s="67">
        <f t="shared" si="121"/>
        <v>0.92436974789915971</v>
      </c>
      <c r="AT137" s="67">
        <f t="shared" si="121"/>
        <v>0.43697478991596639</v>
      </c>
      <c r="AU137" s="67">
        <f t="shared" si="121"/>
        <v>1</v>
      </c>
      <c r="AV137" s="67">
        <f t="shared" si="121"/>
        <v>0.36134453781512604</v>
      </c>
      <c r="AX137">
        <f t="shared" si="107"/>
        <v>0.30252100840336132</v>
      </c>
      <c r="AY137">
        <f t="shared" si="108"/>
        <v>0.48739495798319332</v>
      </c>
      <c r="AZ137">
        <f t="shared" si="109"/>
        <v>0.6386554621848739</v>
      </c>
      <c r="BB137">
        <f t="shared" ref="BB137:BD139" si="122">AX137/SUM($AX137:$AZ137)</f>
        <v>0.21176470588235291</v>
      </c>
      <c r="BC137">
        <f t="shared" si="122"/>
        <v>0.3411764705882353</v>
      </c>
      <c r="BD137">
        <f t="shared" si="122"/>
        <v>0.44705882352941173</v>
      </c>
      <c r="BF137" t="str">
        <f t="shared" si="117"/>
        <v>Theme</v>
      </c>
      <c r="BG137" t="str">
        <f t="shared" si="113"/>
        <v>A</v>
      </c>
      <c r="BI137">
        <f t="shared" si="114"/>
        <v>3.5</v>
      </c>
      <c r="BJ137" t="str">
        <f t="shared" si="115"/>
        <v>Tennis</v>
      </c>
      <c r="BK137" t="str">
        <f t="shared" si="116"/>
        <v>A</v>
      </c>
    </row>
    <row r="138" spans="8:63">
      <c r="H138">
        <v>131</v>
      </c>
      <c r="I138">
        <v>1</v>
      </c>
      <c r="J138">
        <v>5</v>
      </c>
      <c r="K138">
        <v>9</v>
      </c>
      <c r="L138">
        <v>13</v>
      </c>
      <c r="M138">
        <v>17</v>
      </c>
      <c r="N138">
        <v>3</v>
      </c>
      <c r="O138">
        <v>7</v>
      </c>
      <c r="P138">
        <v>11</v>
      </c>
      <c r="Q138">
        <v>15</v>
      </c>
      <c r="R138">
        <v>19</v>
      </c>
      <c r="S138">
        <v>2</v>
      </c>
      <c r="T138">
        <v>6</v>
      </c>
      <c r="U138">
        <v>10</v>
      </c>
      <c r="V138">
        <v>14</v>
      </c>
      <c r="W138">
        <v>18</v>
      </c>
      <c r="X138">
        <v>4</v>
      </c>
      <c r="Y138">
        <v>8</v>
      </c>
      <c r="Z138">
        <v>12</v>
      </c>
      <c r="AA138">
        <v>16</v>
      </c>
      <c r="AB138">
        <v>20</v>
      </c>
      <c r="AD138">
        <f t="shared" si="118"/>
        <v>10</v>
      </c>
      <c r="AE138">
        <f t="shared" si="118"/>
        <v>26</v>
      </c>
      <c r="AF138">
        <f t="shared" si="118"/>
        <v>42</v>
      </c>
      <c r="AG138">
        <f t="shared" si="118"/>
        <v>58</v>
      </c>
      <c r="AH138">
        <f t="shared" si="118"/>
        <v>74</v>
      </c>
      <c r="AI138">
        <f t="shared" si="119"/>
        <v>100</v>
      </c>
      <c r="AJ138">
        <f t="shared" si="119"/>
        <v>110</v>
      </c>
      <c r="AK138">
        <f t="shared" si="120"/>
        <v>115</v>
      </c>
      <c r="AL138">
        <f t="shared" si="120"/>
        <v>95</v>
      </c>
      <c r="AN138" s="67">
        <f t="shared" si="121"/>
        <v>0</v>
      </c>
      <c r="AO138" s="67">
        <f t="shared" si="121"/>
        <v>0.15238095238095239</v>
      </c>
      <c r="AP138" s="67">
        <f t="shared" si="121"/>
        <v>0.30476190476190479</v>
      </c>
      <c r="AQ138" s="67">
        <f t="shared" si="121"/>
        <v>0.45714285714285713</v>
      </c>
      <c r="AR138" s="67">
        <f t="shared" si="121"/>
        <v>0.60952380952380958</v>
      </c>
      <c r="AS138" s="67">
        <f t="shared" si="121"/>
        <v>0.8571428571428571</v>
      </c>
      <c r="AT138" s="67">
        <f t="shared" si="121"/>
        <v>0.95238095238095233</v>
      </c>
      <c r="AU138" s="67">
        <f t="shared" si="121"/>
        <v>1</v>
      </c>
      <c r="AV138" s="67">
        <f t="shared" si="121"/>
        <v>0.80952380952380953</v>
      </c>
      <c r="AX138">
        <f t="shared" si="107"/>
        <v>0.60952380952380958</v>
      </c>
      <c r="AY138">
        <f t="shared" si="108"/>
        <v>9.5238095238095233E-2</v>
      </c>
      <c r="AZ138">
        <f t="shared" si="109"/>
        <v>0.19047619047619047</v>
      </c>
      <c r="BB138">
        <f t="shared" si="122"/>
        <v>0.68085106382978722</v>
      </c>
      <c r="BC138">
        <f t="shared" si="122"/>
        <v>0.10638297872340424</v>
      </c>
      <c r="BD138">
        <f t="shared" si="122"/>
        <v>0.21276595744680848</v>
      </c>
      <c r="BF138" t="str">
        <f t="shared" si="117"/>
        <v>Price</v>
      </c>
      <c r="BG138">
        <f t="shared" si="113"/>
        <v>3.5</v>
      </c>
      <c r="BI138">
        <f t="shared" si="114"/>
        <v>3.5</v>
      </c>
      <c r="BJ138" t="str">
        <f t="shared" si="115"/>
        <v>Super Bowl</v>
      </c>
      <c r="BK138" t="str">
        <f t="shared" si="116"/>
        <v>A</v>
      </c>
    </row>
    <row r="139" spans="8:63">
      <c r="H139">
        <v>132</v>
      </c>
      <c r="I139">
        <v>2</v>
      </c>
      <c r="J139">
        <v>6</v>
      </c>
      <c r="K139">
        <v>10</v>
      </c>
      <c r="L139">
        <v>14</v>
      </c>
      <c r="M139">
        <v>18</v>
      </c>
      <c r="N139">
        <v>1</v>
      </c>
      <c r="O139">
        <v>5</v>
      </c>
      <c r="P139">
        <v>9</v>
      </c>
      <c r="Q139">
        <v>13</v>
      </c>
      <c r="R139">
        <v>17</v>
      </c>
      <c r="S139">
        <v>4</v>
      </c>
      <c r="T139">
        <v>8</v>
      </c>
      <c r="U139">
        <v>12</v>
      </c>
      <c r="V139">
        <v>16</v>
      </c>
      <c r="W139">
        <v>20</v>
      </c>
      <c r="X139">
        <v>3</v>
      </c>
      <c r="Y139">
        <v>7</v>
      </c>
      <c r="Z139">
        <v>11</v>
      </c>
      <c r="AA139">
        <v>15</v>
      </c>
      <c r="AB139">
        <v>19</v>
      </c>
      <c r="AD139">
        <f t="shared" si="118"/>
        <v>10</v>
      </c>
      <c r="AE139">
        <f t="shared" si="118"/>
        <v>26</v>
      </c>
      <c r="AF139">
        <f t="shared" si="118"/>
        <v>42</v>
      </c>
      <c r="AG139">
        <f t="shared" si="118"/>
        <v>58</v>
      </c>
      <c r="AH139">
        <f t="shared" si="118"/>
        <v>74</v>
      </c>
      <c r="AI139">
        <f t="shared" si="119"/>
        <v>95</v>
      </c>
      <c r="AJ139">
        <f t="shared" si="119"/>
        <v>115</v>
      </c>
      <c r="AK139">
        <f t="shared" si="120"/>
        <v>100</v>
      </c>
      <c r="AL139">
        <f t="shared" si="120"/>
        <v>110</v>
      </c>
      <c r="AN139" s="67">
        <f t="shared" si="121"/>
        <v>0</v>
      </c>
      <c r="AO139" s="67">
        <f t="shared" si="121"/>
        <v>0.15238095238095239</v>
      </c>
      <c r="AP139" s="67">
        <f t="shared" si="121"/>
        <v>0.30476190476190479</v>
      </c>
      <c r="AQ139" s="67">
        <f t="shared" si="121"/>
        <v>0.45714285714285713</v>
      </c>
      <c r="AR139" s="67">
        <f t="shared" si="121"/>
        <v>0.60952380952380958</v>
      </c>
      <c r="AS139" s="67">
        <f t="shared" si="121"/>
        <v>0.80952380952380953</v>
      </c>
      <c r="AT139" s="67">
        <f t="shared" si="121"/>
        <v>1</v>
      </c>
      <c r="AU139" s="67">
        <f t="shared" si="121"/>
        <v>0.8571428571428571</v>
      </c>
      <c r="AV139" s="67">
        <f t="shared" si="121"/>
        <v>0.95238095238095233</v>
      </c>
      <c r="AX139">
        <f t="shared" si="107"/>
        <v>0.60952380952380958</v>
      </c>
      <c r="AY139">
        <f t="shared" si="108"/>
        <v>0.19047619047619047</v>
      </c>
      <c r="AZ139">
        <f t="shared" si="109"/>
        <v>9.5238095238095233E-2</v>
      </c>
      <c r="BB139">
        <f t="shared" si="122"/>
        <v>0.68085106382978722</v>
      </c>
      <c r="BC139">
        <f t="shared" si="122"/>
        <v>0.21276595744680848</v>
      </c>
      <c r="BD139">
        <f t="shared" si="122"/>
        <v>0.10638297872340424</v>
      </c>
      <c r="BF139" t="str">
        <f t="shared" si="117"/>
        <v>Price</v>
      </c>
      <c r="BG139">
        <f t="shared" si="113"/>
        <v>3.5</v>
      </c>
      <c r="BI139">
        <f t="shared" si="114"/>
        <v>3.5</v>
      </c>
      <c r="BJ139" t="str">
        <f t="shared" si="115"/>
        <v>Super Bowl</v>
      </c>
      <c r="BK139" t="str">
        <f t="shared" si="116"/>
        <v>B</v>
      </c>
    </row>
  </sheetData>
  <autoFilter ref="B7:AB139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W25"/>
  <sheetViews>
    <sheetView topLeftCell="B1" workbookViewId="0">
      <pane ySplit="5" topLeftCell="A6" activePane="bottomLeft" state="frozen"/>
      <selection pane="bottomLeft" activeCell="M16" sqref="M16"/>
    </sheetView>
  </sheetViews>
  <sheetFormatPr defaultColWidth="9" defaultRowHeight="14.5"/>
  <cols>
    <col min="1" max="1" width="3.6328125" customWidth="1"/>
    <col min="2" max="2" width="11.6328125" customWidth="1"/>
    <col min="3" max="3" width="9.08984375" style="5"/>
    <col min="8" max="8" width="11.6328125" customWidth="1"/>
    <col min="9" max="18" width="7.36328125" customWidth="1"/>
    <col min="19" max="19" width="3.6328125" customWidth="1"/>
    <col min="20" max="26" width="7.36328125" style="2" customWidth="1"/>
    <col min="27" max="27" width="3.6328125" customWidth="1"/>
    <col min="28" max="34" width="7.36328125" style="2" customWidth="1"/>
    <col min="35" max="35" width="3.6328125" customWidth="1"/>
    <col min="36" max="37" width="7.36328125" style="2" customWidth="1"/>
    <col min="38" max="38" width="3.6328125" customWidth="1"/>
    <col min="39" max="40" width="7.36328125" style="2" customWidth="1"/>
    <col min="41" max="41" width="3.6328125" customWidth="1"/>
    <col min="42" max="43" width="9.08984375" style="2"/>
    <col min="44" max="45" width="9.08984375" style="6"/>
    <col min="47" max="47" width="7.36328125" style="7" customWidth="1"/>
    <col min="48" max="49" width="9.08984375" style="2"/>
  </cols>
  <sheetData>
    <row r="1" spans="2:49" s="53" customFormat="1">
      <c r="B1" s="3" t="s">
        <v>35</v>
      </c>
      <c r="C1" s="54"/>
      <c r="H1" s="3" t="s">
        <v>36</v>
      </c>
      <c r="T1" s="2"/>
      <c r="U1" s="2"/>
      <c r="V1" s="2"/>
      <c r="W1" s="2"/>
      <c r="X1" s="2"/>
      <c r="Y1" s="2"/>
      <c r="Z1" s="2"/>
      <c r="AB1" s="2"/>
      <c r="AC1" s="2"/>
      <c r="AD1" s="2"/>
      <c r="AE1" s="2"/>
      <c r="AF1" s="2"/>
      <c r="AG1" s="2"/>
      <c r="AH1" s="2"/>
      <c r="AJ1" s="2"/>
      <c r="AK1" s="2"/>
      <c r="AM1" s="2"/>
      <c r="AN1" s="2"/>
      <c r="AP1" s="2"/>
      <c r="AQ1" s="2"/>
      <c r="AR1" s="6"/>
      <c r="AS1" s="6"/>
      <c r="AU1" s="7"/>
      <c r="AV1" s="2"/>
      <c r="AW1" s="2"/>
    </row>
    <row r="2" spans="2:49" s="2" customFormat="1">
      <c r="B2" s="13"/>
      <c r="C2" s="14"/>
      <c r="H2" s="13"/>
      <c r="AR2" s="6"/>
      <c r="AS2" s="6"/>
      <c r="AU2" s="7"/>
    </row>
    <row r="3" spans="2:49" s="2" customFormat="1">
      <c r="B3" s="13"/>
      <c r="C3" s="14"/>
      <c r="H3" s="15" t="s">
        <v>37</v>
      </c>
      <c r="I3" s="2">
        <f t="shared" ref="I3:R3" si="0">VLOOKUP(I$5,$B:$E,2,FALSE)</f>
        <v>3.5</v>
      </c>
      <c r="J3" s="2">
        <f t="shared" si="0"/>
        <v>3.75</v>
      </c>
      <c r="K3" s="2">
        <f t="shared" si="0"/>
        <v>4</v>
      </c>
      <c r="L3" s="2">
        <f t="shared" si="0"/>
        <v>4.25</v>
      </c>
      <c r="M3" s="2">
        <f t="shared" si="0"/>
        <v>4.5</v>
      </c>
      <c r="N3" s="2">
        <f t="shared" si="0"/>
        <v>3.5</v>
      </c>
      <c r="O3" s="2">
        <f t="shared" si="0"/>
        <v>3.75</v>
      </c>
      <c r="P3" s="2">
        <f t="shared" si="0"/>
        <v>4</v>
      </c>
      <c r="Q3" s="2">
        <f t="shared" si="0"/>
        <v>4.25</v>
      </c>
      <c r="R3" s="2">
        <f t="shared" si="0"/>
        <v>4.5</v>
      </c>
      <c r="AM3" s="3" t="s">
        <v>44</v>
      </c>
      <c r="AR3" s="6"/>
      <c r="AS3" s="6"/>
      <c r="AU3" s="7"/>
    </row>
    <row r="4" spans="2:49" s="2" customFormat="1">
      <c r="B4" s="13"/>
      <c r="C4" s="14"/>
      <c r="H4" s="25" t="s">
        <v>41</v>
      </c>
      <c r="I4" s="20" t="str">
        <f t="shared" ref="I4:R4" si="1">VLOOKUP(I$5,$B:$E,4,FALSE)</f>
        <v>Diet</v>
      </c>
      <c r="J4" s="20" t="str">
        <f t="shared" si="1"/>
        <v>Diet</v>
      </c>
      <c r="K4" s="20" t="str">
        <f t="shared" si="1"/>
        <v>Diet</v>
      </c>
      <c r="L4" s="20" t="str">
        <f t="shared" si="1"/>
        <v>Diet</v>
      </c>
      <c r="M4" s="20" t="str">
        <f t="shared" si="1"/>
        <v>Diet</v>
      </c>
      <c r="N4" s="20" t="str">
        <f t="shared" si="1"/>
        <v>Regular</v>
      </c>
      <c r="O4" s="20" t="str">
        <f t="shared" si="1"/>
        <v>Regular</v>
      </c>
      <c r="P4" s="20" t="str">
        <f t="shared" si="1"/>
        <v>Regular</v>
      </c>
      <c r="Q4" s="20" t="str">
        <f t="shared" si="1"/>
        <v>Regular</v>
      </c>
      <c r="R4" s="20" t="str">
        <f t="shared" si="1"/>
        <v>Regular</v>
      </c>
      <c r="T4" s="3" t="s">
        <v>45</v>
      </c>
      <c r="AB4" s="3" t="s">
        <v>46</v>
      </c>
      <c r="AJ4" s="3" t="s">
        <v>47</v>
      </c>
      <c r="AM4" s="3" t="s">
        <v>47</v>
      </c>
      <c r="AP4" s="3" t="s">
        <v>48</v>
      </c>
      <c r="AR4" s="6"/>
      <c r="AS4" s="6"/>
      <c r="AU4" s="3" t="s">
        <v>49</v>
      </c>
    </row>
    <row r="5" spans="2:49" s="4" customFormat="1" ht="43.5">
      <c r="B5" s="4" t="s">
        <v>50</v>
      </c>
      <c r="C5" s="17" t="s">
        <v>37</v>
      </c>
      <c r="D5" s="4" t="s">
        <v>38</v>
      </c>
      <c r="E5" s="4" t="s">
        <v>41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  <c r="P5" s="4" t="s">
        <v>59</v>
      </c>
      <c r="Q5" s="4" t="s">
        <v>60</v>
      </c>
      <c r="R5" s="4" t="s">
        <v>61</v>
      </c>
      <c r="T5" s="22">
        <v>3.5</v>
      </c>
      <c r="U5" s="22">
        <v>3.75</v>
      </c>
      <c r="V5" s="22">
        <v>4</v>
      </c>
      <c r="W5" s="22">
        <v>4.25</v>
      </c>
      <c r="X5" s="22">
        <v>4.5</v>
      </c>
      <c r="Y5" s="23" t="s">
        <v>42</v>
      </c>
      <c r="Z5" s="23" t="s">
        <v>43</v>
      </c>
      <c r="AB5" s="22">
        <v>3.5</v>
      </c>
      <c r="AC5" s="22">
        <v>3.75</v>
      </c>
      <c r="AD5" s="22">
        <v>4</v>
      </c>
      <c r="AE5" s="22">
        <v>4.25</v>
      </c>
      <c r="AF5" s="22">
        <v>4.5</v>
      </c>
      <c r="AG5" s="23" t="s">
        <v>42</v>
      </c>
      <c r="AH5" s="23" t="s">
        <v>43</v>
      </c>
      <c r="AJ5" s="15" t="s">
        <v>37</v>
      </c>
      <c r="AK5" s="25" t="s">
        <v>41</v>
      </c>
      <c r="AM5" s="15" t="s">
        <v>37</v>
      </c>
      <c r="AN5" s="25" t="s">
        <v>41</v>
      </c>
      <c r="AP5" s="25" t="s">
        <v>73</v>
      </c>
      <c r="AQ5" s="25" t="s">
        <v>74</v>
      </c>
      <c r="AR5" s="28" t="s">
        <v>37</v>
      </c>
      <c r="AS5" s="29" t="s">
        <v>41</v>
      </c>
      <c r="AU5" s="30" t="s">
        <v>75</v>
      </c>
      <c r="AV5" s="34" t="s">
        <v>76</v>
      </c>
      <c r="AW5" s="34" t="s">
        <v>77</v>
      </c>
    </row>
    <row r="6" spans="2:49">
      <c r="B6" s="18" t="s">
        <v>52</v>
      </c>
      <c r="C6" s="5">
        <v>3.5</v>
      </c>
      <c r="D6" s="19" t="s">
        <v>39</v>
      </c>
      <c r="E6" s="19" t="s">
        <v>42</v>
      </c>
      <c r="H6">
        <v>1</v>
      </c>
      <c r="I6">
        <v>3</v>
      </c>
      <c r="J6">
        <v>5</v>
      </c>
      <c r="K6">
        <v>8</v>
      </c>
      <c r="L6">
        <v>11</v>
      </c>
      <c r="M6">
        <v>14</v>
      </c>
      <c r="N6">
        <v>1</v>
      </c>
      <c r="O6">
        <v>2</v>
      </c>
      <c r="P6">
        <v>4</v>
      </c>
      <c r="Q6">
        <v>6</v>
      </c>
      <c r="R6">
        <v>9</v>
      </c>
      <c r="T6" s="2">
        <f>SUMIFS($I6:$R6,$I$3:$R$3,T$5)</f>
        <v>4</v>
      </c>
      <c r="U6" s="2">
        <f t="shared" ref="T6:X15" si="2">SUMIFS($I6:$R6,$I$3:$R$3,U$5)</f>
        <v>7</v>
      </c>
      <c r="V6" s="2">
        <f t="shared" si="2"/>
        <v>12</v>
      </c>
      <c r="W6" s="2">
        <f t="shared" si="2"/>
        <v>17</v>
      </c>
      <c r="X6" s="2">
        <f t="shared" si="2"/>
        <v>23</v>
      </c>
      <c r="Y6" s="2">
        <f t="shared" ref="Y6:Z25" si="3">SUMIFS($I6:$R6,$I$4:$R$4,Y$5)</f>
        <v>41</v>
      </c>
      <c r="Z6" s="2">
        <f t="shared" si="3"/>
        <v>22</v>
      </c>
      <c r="AB6" s="24">
        <f>(T6-MIN($T6:$Z6))/(MAX($T6:$Z6)-MIN($T6:$Z6))</f>
        <v>0</v>
      </c>
      <c r="AC6" s="24">
        <f t="shared" ref="AC6:AC25" si="4">(U6-MIN($T6:$Z6))/(MAX($T6:$Z6)-MIN($T6:$Z6))</f>
        <v>8.1081081081081086E-2</v>
      </c>
      <c r="AD6" s="24">
        <f t="shared" ref="AD6:AD25" si="5">(V6-MIN($T6:$Z6))/(MAX($T6:$Z6)-MIN($T6:$Z6))</f>
        <v>0.21621621621621623</v>
      </c>
      <c r="AE6" s="24">
        <f t="shared" ref="AE6:AE25" si="6">(W6-MIN($T6:$Z6))/(MAX($T6:$Z6)-MIN($T6:$Z6))</f>
        <v>0.35135135135135137</v>
      </c>
      <c r="AF6" s="24">
        <f t="shared" ref="AF6:AF25" si="7">(X6-MIN($T6:$Z6))/(MAX($T6:$Z6)-MIN($T6:$Z6))</f>
        <v>0.51351351351351349</v>
      </c>
      <c r="AG6" s="24">
        <f t="shared" ref="AG6:AG25" si="8">(Y6-MIN($T6:$Z6))/(MAX($T6:$Z6)-MIN($T6:$Z6))</f>
        <v>1</v>
      </c>
      <c r="AH6" s="24">
        <f t="shared" ref="AH6:AH25" si="9">(Z6-MIN($T6:$Z6))/(MAX($T6:$Z6)-MIN($T6:$Z6))</f>
        <v>0.48648648648648651</v>
      </c>
      <c r="AJ6" s="26">
        <f>MAX(AB6:AF6)-MIN(AB6:AF6)</f>
        <v>0.51351351351351349</v>
      </c>
      <c r="AK6" s="26">
        <f>MAX(AG6:AH6)-MIN(AG6:AH6)</f>
        <v>0.51351351351351349</v>
      </c>
      <c r="AM6" s="26">
        <f>AJ6/SUM($AJ6:$AK6)</f>
        <v>0.5</v>
      </c>
      <c r="AN6" s="26">
        <f t="shared" ref="AN6:AN25" si="10">AK6/SUM($AJ6:$AK6)</f>
        <v>0.5</v>
      </c>
      <c r="AP6" s="20" t="str">
        <f>INDEX($AM$5:$AN$5,,MATCH(MAX(AM6:AN6),AM6:AN6,0))</f>
        <v>Price</v>
      </c>
      <c r="AQ6" s="20">
        <f>INDEX(AR6:AS6,,MATCH(AP6,$AR$5:$AS$5,0))</f>
        <v>3.5</v>
      </c>
      <c r="AR6" s="6">
        <f>INDEX($AB$5:$AF$5,,MATCH(MIN(AB6:AF6),AB6:AF6,0))</f>
        <v>3.5</v>
      </c>
      <c r="AS6" s="31" t="str">
        <f>INDEX($AG$5:$AH$5,,MATCH(MIN(AG6:AH6),AG6:AH6,0))</f>
        <v>Regular</v>
      </c>
      <c r="AU6" s="7">
        <f>COUNTIFS(AP:AP,AV6,AQ:AQ,AW6)</f>
        <v>3</v>
      </c>
      <c r="AV6" s="2" t="s">
        <v>41</v>
      </c>
      <c r="AW6" s="2" t="s">
        <v>43</v>
      </c>
    </row>
    <row r="7" spans="2:49">
      <c r="B7" s="18" t="s">
        <v>53</v>
      </c>
      <c r="C7" s="5">
        <v>3.75</v>
      </c>
      <c r="D7" s="19" t="s">
        <v>39</v>
      </c>
      <c r="E7" s="19" t="s">
        <v>42</v>
      </c>
      <c r="H7">
        <v>2</v>
      </c>
      <c r="I7">
        <v>3</v>
      </c>
      <c r="J7">
        <v>7</v>
      </c>
      <c r="K7">
        <v>11</v>
      </c>
      <c r="L7">
        <v>15</v>
      </c>
      <c r="M7">
        <v>19</v>
      </c>
      <c r="N7">
        <v>4</v>
      </c>
      <c r="O7">
        <v>8</v>
      </c>
      <c r="P7">
        <v>12</v>
      </c>
      <c r="Q7">
        <v>16</v>
      </c>
      <c r="R7">
        <v>20</v>
      </c>
      <c r="T7" s="2">
        <f t="shared" si="2"/>
        <v>7</v>
      </c>
      <c r="U7" s="2">
        <f t="shared" si="2"/>
        <v>15</v>
      </c>
      <c r="V7" s="2">
        <f t="shared" si="2"/>
        <v>23</v>
      </c>
      <c r="W7" s="2">
        <f t="shared" si="2"/>
        <v>31</v>
      </c>
      <c r="X7" s="2">
        <f t="shared" si="2"/>
        <v>39</v>
      </c>
      <c r="Y7" s="2">
        <f t="shared" si="3"/>
        <v>55</v>
      </c>
      <c r="Z7" s="2">
        <f t="shared" si="3"/>
        <v>60</v>
      </c>
      <c r="AB7" s="24">
        <f t="shared" ref="AB7:AB25" si="11">(T7-MIN($T7:$Z7))/(MAX($T7:$Z7)-MIN($T7:$Z7))</f>
        <v>0</v>
      </c>
      <c r="AC7" s="24">
        <f t="shared" si="4"/>
        <v>0.15094339622641509</v>
      </c>
      <c r="AD7" s="24">
        <f t="shared" si="5"/>
        <v>0.30188679245283018</v>
      </c>
      <c r="AE7" s="24">
        <f t="shared" si="6"/>
        <v>0.45283018867924529</v>
      </c>
      <c r="AF7" s="24">
        <f t="shared" si="7"/>
        <v>0.60377358490566035</v>
      </c>
      <c r="AG7" s="24">
        <f t="shared" si="8"/>
        <v>0.90566037735849059</v>
      </c>
      <c r="AH7" s="24">
        <f t="shared" si="9"/>
        <v>1</v>
      </c>
      <c r="AJ7" s="26">
        <f t="shared" ref="AJ7:AJ25" si="12">MAX(AB7:AF7)-MIN(AB7:AF7)</f>
        <v>0.60377358490566035</v>
      </c>
      <c r="AK7" s="26">
        <f t="shared" ref="AK7:AK25" si="13">MAX(AG7:AH7)-MIN(AG7:AH7)</f>
        <v>9.4339622641509413E-2</v>
      </c>
      <c r="AM7" s="26">
        <f t="shared" ref="AM7:AM25" si="14">AJ7/SUM($AJ7:$AK7)</f>
        <v>0.86486486486486491</v>
      </c>
      <c r="AN7" s="26">
        <f t="shared" si="10"/>
        <v>0.13513513513513511</v>
      </c>
      <c r="AP7" s="20" t="str">
        <f t="array" ref="AP7">INDEX($AM$5:$AN$5,,MATCH(MAX(AM7:AN7),AM7:AN7,0))</f>
        <v>Price</v>
      </c>
      <c r="AQ7" s="20">
        <f t="array" ref="AQ7">INDEX(AR7:AS7,,MATCH(AP7,$AR$5:$AS$5,0))</f>
        <v>3.5</v>
      </c>
      <c r="AR7" s="6">
        <f>INDEX($AB$5:$AF$5,,MATCH(MIN(AB7:AF7),AB7:AF7,0))</f>
        <v>3.5</v>
      </c>
      <c r="AS7" s="31" t="str">
        <f t="array" ref="AS7">INDEX($AG$5:$AH$5,,MATCH(MIN(AG7:AH7),AG7:AH7,0))</f>
        <v>Diet</v>
      </c>
      <c r="AU7" s="7">
        <f>COUNTIFS(AP:AP,AV7,AQ:AQ,AW7)</f>
        <v>8</v>
      </c>
      <c r="AV7" s="2" t="s">
        <v>41</v>
      </c>
      <c r="AW7" s="2" t="s">
        <v>42</v>
      </c>
    </row>
    <row r="8" spans="2:49">
      <c r="B8" s="18" t="s">
        <v>54</v>
      </c>
      <c r="C8" s="5">
        <v>4</v>
      </c>
      <c r="D8" s="19" t="s">
        <v>39</v>
      </c>
      <c r="E8" s="19" t="s">
        <v>42</v>
      </c>
      <c r="H8">
        <v>3</v>
      </c>
      <c r="I8">
        <v>5</v>
      </c>
      <c r="J8">
        <v>8</v>
      </c>
      <c r="K8">
        <v>12</v>
      </c>
      <c r="L8">
        <v>15</v>
      </c>
      <c r="M8">
        <v>18</v>
      </c>
      <c r="N8">
        <v>11</v>
      </c>
      <c r="O8">
        <v>14</v>
      </c>
      <c r="P8">
        <v>17</v>
      </c>
      <c r="Q8">
        <v>19</v>
      </c>
      <c r="R8">
        <v>20</v>
      </c>
      <c r="T8" s="2">
        <f t="shared" si="2"/>
        <v>16</v>
      </c>
      <c r="U8" s="2">
        <f t="shared" si="2"/>
        <v>22</v>
      </c>
      <c r="V8" s="2">
        <f t="shared" si="2"/>
        <v>29</v>
      </c>
      <c r="W8" s="2">
        <f t="shared" si="2"/>
        <v>34</v>
      </c>
      <c r="X8" s="2">
        <f t="shared" si="2"/>
        <v>38</v>
      </c>
      <c r="Y8" s="2">
        <f t="shared" si="3"/>
        <v>58</v>
      </c>
      <c r="Z8" s="2">
        <f t="shared" si="3"/>
        <v>81</v>
      </c>
      <c r="AB8" s="24">
        <f t="shared" si="11"/>
        <v>0</v>
      </c>
      <c r="AC8" s="24">
        <f t="shared" si="4"/>
        <v>9.2307692307692313E-2</v>
      </c>
      <c r="AD8" s="24">
        <f t="shared" si="5"/>
        <v>0.2</v>
      </c>
      <c r="AE8" s="24">
        <f t="shared" si="6"/>
        <v>0.27692307692307694</v>
      </c>
      <c r="AF8" s="24">
        <f t="shared" si="7"/>
        <v>0.33846153846153848</v>
      </c>
      <c r="AG8" s="24">
        <f t="shared" si="8"/>
        <v>0.64615384615384619</v>
      </c>
      <c r="AH8" s="24">
        <f t="shared" si="9"/>
        <v>1</v>
      </c>
      <c r="AJ8" s="26">
        <f t="shared" si="12"/>
        <v>0.33846153846153848</v>
      </c>
      <c r="AK8" s="26">
        <f t="shared" si="13"/>
        <v>0.35384615384615381</v>
      </c>
      <c r="AM8" s="26">
        <f t="shared" si="14"/>
        <v>0.48888888888888893</v>
      </c>
      <c r="AN8" s="26">
        <f t="shared" si="10"/>
        <v>0.51111111111111107</v>
      </c>
      <c r="AP8" s="20" t="str">
        <f t="array" ref="AP8">INDEX($AM$5:$AN$5,,MATCH(MAX(AM8:AN8),AM8:AN8,0))</f>
        <v>Sugar</v>
      </c>
      <c r="AQ8" s="20" t="str">
        <f t="array" ref="AQ8">INDEX(AR8:AS8,,MATCH(AP8,$AR$5:$AS$5,0))</f>
        <v>Diet</v>
      </c>
      <c r="AR8" s="6">
        <f t="array" ref="AR8">INDEX($AB$5:$AF$5,,MATCH(MIN(AB8:AF8),AB8:AF8,0))</f>
        <v>3.5</v>
      </c>
      <c r="AS8" s="31" t="str">
        <f>INDEX($AG$5:$AH$5,,MATCH(MIN(AG8:AH8),AG8:AH8,0))</f>
        <v>Diet</v>
      </c>
      <c r="AU8" s="7">
        <f>COUNTIFS(AP:AP,AV8,AQ:AQ,AW8)</f>
        <v>9</v>
      </c>
      <c r="AV8" s="2" t="s">
        <v>37</v>
      </c>
      <c r="AW8" s="35">
        <v>3.5</v>
      </c>
    </row>
    <row r="9" spans="2:49">
      <c r="B9" s="18" t="s">
        <v>55</v>
      </c>
      <c r="C9" s="5">
        <v>4.25</v>
      </c>
      <c r="D9" s="19" t="s">
        <v>39</v>
      </c>
      <c r="E9" s="19" t="s">
        <v>42</v>
      </c>
      <c r="H9">
        <v>4</v>
      </c>
      <c r="I9">
        <v>1</v>
      </c>
      <c r="J9">
        <v>2</v>
      </c>
      <c r="K9">
        <v>3</v>
      </c>
      <c r="L9">
        <v>6</v>
      </c>
      <c r="M9">
        <v>9</v>
      </c>
      <c r="N9">
        <v>4</v>
      </c>
      <c r="O9">
        <v>7</v>
      </c>
      <c r="P9">
        <v>10</v>
      </c>
      <c r="Q9">
        <v>13</v>
      </c>
      <c r="R9">
        <v>16</v>
      </c>
      <c r="T9" s="2">
        <f t="shared" si="2"/>
        <v>5</v>
      </c>
      <c r="U9" s="2">
        <f t="shared" si="2"/>
        <v>9</v>
      </c>
      <c r="V9" s="2">
        <f t="shared" si="2"/>
        <v>13</v>
      </c>
      <c r="W9" s="2">
        <f t="shared" si="2"/>
        <v>19</v>
      </c>
      <c r="X9" s="2">
        <f t="shared" si="2"/>
        <v>25</v>
      </c>
      <c r="Y9" s="2">
        <f t="shared" si="3"/>
        <v>21</v>
      </c>
      <c r="Z9" s="2">
        <f t="shared" si="3"/>
        <v>50</v>
      </c>
      <c r="AB9" s="24">
        <f t="shared" si="11"/>
        <v>0</v>
      </c>
      <c r="AC9" s="24">
        <f t="shared" si="4"/>
        <v>8.8888888888888892E-2</v>
      </c>
      <c r="AD9" s="24">
        <f t="shared" si="5"/>
        <v>0.17777777777777778</v>
      </c>
      <c r="AE9" s="24">
        <f t="shared" si="6"/>
        <v>0.31111111111111112</v>
      </c>
      <c r="AF9" s="24">
        <f t="shared" si="7"/>
        <v>0.44444444444444442</v>
      </c>
      <c r="AG9" s="24">
        <f t="shared" si="8"/>
        <v>0.35555555555555557</v>
      </c>
      <c r="AH9" s="24">
        <f t="shared" si="9"/>
        <v>1</v>
      </c>
      <c r="AJ9" s="26">
        <f t="shared" si="12"/>
        <v>0.44444444444444442</v>
      </c>
      <c r="AK9" s="26">
        <f t="shared" si="13"/>
        <v>0.64444444444444438</v>
      </c>
      <c r="AM9" s="26">
        <f t="shared" si="14"/>
        <v>0.40816326530612246</v>
      </c>
      <c r="AN9" s="26">
        <f t="shared" si="10"/>
        <v>0.59183673469387754</v>
      </c>
      <c r="AP9" s="20" t="str">
        <f t="array" ref="AP9">INDEX($AM$5:$AN$5,,MATCH(MAX(AM9:AN9),AM9:AN9,0))</f>
        <v>Sugar</v>
      </c>
      <c r="AQ9" s="20" t="str">
        <f t="array" ref="AQ9">INDEX(AR9:AS9,,MATCH(AP9,$AR$5:$AS$5,0))</f>
        <v>Diet</v>
      </c>
      <c r="AR9" s="6">
        <f t="array" ref="AR9">INDEX($AB$5:$AF$5,,MATCH(MIN(AB9:AF9),AB9:AF9,0))</f>
        <v>3.5</v>
      </c>
      <c r="AS9" s="31" t="str">
        <f t="array" ref="AS9">INDEX($AG$5:$AH$5,,MATCH(MIN(AG9:AH9),AG9:AH9,0))</f>
        <v>Diet</v>
      </c>
    </row>
    <row r="10" spans="2:49">
      <c r="B10" s="18" t="s">
        <v>56</v>
      </c>
      <c r="C10" s="5">
        <v>4.5</v>
      </c>
      <c r="D10" s="19" t="s">
        <v>39</v>
      </c>
      <c r="E10" s="19" t="s">
        <v>42</v>
      </c>
      <c r="H10">
        <v>5</v>
      </c>
      <c r="I10">
        <v>5</v>
      </c>
      <c r="J10">
        <v>8</v>
      </c>
      <c r="K10">
        <v>12</v>
      </c>
      <c r="L10">
        <v>15</v>
      </c>
      <c r="M10">
        <v>18</v>
      </c>
      <c r="N10">
        <v>11</v>
      </c>
      <c r="O10">
        <v>14</v>
      </c>
      <c r="P10">
        <v>17</v>
      </c>
      <c r="Q10">
        <v>19</v>
      </c>
      <c r="R10">
        <v>20</v>
      </c>
      <c r="T10" s="2">
        <f t="shared" si="2"/>
        <v>16</v>
      </c>
      <c r="U10" s="2">
        <f t="shared" si="2"/>
        <v>22</v>
      </c>
      <c r="V10" s="2">
        <f t="shared" si="2"/>
        <v>29</v>
      </c>
      <c r="W10" s="2">
        <f t="shared" si="2"/>
        <v>34</v>
      </c>
      <c r="X10" s="2">
        <f t="shared" si="2"/>
        <v>38</v>
      </c>
      <c r="Y10" s="2">
        <f t="shared" si="3"/>
        <v>58</v>
      </c>
      <c r="Z10" s="2">
        <f t="shared" si="3"/>
        <v>81</v>
      </c>
      <c r="AB10" s="24">
        <f t="shared" si="11"/>
        <v>0</v>
      </c>
      <c r="AC10" s="24">
        <f t="shared" si="4"/>
        <v>9.2307692307692313E-2</v>
      </c>
      <c r="AD10" s="24">
        <f t="shared" si="5"/>
        <v>0.2</v>
      </c>
      <c r="AE10" s="24">
        <f t="shared" si="6"/>
        <v>0.27692307692307694</v>
      </c>
      <c r="AF10" s="24">
        <f t="shared" si="7"/>
        <v>0.33846153846153848</v>
      </c>
      <c r="AG10" s="24">
        <f t="shared" si="8"/>
        <v>0.64615384615384619</v>
      </c>
      <c r="AH10" s="24">
        <f t="shared" si="9"/>
        <v>1</v>
      </c>
      <c r="AJ10" s="26">
        <f t="shared" si="12"/>
        <v>0.33846153846153848</v>
      </c>
      <c r="AK10" s="26">
        <f t="shared" si="13"/>
        <v>0.35384615384615381</v>
      </c>
      <c r="AM10" s="26">
        <f t="shared" si="14"/>
        <v>0.48888888888888893</v>
      </c>
      <c r="AN10" s="26">
        <f t="shared" si="10"/>
        <v>0.51111111111111107</v>
      </c>
      <c r="AP10" s="20" t="str">
        <f t="array" ref="AP10">INDEX($AM$5:$AN$5,,MATCH(MAX(AM10:AN10),AM10:AN10,0))</f>
        <v>Sugar</v>
      </c>
      <c r="AQ10" s="20" t="str">
        <f t="array" ref="AQ10">INDEX(AR10:AS10,,MATCH(AP10,$AR$5:$AS$5,0))</f>
        <v>Diet</v>
      </c>
      <c r="AR10" s="6">
        <f t="array" ref="AR10">INDEX($AB$5:$AF$5,,MATCH(MIN(AB10:AF10),AB10:AF10,0))</f>
        <v>3.5</v>
      </c>
      <c r="AS10" s="31" t="str">
        <f t="array" ref="AS10">INDEX($AG$5:$AH$5,,MATCH(MIN(AG10:AH10),AG10:AH10,0))</f>
        <v>Diet</v>
      </c>
    </row>
    <row r="11" spans="2:49">
      <c r="B11" s="18" t="s">
        <v>57</v>
      </c>
      <c r="C11" s="5">
        <v>3.5</v>
      </c>
      <c r="D11" s="19" t="s">
        <v>39</v>
      </c>
      <c r="E11" s="19" t="s">
        <v>43</v>
      </c>
      <c r="H11">
        <v>6</v>
      </c>
      <c r="I11">
        <v>4</v>
      </c>
      <c r="J11">
        <v>7</v>
      </c>
      <c r="K11">
        <v>10</v>
      </c>
      <c r="L11">
        <v>12</v>
      </c>
      <c r="M11">
        <v>15</v>
      </c>
      <c r="N11">
        <v>1</v>
      </c>
      <c r="O11">
        <v>2</v>
      </c>
      <c r="P11">
        <v>3</v>
      </c>
      <c r="Q11">
        <v>5</v>
      </c>
      <c r="R11">
        <v>8</v>
      </c>
      <c r="T11" s="2">
        <f t="shared" si="2"/>
        <v>5</v>
      </c>
      <c r="U11" s="2">
        <f t="shared" si="2"/>
        <v>9</v>
      </c>
      <c r="V11" s="2">
        <f t="shared" si="2"/>
        <v>13</v>
      </c>
      <c r="W11" s="2">
        <f t="shared" si="2"/>
        <v>17</v>
      </c>
      <c r="X11" s="2">
        <f t="shared" si="2"/>
        <v>23</v>
      </c>
      <c r="Y11" s="2">
        <f t="shared" si="3"/>
        <v>48</v>
      </c>
      <c r="Z11" s="2">
        <f t="shared" si="3"/>
        <v>19</v>
      </c>
      <c r="AB11" s="24">
        <f t="shared" si="11"/>
        <v>0</v>
      </c>
      <c r="AC11" s="24">
        <f t="shared" si="4"/>
        <v>9.3023255813953487E-2</v>
      </c>
      <c r="AD11" s="24">
        <f t="shared" si="5"/>
        <v>0.18604651162790697</v>
      </c>
      <c r="AE11" s="24">
        <f t="shared" si="6"/>
        <v>0.27906976744186046</v>
      </c>
      <c r="AF11" s="24">
        <f t="shared" si="7"/>
        <v>0.41860465116279072</v>
      </c>
      <c r="AG11" s="24">
        <f t="shared" si="8"/>
        <v>1</v>
      </c>
      <c r="AH11" s="24">
        <f t="shared" si="9"/>
        <v>0.32558139534883723</v>
      </c>
      <c r="AJ11" s="26">
        <f t="shared" si="12"/>
        <v>0.41860465116279072</v>
      </c>
      <c r="AK11" s="26">
        <f t="shared" si="13"/>
        <v>0.67441860465116277</v>
      </c>
      <c r="AM11" s="26">
        <f t="shared" si="14"/>
        <v>0.38297872340425537</v>
      </c>
      <c r="AN11" s="26">
        <f t="shared" si="10"/>
        <v>0.61702127659574468</v>
      </c>
      <c r="AP11" s="20" t="str">
        <f t="array" ref="AP11">INDEX($AM$5:$AN$5,,MATCH(MAX(AM11:AN11),AM11:AN11,0))</f>
        <v>Sugar</v>
      </c>
      <c r="AQ11" s="20" t="str">
        <f t="array" ref="AQ11">INDEX(AR11:AS11,,MATCH(AP11,$AR$5:$AS$5,0))</f>
        <v>Regular</v>
      </c>
      <c r="AR11" s="6">
        <f t="array" ref="AR11">INDEX($AB$5:$AF$5,,MATCH(MIN(AB11:AF11),AB11:AF11,0))</f>
        <v>3.5</v>
      </c>
      <c r="AS11" s="31" t="str">
        <f t="array" ref="AS11">INDEX($AG$5:$AH$5,,MATCH(MIN(AG11:AH11),AG11:AH11,0))</f>
        <v>Regular</v>
      </c>
      <c r="AU11" s="7">
        <f>COUNTIFS(AP:AP,AV11)</f>
        <v>11</v>
      </c>
      <c r="AV11" s="2" t="s">
        <v>41</v>
      </c>
    </row>
    <row r="12" spans="2:49">
      <c r="B12" s="18" t="s">
        <v>58</v>
      </c>
      <c r="C12" s="5">
        <v>3.75</v>
      </c>
      <c r="D12" s="19" t="s">
        <v>39</v>
      </c>
      <c r="E12" s="19" t="s">
        <v>43</v>
      </c>
      <c r="H12">
        <v>7</v>
      </c>
      <c r="I12">
        <v>4</v>
      </c>
      <c r="J12">
        <v>7</v>
      </c>
      <c r="K12">
        <v>11</v>
      </c>
      <c r="L12">
        <v>15</v>
      </c>
      <c r="M12">
        <v>18</v>
      </c>
      <c r="N12">
        <v>9</v>
      </c>
      <c r="O12">
        <v>13</v>
      </c>
      <c r="P12">
        <v>16</v>
      </c>
      <c r="Q12">
        <v>19</v>
      </c>
      <c r="R12">
        <v>20</v>
      </c>
      <c r="T12" s="2">
        <f t="shared" si="2"/>
        <v>13</v>
      </c>
      <c r="U12" s="2">
        <f t="shared" si="2"/>
        <v>20</v>
      </c>
      <c r="V12" s="2">
        <f t="shared" si="2"/>
        <v>27</v>
      </c>
      <c r="W12" s="2">
        <f t="shared" si="2"/>
        <v>34</v>
      </c>
      <c r="X12" s="2">
        <f t="shared" si="2"/>
        <v>38</v>
      </c>
      <c r="Y12" s="2">
        <f t="shared" si="3"/>
        <v>55</v>
      </c>
      <c r="Z12" s="2">
        <f t="shared" si="3"/>
        <v>77</v>
      </c>
      <c r="AB12" s="24">
        <f t="shared" si="11"/>
        <v>0</v>
      </c>
      <c r="AC12" s="24">
        <f t="shared" si="4"/>
        <v>0.109375</v>
      </c>
      <c r="AD12" s="24">
        <f t="shared" si="5"/>
        <v>0.21875</v>
      </c>
      <c r="AE12" s="24">
        <f t="shared" si="6"/>
        <v>0.328125</v>
      </c>
      <c r="AF12" s="24">
        <f t="shared" si="7"/>
        <v>0.390625</v>
      </c>
      <c r="AG12" s="24">
        <f t="shared" si="8"/>
        <v>0.65625</v>
      </c>
      <c r="AH12" s="24">
        <f t="shared" si="9"/>
        <v>1</v>
      </c>
      <c r="AJ12" s="26">
        <f t="shared" si="12"/>
        <v>0.390625</v>
      </c>
      <c r="AK12" s="26">
        <f t="shared" si="13"/>
        <v>0.34375</v>
      </c>
      <c r="AM12" s="26">
        <f t="shared" si="14"/>
        <v>0.53191489361702127</v>
      </c>
      <c r="AN12" s="26">
        <f t="shared" si="10"/>
        <v>0.46808510638297873</v>
      </c>
      <c r="AP12" s="20" t="str">
        <f t="array" ref="AP12">INDEX($AM$5:$AN$5,,MATCH(MAX(AM12:AN12),AM12:AN12,0))</f>
        <v>Price</v>
      </c>
      <c r="AQ12" s="20">
        <f t="array" ref="AQ12">INDEX(AR12:AS12,,MATCH(AP12,$AR$5:$AS$5,0))</f>
        <v>3.5</v>
      </c>
      <c r="AR12" s="6">
        <f t="array" ref="AR12">INDEX($AB$5:$AF$5,,MATCH(MIN(AB12:AF12),AB12:AF12,0))</f>
        <v>3.5</v>
      </c>
      <c r="AS12" s="31" t="str">
        <f t="array" ref="AS12">INDEX($AG$5:$AH$5,,MATCH(MIN(AG12:AH12),AG12:AH12,0))</f>
        <v>Diet</v>
      </c>
      <c r="AU12" s="7">
        <f>COUNTIFS(AP:AP,AV12)</f>
        <v>9</v>
      </c>
      <c r="AV12" s="2" t="s">
        <v>37</v>
      </c>
    </row>
    <row r="13" spans="2:49">
      <c r="B13" s="18" t="s">
        <v>59</v>
      </c>
      <c r="C13" s="5">
        <v>4</v>
      </c>
      <c r="D13" s="19" t="s">
        <v>39</v>
      </c>
      <c r="E13" s="19" t="s">
        <v>43</v>
      </c>
      <c r="H13">
        <v>8</v>
      </c>
      <c r="I13">
        <v>12</v>
      </c>
      <c r="J13">
        <v>15</v>
      </c>
      <c r="K13">
        <v>17</v>
      </c>
      <c r="L13">
        <v>19</v>
      </c>
      <c r="M13">
        <v>20</v>
      </c>
      <c r="N13">
        <v>3</v>
      </c>
      <c r="O13">
        <v>5</v>
      </c>
      <c r="P13">
        <v>8</v>
      </c>
      <c r="Q13">
        <v>11</v>
      </c>
      <c r="R13">
        <v>14</v>
      </c>
      <c r="T13" s="2">
        <f t="shared" si="2"/>
        <v>15</v>
      </c>
      <c r="U13" s="2">
        <f t="shared" si="2"/>
        <v>20</v>
      </c>
      <c r="V13" s="2">
        <f t="shared" si="2"/>
        <v>25</v>
      </c>
      <c r="W13" s="2">
        <f t="shared" si="2"/>
        <v>30</v>
      </c>
      <c r="X13" s="2">
        <f t="shared" si="2"/>
        <v>34</v>
      </c>
      <c r="Y13" s="2">
        <f t="shared" si="3"/>
        <v>83</v>
      </c>
      <c r="Z13" s="2">
        <f t="shared" si="3"/>
        <v>41</v>
      </c>
      <c r="AB13" s="24">
        <f t="shared" si="11"/>
        <v>0</v>
      </c>
      <c r="AC13" s="24">
        <f t="shared" si="4"/>
        <v>7.3529411764705885E-2</v>
      </c>
      <c r="AD13" s="24">
        <f t="shared" si="5"/>
        <v>0.14705882352941177</v>
      </c>
      <c r="AE13" s="24">
        <f t="shared" si="6"/>
        <v>0.22058823529411764</v>
      </c>
      <c r="AF13" s="24">
        <f t="shared" si="7"/>
        <v>0.27941176470588236</v>
      </c>
      <c r="AG13" s="24">
        <f t="shared" si="8"/>
        <v>1</v>
      </c>
      <c r="AH13" s="24">
        <f t="shared" si="9"/>
        <v>0.38235294117647056</v>
      </c>
      <c r="AJ13" s="26">
        <f t="shared" si="12"/>
        <v>0.27941176470588236</v>
      </c>
      <c r="AK13" s="26">
        <f t="shared" si="13"/>
        <v>0.61764705882352944</v>
      </c>
      <c r="AM13" s="26">
        <f t="shared" si="14"/>
        <v>0.31147540983606559</v>
      </c>
      <c r="AN13" s="26">
        <f t="shared" si="10"/>
        <v>0.68852459016393441</v>
      </c>
      <c r="AP13" s="20" t="str">
        <f t="array" ref="AP13">INDEX($AM$5:$AN$5,,MATCH(MAX(AM13:AN13),AM13:AN13,0))</f>
        <v>Sugar</v>
      </c>
      <c r="AQ13" s="20" t="str">
        <f t="array" ref="AQ13">INDEX(AR13:AS13,,MATCH(AP13,$AR$5:$AS$5,0))</f>
        <v>Regular</v>
      </c>
      <c r="AR13" s="6">
        <f t="array" ref="AR13">INDEX($AB$5:$AF$5,,MATCH(MIN(AB13:AF13),AB13:AF13,0))</f>
        <v>3.5</v>
      </c>
      <c r="AS13" s="31" t="str">
        <f t="array" ref="AS13">INDEX($AG$5:$AH$5,,MATCH(MIN(AG13:AH13),AG13:AH13,0))</f>
        <v>Regular</v>
      </c>
    </row>
    <row r="14" spans="2:49">
      <c r="B14" s="18" t="s">
        <v>60</v>
      </c>
      <c r="C14" s="5">
        <v>4.25</v>
      </c>
      <c r="D14" s="19" t="s">
        <v>39</v>
      </c>
      <c r="E14" s="19" t="s">
        <v>43</v>
      </c>
      <c r="H14">
        <v>9</v>
      </c>
      <c r="I14">
        <v>4</v>
      </c>
      <c r="J14">
        <v>7</v>
      </c>
      <c r="K14">
        <v>10</v>
      </c>
      <c r="L14">
        <v>13</v>
      </c>
      <c r="M14">
        <v>16</v>
      </c>
      <c r="N14">
        <v>12</v>
      </c>
      <c r="O14">
        <v>15</v>
      </c>
      <c r="P14">
        <v>18</v>
      </c>
      <c r="Q14">
        <v>19</v>
      </c>
      <c r="R14">
        <v>20</v>
      </c>
      <c r="T14" s="2">
        <f t="shared" si="2"/>
        <v>16</v>
      </c>
      <c r="U14" s="2">
        <f t="shared" si="2"/>
        <v>22</v>
      </c>
      <c r="V14" s="2">
        <f t="shared" si="2"/>
        <v>28</v>
      </c>
      <c r="W14" s="2">
        <f t="shared" si="2"/>
        <v>32</v>
      </c>
      <c r="X14" s="2">
        <f t="shared" si="2"/>
        <v>36</v>
      </c>
      <c r="Y14" s="2">
        <f t="shared" si="3"/>
        <v>50</v>
      </c>
      <c r="Z14" s="2">
        <f t="shared" si="3"/>
        <v>84</v>
      </c>
      <c r="AB14" s="24">
        <f t="shared" si="11"/>
        <v>0</v>
      </c>
      <c r="AC14" s="24">
        <f t="shared" si="4"/>
        <v>8.8235294117647065E-2</v>
      </c>
      <c r="AD14" s="24">
        <f t="shared" si="5"/>
        <v>0.17647058823529413</v>
      </c>
      <c r="AE14" s="24">
        <f t="shared" si="6"/>
        <v>0.23529411764705882</v>
      </c>
      <c r="AF14" s="24">
        <f t="shared" si="7"/>
        <v>0.29411764705882354</v>
      </c>
      <c r="AG14" s="24">
        <f t="shared" si="8"/>
        <v>0.5</v>
      </c>
      <c r="AH14" s="24">
        <f t="shared" si="9"/>
        <v>1</v>
      </c>
      <c r="AJ14" s="26">
        <f t="shared" si="12"/>
        <v>0.29411764705882354</v>
      </c>
      <c r="AK14" s="26">
        <f t="shared" si="13"/>
        <v>0.5</v>
      </c>
      <c r="AM14" s="26">
        <f t="shared" si="14"/>
        <v>0.37037037037037035</v>
      </c>
      <c r="AN14" s="26">
        <f t="shared" si="10"/>
        <v>0.62962962962962954</v>
      </c>
      <c r="AP14" s="20" t="str">
        <f t="array" ref="AP14">INDEX($AM$5:$AN$5,,MATCH(MAX(AM14:AN14),AM14:AN14,0))</f>
        <v>Sugar</v>
      </c>
      <c r="AQ14" s="20" t="str">
        <f t="array" ref="AQ14">INDEX(AR14:AS14,,MATCH(AP14,$AR$5:$AS$5,0))</f>
        <v>Diet</v>
      </c>
      <c r="AR14" s="6">
        <f t="array" ref="AR14">INDEX($AB$5:$AF$5,,MATCH(MIN(AB14:AF14),AB14:AF14,0))</f>
        <v>3.5</v>
      </c>
      <c r="AS14" s="31" t="str">
        <f t="array" ref="AS14">INDEX($AG$5:$AH$5,,MATCH(MIN(AG14:AH14),AG14:AH14,0))</f>
        <v>Diet</v>
      </c>
    </row>
    <row r="15" spans="2:49">
      <c r="B15" s="18" t="s">
        <v>61</v>
      </c>
      <c r="C15" s="5">
        <v>4.5</v>
      </c>
      <c r="D15" s="19" t="s">
        <v>39</v>
      </c>
      <c r="E15" s="19" t="s">
        <v>43</v>
      </c>
      <c r="H15">
        <v>10</v>
      </c>
      <c r="I15">
        <v>2</v>
      </c>
      <c r="J15">
        <v>6</v>
      </c>
      <c r="K15">
        <v>10</v>
      </c>
      <c r="L15">
        <v>14</v>
      </c>
      <c r="M15">
        <v>18</v>
      </c>
      <c r="N15">
        <v>2</v>
      </c>
      <c r="O15">
        <v>6</v>
      </c>
      <c r="P15">
        <v>10</v>
      </c>
      <c r="Q15">
        <v>14</v>
      </c>
      <c r="R15">
        <v>18</v>
      </c>
      <c r="T15" s="2">
        <f t="shared" si="2"/>
        <v>4</v>
      </c>
      <c r="U15" s="2">
        <f t="shared" si="2"/>
        <v>12</v>
      </c>
      <c r="V15" s="2">
        <f t="shared" si="2"/>
        <v>20</v>
      </c>
      <c r="W15" s="2">
        <f t="shared" si="2"/>
        <v>28</v>
      </c>
      <c r="X15" s="2">
        <f t="shared" si="2"/>
        <v>36</v>
      </c>
      <c r="Y15" s="2">
        <f t="shared" si="3"/>
        <v>50</v>
      </c>
      <c r="Z15" s="2">
        <f t="shared" si="3"/>
        <v>50</v>
      </c>
      <c r="AB15" s="24">
        <f t="shared" si="11"/>
        <v>0</v>
      </c>
      <c r="AC15" s="24">
        <f t="shared" si="4"/>
        <v>0.17391304347826086</v>
      </c>
      <c r="AD15" s="24">
        <f t="shared" si="5"/>
        <v>0.34782608695652173</v>
      </c>
      <c r="AE15" s="24">
        <f t="shared" si="6"/>
        <v>0.52173913043478259</v>
      </c>
      <c r="AF15" s="24">
        <f t="shared" si="7"/>
        <v>0.69565217391304346</v>
      </c>
      <c r="AG15" s="24">
        <f t="shared" si="8"/>
        <v>1</v>
      </c>
      <c r="AH15" s="24">
        <f t="shared" si="9"/>
        <v>1</v>
      </c>
      <c r="AJ15" s="26">
        <f t="shared" si="12"/>
        <v>0.69565217391304346</v>
      </c>
      <c r="AK15" s="26">
        <f t="shared" si="13"/>
        <v>0</v>
      </c>
      <c r="AM15" s="26">
        <f t="shared" si="14"/>
        <v>1</v>
      </c>
      <c r="AN15" s="26">
        <f t="shared" si="10"/>
        <v>0</v>
      </c>
      <c r="AP15" s="20" t="str">
        <f t="array" ref="AP15">INDEX($AM$5:$AN$5,,MATCH(MAX(AM15:AN15),AM15:AN15,0))</f>
        <v>Price</v>
      </c>
      <c r="AQ15" s="20">
        <f t="array" ref="AQ15">INDEX(AR15:AS15,,MATCH(AP15,$AR$5:$AS$5,0))</f>
        <v>3.5</v>
      </c>
      <c r="AR15" s="6">
        <f t="array" ref="AR15">INDEX($AB$5:$AF$5,,MATCH(MIN(AB15:AF15),AB15:AF15,0))</f>
        <v>3.5</v>
      </c>
      <c r="AS15" s="31" t="str">
        <f t="array" ref="AS15">INDEX($AG$5:$AH$5,,MATCH(MIN(AG15:AH15),AG15:AH15,0))</f>
        <v>Diet</v>
      </c>
    </row>
    <row r="16" spans="2:49">
      <c r="B16" s="18"/>
      <c r="D16" s="19"/>
      <c r="E16" s="19"/>
      <c r="H16">
        <v>11</v>
      </c>
      <c r="I16">
        <v>11</v>
      </c>
      <c r="J16">
        <v>14</v>
      </c>
      <c r="K16">
        <v>17</v>
      </c>
      <c r="L16">
        <v>19</v>
      </c>
      <c r="M16">
        <v>20</v>
      </c>
      <c r="N16">
        <v>3</v>
      </c>
      <c r="O16">
        <v>6</v>
      </c>
      <c r="P16">
        <v>9</v>
      </c>
      <c r="Q16">
        <v>13</v>
      </c>
      <c r="R16">
        <v>16</v>
      </c>
      <c r="T16" s="2">
        <f t="shared" ref="T16:X25" si="15">SUMIFS($I16:$R16,$I$3:$R$3,T$5)</f>
        <v>14</v>
      </c>
      <c r="U16" s="2">
        <f t="shared" si="15"/>
        <v>20</v>
      </c>
      <c r="V16" s="2">
        <f t="shared" si="15"/>
        <v>26</v>
      </c>
      <c r="W16" s="2">
        <f t="shared" si="15"/>
        <v>32</v>
      </c>
      <c r="X16" s="2">
        <f t="shared" si="15"/>
        <v>36</v>
      </c>
      <c r="Y16" s="2">
        <f t="shared" si="3"/>
        <v>81</v>
      </c>
      <c r="Z16" s="2">
        <f t="shared" si="3"/>
        <v>47</v>
      </c>
      <c r="AB16" s="24">
        <f t="shared" si="11"/>
        <v>0</v>
      </c>
      <c r="AC16" s="24">
        <f t="shared" si="4"/>
        <v>8.9552238805970144E-2</v>
      </c>
      <c r="AD16" s="24">
        <f t="shared" si="5"/>
        <v>0.17910447761194029</v>
      </c>
      <c r="AE16" s="24">
        <f t="shared" si="6"/>
        <v>0.26865671641791045</v>
      </c>
      <c r="AF16" s="24">
        <f t="shared" si="7"/>
        <v>0.32835820895522388</v>
      </c>
      <c r="AG16" s="24">
        <f t="shared" si="8"/>
        <v>1</v>
      </c>
      <c r="AH16" s="24">
        <f t="shared" si="9"/>
        <v>0.4925373134328358</v>
      </c>
      <c r="AJ16" s="26">
        <f t="shared" si="12"/>
        <v>0.32835820895522388</v>
      </c>
      <c r="AK16" s="26">
        <f t="shared" si="13"/>
        <v>0.5074626865671642</v>
      </c>
      <c r="AM16" s="26">
        <f t="shared" si="14"/>
        <v>0.39285714285714285</v>
      </c>
      <c r="AN16" s="26">
        <f t="shared" si="10"/>
        <v>0.60714285714285721</v>
      </c>
      <c r="AP16" s="20" t="str">
        <f t="array" ref="AP16">INDEX($AM$5:$AN$5,,MATCH(MAX(AM16:AN16),AM16:AN16,0))</f>
        <v>Sugar</v>
      </c>
      <c r="AQ16" s="20" t="str">
        <f t="array" ref="AQ16">INDEX(AR16:AS16,,MATCH(AP16,$AR$5:$AS$5,0))</f>
        <v>Regular</v>
      </c>
      <c r="AR16" s="6">
        <f t="array" ref="AR16">INDEX($AB$5:$AF$5,,MATCH(MIN(AB16:AF16),AB16:AF16,0))</f>
        <v>3.5</v>
      </c>
      <c r="AS16" s="31" t="str">
        <f t="array" ref="AS16">INDEX($AG$5:$AH$5,,MATCH(MIN(AG16:AH16),AG16:AH16,0))</f>
        <v>Regular</v>
      </c>
    </row>
    <row r="17" spans="2:45">
      <c r="B17" s="18"/>
      <c r="D17" s="19"/>
      <c r="E17" s="19"/>
      <c r="H17">
        <v>12</v>
      </c>
      <c r="I17">
        <v>4</v>
      </c>
      <c r="J17">
        <v>7</v>
      </c>
      <c r="K17">
        <v>10</v>
      </c>
      <c r="L17">
        <v>12</v>
      </c>
      <c r="M17">
        <v>15</v>
      </c>
      <c r="N17">
        <v>13</v>
      </c>
      <c r="O17">
        <v>16</v>
      </c>
      <c r="P17">
        <v>18</v>
      </c>
      <c r="Q17">
        <v>19</v>
      </c>
      <c r="R17">
        <v>20</v>
      </c>
      <c r="T17" s="2">
        <f t="shared" si="15"/>
        <v>17</v>
      </c>
      <c r="U17" s="2">
        <f t="shared" si="15"/>
        <v>23</v>
      </c>
      <c r="V17" s="2">
        <f t="shared" si="15"/>
        <v>28</v>
      </c>
      <c r="W17" s="2">
        <f t="shared" si="15"/>
        <v>31</v>
      </c>
      <c r="X17" s="2">
        <f t="shared" si="15"/>
        <v>35</v>
      </c>
      <c r="Y17" s="2">
        <f t="shared" si="3"/>
        <v>48</v>
      </c>
      <c r="Z17" s="2">
        <f t="shared" si="3"/>
        <v>86</v>
      </c>
      <c r="AB17" s="24">
        <f t="shared" si="11"/>
        <v>0</v>
      </c>
      <c r="AC17" s="24">
        <f t="shared" si="4"/>
        <v>8.6956521739130432E-2</v>
      </c>
      <c r="AD17" s="24">
        <f t="shared" si="5"/>
        <v>0.15942028985507245</v>
      </c>
      <c r="AE17" s="24">
        <f t="shared" si="6"/>
        <v>0.20289855072463769</v>
      </c>
      <c r="AF17" s="24">
        <f t="shared" si="7"/>
        <v>0.2608695652173913</v>
      </c>
      <c r="AG17" s="24">
        <f t="shared" si="8"/>
        <v>0.44927536231884058</v>
      </c>
      <c r="AH17" s="24">
        <f t="shared" si="9"/>
        <v>1</v>
      </c>
      <c r="AJ17" s="26">
        <f t="shared" si="12"/>
        <v>0.2608695652173913</v>
      </c>
      <c r="AK17" s="26">
        <f t="shared" si="13"/>
        <v>0.55072463768115942</v>
      </c>
      <c r="AM17" s="26">
        <f t="shared" si="14"/>
        <v>0.3214285714285714</v>
      </c>
      <c r="AN17" s="26">
        <f t="shared" si="10"/>
        <v>0.67857142857142849</v>
      </c>
      <c r="AP17" s="20" t="str">
        <f t="array" ref="AP17">INDEX($AM$5:$AN$5,,MATCH(MAX(AM17:AN17),AM17:AN17,0))</f>
        <v>Sugar</v>
      </c>
      <c r="AQ17" s="20" t="str">
        <f t="array" ref="AQ17">INDEX(AR17:AS17,,MATCH(AP17,$AR$5:$AS$5,0))</f>
        <v>Diet</v>
      </c>
      <c r="AR17" s="6">
        <f t="array" ref="AR17">INDEX($AB$5:$AF$5,,MATCH(MIN(AB17:AF17),AB17:AF17,0))</f>
        <v>3.5</v>
      </c>
      <c r="AS17" s="31" t="str">
        <f t="array" ref="AS17">INDEX($AG$5:$AH$5,,MATCH(MIN(AG17:AH17),AG17:AH17,0))</f>
        <v>Diet</v>
      </c>
    </row>
    <row r="18" spans="2:45">
      <c r="B18" s="18"/>
      <c r="D18" s="19"/>
      <c r="E18" s="19"/>
      <c r="H18">
        <v>13</v>
      </c>
      <c r="I18">
        <v>2</v>
      </c>
      <c r="J18">
        <v>6</v>
      </c>
      <c r="K18">
        <v>10</v>
      </c>
      <c r="L18">
        <v>14</v>
      </c>
      <c r="M18">
        <v>18</v>
      </c>
      <c r="N18">
        <v>1</v>
      </c>
      <c r="O18">
        <v>5</v>
      </c>
      <c r="P18">
        <v>9</v>
      </c>
      <c r="Q18">
        <v>13</v>
      </c>
      <c r="R18">
        <v>17</v>
      </c>
      <c r="T18" s="2">
        <f t="shared" si="15"/>
        <v>3</v>
      </c>
      <c r="U18" s="2">
        <f t="shared" si="15"/>
        <v>11</v>
      </c>
      <c r="V18" s="2">
        <f t="shared" si="15"/>
        <v>19</v>
      </c>
      <c r="W18" s="2">
        <f t="shared" si="15"/>
        <v>27</v>
      </c>
      <c r="X18" s="2">
        <f t="shared" si="15"/>
        <v>35</v>
      </c>
      <c r="Y18" s="2">
        <f t="shared" si="3"/>
        <v>50</v>
      </c>
      <c r="Z18" s="2">
        <f t="shared" si="3"/>
        <v>45</v>
      </c>
      <c r="AB18" s="24">
        <f t="shared" si="11"/>
        <v>0</v>
      </c>
      <c r="AC18" s="24">
        <f t="shared" si="4"/>
        <v>0.1702127659574468</v>
      </c>
      <c r="AD18" s="24">
        <f t="shared" si="5"/>
        <v>0.34042553191489361</v>
      </c>
      <c r="AE18" s="24">
        <f t="shared" si="6"/>
        <v>0.51063829787234039</v>
      </c>
      <c r="AF18" s="24">
        <f t="shared" si="7"/>
        <v>0.68085106382978722</v>
      </c>
      <c r="AG18" s="24">
        <f t="shared" si="8"/>
        <v>1</v>
      </c>
      <c r="AH18" s="24">
        <f t="shared" si="9"/>
        <v>0.8936170212765957</v>
      </c>
      <c r="AJ18" s="26">
        <f t="shared" si="12"/>
        <v>0.68085106382978722</v>
      </c>
      <c r="AK18" s="26">
        <f t="shared" si="13"/>
        <v>0.1063829787234043</v>
      </c>
      <c r="AM18" s="26">
        <f t="shared" si="14"/>
        <v>0.8648648648648648</v>
      </c>
      <c r="AN18" s="26">
        <f t="shared" si="10"/>
        <v>0.1351351351351352</v>
      </c>
      <c r="AP18" s="20" t="str">
        <f t="array" ref="AP18">INDEX($AM$5:$AN$5,,MATCH(MAX(AM18:AN18),AM18:AN18,0))</f>
        <v>Price</v>
      </c>
      <c r="AQ18" s="20">
        <f t="array" ref="AQ18">INDEX(AR18:AS18,,MATCH(AP18,$AR$5:$AS$5,0))</f>
        <v>3.5</v>
      </c>
      <c r="AR18" s="6">
        <f t="array" ref="AR18">INDEX($AB$5:$AF$5,,MATCH(MIN(AB18:AF18),AB18:AF18,0))</f>
        <v>3.5</v>
      </c>
      <c r="AS18" s="31" t="str">
        <f t="array" ref="AS18">INDEX($AG$5:$AH$5,,MATCH(MIN(AG18:AH18),AG18:AH18,0))</f>
        <v>Regular</v>
      </c>
    </row>
    <row r="19" spans="2:45">
      <c r="B19" s="18"/>
      <c r="D19" s="19"/>
      <c r="E19" s="19"/>
      <c r="H19">
        <v>14</v>
      </c>
      <c r="I19">
        <v>1</v>
      </c>
      <c r="J19">
        <v>2</v>
      </c>
      <c r="K19">
        <v>5</v>
      </c>
      <c r="L19">
        <v>8</v>
      </c>
      <c r="M19">
        <v>12</v>
      </c>
      <c r="N19">
        <v>3</v>
      </c>
      <c r="O19">
        <v>6</v>
      </c>
      <c r="P19">
        <v>10</v>
      </c>
      <c r="Q19">
        <v>14</v>
      </c>
      <c r="R19">
        <v>17</v>
      </c>
      <c r="T19" s="2">
        <f t="shared" si="15"/>
        <v>4</v>
      </c>
      <c r="U19" s="2">
        <f t="shared" si="15"/>
        <v>8</v>
      </c>
      <c r="V19" s="2">
        <f t="shared" si="15"/>
        <v>15</v>
      </c>
      <c r="W19" s="2">
        <f t="shared" si="15"/>
        <v>22</v>
      </c>
      <c r="X19" s="2">
        <f t="shared" si="15"/>
        <v>29</v>
      </c>
      <c r="Y19" s="2">
        <f t="shared" si="3"/>
        <v>28</v>
      </c>
      <c r="Z19" s="2">
        <f t="shared" si="3"/>
        <v>50</v>
      </c>
      <c r="AB19" s="24">
        <f t="shared" si="11"/>
        <v>0</v>
      </c>
      <c r="AC19" s="24">
        <f t="shared" si="4"/>
        <v>8.6956521739130432E-2</v>
      </c>
      <c r="AD19" s="24">
        <f t="shared" si="5"/>
        <v>0.2391304347826087</v>
      </c>
      <c r="AE19" s="24">
        <f t="shared" si="6"/>
        <v>0.39130434782608697</v>
      </c>
      <c r="AF19" s="24">
        <f t="shared" si="7"/>
        <v>0.54347826086956519</v>
      </c>
      <c r="AG19" s="24">
        <f t="shared" si="8"/>
        <v>0.52173913043478259</v>
      </c>
      <c r="AH19" s="24">
        <f t="shared" si="9"/>
        <v>1</v>
      </c>
      <c r="AJ19" s="26">
        <f t="shared" si="12"/>
        <v>0.54347826086956519</v>
      </c>
      <c r="AK19" s="26">
        <f t="shared" si="13"/>
        <v>0.47826086956521741</v>
      </c>
      <c r="AM19" s="26">
        <f t="shared" si="14"/>
        <v>0.53191489361702116</v>
      </c>
      <c r="AN19" s="26">
        <f t="shared" si="10"/>
        <v>0.46808510638297868</v>
      </c>
      <c r="AP19" s="20" t="str">
        <f t="array" ref="AP19">INDEX($AM$5:$AN$5,,MATCH(MAX(AM19:AN19),AM19:AN19,0))</f>
        <v>Price</v>
      </c>
      <c r="AQ19" s="20">
        <f t="array" ref="AQ19">INDEX(AR19:AS19,,MATCH(AP19,$AR$5:$AS$5,0))</f>
        <v>3.5</v>
      </c>
      <c r="AR19" s="6">
        <f t="array" ref="AR19">INDEX($AB$5:$AF$5,,MATCH(MIN(AB19:AF19),AB19:AF19,0))</f>
        <v>3.5</v>
      </c>
      <c r="AS19" s="31" t="str">
        <f t="array" ref="AS19">INDEX($AG$5:$AH$5,,MATCH(MIN(AG19:AH19),AG19:AH19,0))</f>
        <v>Diet</v>
      </c>
    </row>
    <row r="20" spans="2:45">
      <c r="B20" s="18"/>
      <c r="D20" s="19"/>
      <c r="E20" s="19"/>
      <c r="H20">
        <v>15</v>
      </c>
      <c r="I20">
        <v>1</v>
      </c>
      <c r="J20">
        <v>2</v>
      </c>
      <c r="K20">
        <v>4</v>
      </c>
      <c r="L20">
        <v>6</v>
      </c>
      <c r="M20">
        <v>9</v>
      </c>
      <c r="N20">
        <v>7</v>
      </c>
      <c r="O20">
        <v>10</v>
      </c>
      <c r="P20">
        <v>13</v>
      </c>
      <c r="Q20">
        <v>16</v>
      </c>
      <c r="R20">
        <v>18</v>
      </c>
      <c r="T20" s="2">
        <f t="shared" si="15"/>
        <v>8</v>
      </c>
      <c r="U20" s="2">
        <f t="shared" si="15"/>
        <v>12</v>
      </c>
      <c r="V20" s="2">
        <f t="shared" si="15"/>
        <v>17</v>
      </c>
      <c r="W20" s="2">
        <f t="shared" si="15"/>
        <v>22</v>
      </c>
      <c r="X20" s="2">
        <f t="shared" si="15"/>
        <v>27</v>
      </c>
      <c r="Y20" s="2">
        <f t="shared" si="3"/>
        <v>22</v>
      </c>
      <c r="Z20" s="2">
        <f t="shared" si="3"/>
        <v>64</v>
      </c>
      <c r="AB20" s="24">
        <f t="shared" si="11"/>
        <v>0</v>
      </c>
      <c r="AC20" s="24">
        <f t="shared" si="4"/>
        <v>7.1428571428571425E-2</v>
      </c>
      <c r="AD20" s="24">
        <f t="shared" si="5"/>
        <v>0.16071428571428573</v>
      </c>
      <c r="AE20" s="24">
        <f t="shared" si="6"/>
        <v>0.25</v>
      </c>
      <c r="AF20" s="24">
        <f t="shared" si="7"/>
        <v>0.3392857142857143</v>
      </c>
      <c r="AG20" s="24">
        <f t="shared" si="8"/>
        <v>0.25</v>
      </c>
      <c r="AH20" s="24">
        <f t="shared" si="9"/>
        <v>1</v>
      </c>
      <c r="AJ20" s="26">
        <f t="shared" si="12"/>
        <v>0.3392857142857143</v>
      </c>
      <c r="AK20" s="26">
        <f t="shared" si="13"/>
        <v>0.75</v>
      </c>
      <c r="AM20" s="26">
        <f t="shared" si="14"/>
        <v>0.31147540983606553</v>
      </c>
      <c r="AN20" s="26">
        <f t="shared" si="10"/>
        <v>0.6885245901639343</v>
      </c>
      <c r="AP20" s="20" t="str">
        <f t="array" ref="AP20">INDEX($AM$5:$AN$5,,MATCH(MAX(AM20:AN20),AM20:AN20,0))</f>
        <v>Sugar</v>
      </c>
      <c r="AQ20" s="20" t="str">
        <f t="array" ref="AQ20">INDEX(AR20:AS20,,MATCH(AP20,$AR$5:$AS$5,0))</f>
        <v>Diet</v>
      </c>
      <c r="AR20" s="6">
        <f t="array" ref="AR20">INDEX($AB$5:$AF$5,,MATCH(MIN(AB20:AF20),AB20:AF20,0))</f>
        <v>3.5</v>
      </c>
      <c r="AS20" s="31" t="str">
        <f t="array" ref="AS20">INDEX($AG$5:$AH$5,,MATCH(MIN(AG20:AH20),AG20:AH20,0))</f>
        <v>Diet</v>
      </c>
    </row>
    <row r="21" spans="2:45">
      <c r="B21" s="18"/>
      <c r="D21" s="19"/>
      <c r="E21" s="19"/>
      <c r="H21">
        <v>16</v>
      </c>
      <c r="I21">
        <v>1</v>
      </c>
      <c r="J21">
        <v>2</v>
      </c>
      <c r="K21">
        <v>3</v>
      </c>
      <c r="L21">
        <v>6</v>
      </c>
      <c r="M21">
        <v>9</v>
      </c>
      <c r="N21">
        <v>4</v>
      </c>
      <c r="O21">
        <v>7</v>
      </c>
      <c r="P21">
        <v>10</v>
      </c>
      <c r="Q21">
        <v>13</v>
      </c>
      <c r="R21">
        <v>16</v>
      </c>
      <c r="T21" s="2">
        <f t="shared" si="15"/>
        <v>5</v>
      </c>
      <c r="U21" s="2">
        <f t="shared" si="15"/>
        <v>9</v>
      </c>
      <c r="V21" s="2">
        <f t="shared" si="15"/>
        <v>13</v>
      </c>
      <c r="W21" s="2">
        <f t="shared" si="15"/>
        <v>19</v>
      </c>
      <c r="X21" s="2">
        <f t="shared" si="15"/>
        <v>25</v>
      </c>
      <c r="Y21" s="2">
        <f t="shared" si="3"/>
        <v>21</v>
      </c>
      <c r="Z21" s="2">
        <f t="shared" si="3"/>
        <v>50</v>
      </c>
      <c r="AB21" s="24">
        <f t="shared" si="11"/>
        <v>0</v>
      </c>
      <c r="AC21" s="24">
        <f t="shared" si="4"/>
        <v>8.8888888888888892E-2</v>
      </c>
      <c r="AD21" s="24">
        <f t="shared" si="5"/>
        <v>0.17777777777777778</v>
      </c>
      <c r="AE21" s="24">
        <f t="shared" si="6"/>
        <v>0.31111111111111112</v>
      </c>
      <c r="AF21" s="24">
        <f t="shared" si="7"/>
        <v>0.44444444444444442</v>
      </c>
      <c r="AG21" s="24">
        <f t="shared" si="8"/>
        <v>0.35555555555555557</v>
      </c>
      <c r="AH21" s="24">
        <f t="shared" si="9"/>
        <v>1</v>
      </c>
      <c r="AJ21" s="26">
        <f t="shared" si="12"/>
        <v>0.44444444444444442</v>
      </c>
      <c r="AK21" s="26">
        <f t="shared" si="13"/>
        <v>0.64444444444444438</v>
      </c>
      <c r="AM21" s="26">
        <f t="shared" si="14"/>
        <v>0.40816326530612246</v>
      </c>
      <c r="AN21" s="26">
        <f t="shared" si="10"/>
        <v>0.59183673469387754</v>
      </c>
      <c r="AP21" s="20" t="str">
        <f t="array" ref="AP21">INDEX($AM$5:$AN$5,,MATCH(MAX(AM21:AN21),AM21:AN21,0))</f>
        <v>Sugar</v>
      </c>
      <c r="AQ21" s="20" t="str">
        <f t="array" ref="AQ21">INDEX(AR21:AS21,,MATCH(AP21,$AR$5:$AS$5,0))</f>
        <v>Diet</v>
      </c>
      <c r="AR21" s="6">
        <f t="array" ref="AR21">INDEX($AB$5:$AF$5,,MATCH(MIN(AB21:AF21),AB21:AF21,0))</f>
        <v>3.5</v>
      </c>
      <c r="AS21" s="31" t="str">
        <f t="array" ref="AS21">INDEX($AG$5:$AH$5,,MATCH(MIN(AG21:AH21),AG21:AH21,0))</f>
        <v>Diet</v>
      </c>
    </row>
    <row r="22" spans="2:45">
      <c r="B22" s="18"/>
      <c r="D22" s="19"/>
      <c r="E22" s="19"/>
      <c r="H22">
        <v>17</v>
      </c>
      <c r="I22">
        <v>1</v>
      </c>
      <c r="J22">
        <v>2</v>
      </c>
      <c r="K22">
        <v>4</v>
      </c>
      <c r="L22">
        <v>7</v>
      </c>
      <c r="M22">
        <v>10</v>
      </c>
      <c r="N22">
        <v>3</v>
      </c>
      <c r="O22">
        <v>6</v>
      </c>
      <c r="P22">
        <v>9</v>
      </c>
      <c r="Q22">
        <v>13</v>
      </c>
      <c r="R22">
        <v>16</v>
      </c>
      <c r="T22" s="2">
        <f t="shared" si="15"/>
        <v>4</v>
      </c>
      <c r="U22" s="2">
        <f t="shared" si="15"/>
        <v>8</v>
      </c>
      <c r="V22" s="2">
        <f t="shared" si="15"/>
        <v>13</v>
      </c>
      <c r="W22" s="2">
        <f t="shared" si="15"/>
        <v>20</v>
      </c>
      <c r="X22" s="2">
        <f t="shared" si="15"/>
        <v>26</v>
      </c>
      <c r="Y22" s="2">
        <f t="shared" si="3"/>
        <v>24</v>
      </c>
      <c r="Z22" s="2">
        <f t="shared" si="3"/>
        <v>47</v>
      </c>
      <c r="AB22" s="24">
        <f t="shared" si="11"/>
        <v>0</v>
      </c>
      <c r="AC22" s="24">
        <f t="shared" si="4"/>
        <v>9.3023255813953487E-2</v>
      </c>
      <c r="AD22" s="24">
        <f t="shared" si="5"/>
        <v>0.20930232558139536</v>
      </c>
      <c r="AE22" s="24">
        <f t="shared" si="6"/>
        <v>0.37209302325581395</v>
      </c>
      <c r="AF22" s="24">
        <f t="shared" si="7"/>
        <v>0.51162790697674421</v>
      </c>
      <c r="AG22" s="24">
        <f t="shared" si="8"/>
        <v>0.46511627906976744</v>
      </c>
      <c r="AH22" s="24">
        <f t="shared" si="9"/>
        <v>1</v>
      </c>
      <c r="AJ22" s="26">
        <f t="shared" si="12"/>
        <v>0.51162790697674421</v>
      </c>
      <c r="AK22" s="26">
        <f t="shared" si="13"/>
        <v>0.53488372093023262</v>
      </c>
      <c r="AM22" s="26">
        <f t="shared" si="14"/>
        <v>0.48888888888888887</v>
      </c>
      <c r="AN22" s="26">
        <f t="shared" si="10"/>
        <v>0.51111111111111118</v>
      </c>
      <c r="AP22" s="20" t="str">
        <f t="array" ref="AP22">INDEX($AM$5:$AN$5,,MATCH(MAX(AM22:AN22),AM22:AN22,0))</f>
        <v>Sugar</v>
      </c>
      <c r="AQ22" s="20" t="str">
        <f t="array" ref="AQ22">INDEX(AR22:AS22,,MATCH(AP22,$AR$5:$AS$5,0))</f>
        <v>Diet</v>
      </c>
      <c r="AR22" s="6">
        <f t="array" ref="AR22">INDEX($AB$5:$AF$5,,MATCH(MIN(AB22:AF22),AB22:AF22,0))</f>
        <v>3.5</v>
      </c>
      <c r="AS22" s="31" t="str">
        <f t="array" ref="AS22">INDEX($AG$5:$AH$5,,MATCH(MIN(AG22:AH22),AG22:AH22,0))</f>
        <v>Diet</v>
      </c>
    </row>
    <row r="23" spans="2:45">
      <c r="B23" s="18"/>
      <c r="D23" s="19"/>
      <c r="E23" s="19"/>
      <c r="H23">
        <v>18</v>
      </c>
      <c r="I23">
        <v>6</v>
      </c>
      <c r="J23">
        <v>9</v>
      </c>
      <c r="K23">
        <v>13</v>
      </c>
      <c r="L23">
        <v>16</v>
      </c>
      <c r="M23">
        <v>18</v>
      </c>
      <c r="N23">
        <v>11</v>
      </c>
      <c r="O23">
        <v>14</v>
      </c>
      <c r="P23">
        <v>17</v>
      </c>
      <c r="Q23">
        <v>19</v>
      </c>
      <c r="R23">
        <v>20</v>
      </c>
      <c r="T23" s="2">
        <f t="shared" si="15"/>
        <v>17</v>
      </c>
      <c r="U23" s="2">
        <f t="shared" si="15"/>
        <v>23</v>
      </c>
      <c r="V23" s="2">
        <f t="shared" si="15"/>
        <v>30</v>
      </c>
      <c r="W23" s="2">
        <f t="shared" si="15"/>
        <v>35</v>
      </c>
      <c r="X23" s="2">
        <f t="shared" si="15"/>
        <v>38</v>
      </c>
      <c r="Y23" s="2">
        <f t="shared" si="3"/>
        <v>62</v>
      </c>
      <c r="Z23" s="2">
        <f t="shared" si="3"/>
        <v>81</v>
      </c>
      <c r="AB23" s="24">
        <f t="shared" si="11"/>
        <v>0</v>
      </c>
      <c r="AC23" s="24">
        <f t="shared" si="4"/>
        <v>9.375E-2</v>
      </c>
      <c r="AD23" s="24">
        <f t="shared" si="5"/>
        <v>0.203125</v>
      </c>
      <c r="AE23" s="24">
        <f t="shared" si="6"/>
        <v>0.28125</v>
      </c>
      <c r="AF23" s="24">
        <f t="shared" si="7"/>
        <v>0.328125</v>
      </c>
      <c r="AG23" s="24">
        <f t="shared" si="8"/>
        <v>0.703125</v>
      </c>
      <c r="AH23" s="24">
        <f t="shared" si="9"/>
        <v>1</v>
      </c>
      <c r="AJ23" s="26">
        <f t="shared" si="12"/>
        <v>0.328125</v>
      </c>
      <c r="AK23" s="26">
        <f t="shared" si="13"/>
        <v>0.296875</v>
      </c>
      <c r="AM23" s="26">
        <f t="shared" si="14"/>
        <v>0.52500000000000002</v>
      </c>
      <c r="AN23" s="26">
        <f t="shared" si="10"/>
        <v>0.47499999999999998</v>
      </c>
      <c r="AP23" s="20" t="str">
        <f t="array" ref="AP23">INDEX($AM$5:$AN$5,,MATCH(MAX(AM23:AN23),AM23:AN23,0))</f>
        <v>Price</v>
      </c>
      <c r="AQ23" s="20">
        <f t="array" ref="AQ23">INDEX(AR23:AS23,,MATCH(AP23,$AR$5:$AS$5,0))</f>
        <v>3.5</v>
      </c>
      <c r="AR23" s="6">
        <f t="array" ref="AR23">INDEX($AB$5:$AF$5,,MATCH(MIN(AB23:AF23),AB23:AF23,0))</f>
        <v>3.5</v>
      </c>
      <c r="AS23" s="31" t="str">
        <f t="array" ref="AS23">INDEX($AG$5:$AH$5,,MATCH(MIN(AG23:AH23),AG23:AH23,0))</f>
        <v>Diet</v>
      </c>
    </row>
    <row r="24" spans="2:45">
      <c r="B24" s="18"/>
      <c r="D24" s="19"/>
      <c r="E24" s="19"/>
      <c r="H24">
        <v>19</v>
      </c>
      <c r="I24">
        <v>3</v>
      </c>
      <c r="J24">
        <v>7</v>
      </c>
      <c r="K24">
        <v>11</v>
      </c>
      <c r="L24">
        <v>15</v>
      </c>
      <c r="M24">
        <v>19</v>
      </c>
      <c r="N24">
        <v>4</v>
      </c>
      <c r="O24">
        <v>8</v>
      </c>
      <c r="P24">
        <v>12</v>
      </c>
      <c r="Q24">
        <v>16</v>
      </c>
      <c r="R24">
        <v>20</v>
      </c>
      <c r="T24" s="2">
        <f t="shared" si="15"/>
        <v>7</v>
      </c>
      <c r="U24" s="2">
        <f t="shared" si="15"/>
        <v>15</v>
      </c>
      <c r="V24" s="2">
        <f t="shared" si="15"/>
        <v>23</v>
      </c>
      <c r="W24" s="2">
        <f t="shared" si="15"/>
        <v>31</v>
      </c>
      <c r="X24" s="2">
        <f t="shared" si="15"/>
        <v>39</v>
      </c>
      <c r="Y24" s="2">
        <f t="shared" si="3"/>
        <v>55</v>
      </c>
      <c r="Z24" s="2">
        <f t="shared" si="3"/>
        <v>60</v>
      </c>
      <c r="AB24" s="24">
        <f t="shared" si="11"/>
        <v>0</v>
      </c>
      <c r="AC24" s="24">
        <f t="shared" si="4"/>
        <v>0.15094339622641509</v>
      </c>
      <c r="AD24" s="24">
        <f t="shared" si="5"/>
        <v>0.30188679245283018</v>
      </c>
      <c r="AE24" s="24">
        <f t="shared" si="6"/>
        <v>0.45283018867924529</v>
      </c>
      <c r="AF24" s="24">
        <f t="shared" si="7"/>
        <v>0.60377358490566035</v>
      </c>
      <c r="AG24" s="24">
        <f t="shared" si="8"/>
        <v>0.90566037735849059</v>
      </c>
      <c r="AH24" s="24">
        <f t="shared" si="9"/>
        <v>1</v>
      </c>
      <c r="AJ24" s="26">
        <f t="shared" si="12"/>
        <v>0.60377358490566035</v>
      </c>
      <c r="AK24" s="26">
        <f t="shared" si="13"/>
        <v>9.4339622641509413E-2</v>
      </c>
      <c r="AM24" s="26">
        <f t="shared" si="14"/>
        <v>0.86486486486486491</v>
      </c>
      <c r="AN24" s="26">
        <f t="shared" si="10"/>
        <v>0.13513513513513511</v>
      </c>
      <c r="AP24" s="20" t="str">
        <f t="array" ref="AP24">INDEX($AM$5:$AN$5,,MATCH(MAX(AM24:AN24),AM24:AN24,0))</f>
        <v>Price</v>
      </c>
      <c r="AQ24" s="20">
        <f t="array" ref="AQ24">INDEX(AR24:AS24,,MATCH(AP24,$AR$5:$AS$5,0))</f>
        <v>3.5</v>
      </c>
      <c r="AR24" s="6">
        <f t="array" ref="AR24">INDEX($AB$5:$AF$5,,MATCH(MIN(AB24:AF24),AB24:AF24,0))</f>
        <v>3.5</v>
      </c>
      <c r="AS24" s="31" t="str">
        <f t="array" ref="AS24">INDEX($AG$5:$AH$5,,MATCH(MIN(AG24:AH24),AG24:AH24,0))</f>
        <v>Diet</v>
      </c>
    </row>
    <row r="25" spans="2:45">
      <c r="B25" s="18"/>
      <c r="D25" s="19"/>
      <c r="E25" s="19"/>
      <c r="H25">
        <v>20</v>
      </c>
      <c r="I25">
        <v>10</v>
      </c>
      <c r="J25">
        <v>14</v>
      </c>
      <c r="K25">
        <v>17</v>
      </c>
      <c r="L25">
        <v>19</v>
      </c>
      <c r="M25">
        <v>20</v>
      </c>
      <c r="N25">
        <v>5</v>
      </c>
      <c r="O25">
        <v>8</v>
      </c>
      <c r="P25">
        <v>12</v>
      </c>
      <c r="Q25">
        <v>15</v>
      </c>
      <c r="R25">
        <v>18</v>
      </c>
      <c r="T25" s="2">
        <f t="shared" si="15"/>
        <v>15</v>
      </c>
      <c r="U25" s="2">
        <f t="shared" si="15"/>
        <v>22</v>
      </c>
      <c r="V25" s="2">
        <f t="shared" si="15"/>
        <v>29</v>
      </c>
      <c r="W25" s="2">
        <f t="shared" si="15"/>
        <v>34</v>
      </c>
      <c r="X25" s="2">
        <f t="shared" si="15"/>
        <v>38</v>
      </c>
      <c r="Y25" s="2">
        <f t="shared" si="3"/>
        <v>80</v>
      </c>
      <c r="Z25" s="2">
        <f t="shared" si="3"/>
        <v>58</v>
      </c>
      <c r="AB25" s="24">
        <f t="shared" si="11"/>
        <v>0</v>
      </c>
      <c r="AC25" s="24">
        <f t="shared" si="4"/>
        <v>0.1076923076923077</v>
      </c>
      <c r="AD25" s="24">
        <f t="shared" si="5"/>
        <v>0.2153846153846154</v>
      </c>
      <c r="AE25" s="24">
        <f t="shared" si="6"/>
        <v>0.29230769230769232</v>
      </c>
      <c r="AF25" s="24">
        <f t="shared" si="7"/>
        <v>0.35384615384615387</v>
      </c>
      <c r="AG25" s="24">
        <f t="shared" si="8"/>
        <v>1</v>
      </c>
      <c r="AH25" s="24">
        <f t="shared" si="9"/>
        <v>0.66153846153846152</v>
      </c>
      <c r="AJ25" s="26">
        <f t="shared" si="12"/>
        <v>0.35384615384615387</v>
      </c>
      <c r="AK25" s="26">
        <f t="shared" si="13"/>
        <v>0.33846153846153848</v>
      </c>
      <c r="AM25" s="26">
        <f t="shared" si="14"/>
        <v>0.51111111111111118</v>
      </c>
      <c r="AN25" s="26">
        <f t="shared" si="10"/>
        <v>0.48888888888888893</v>
      </c>
      <c r="AP25" s="20" t="str">
        <f t="array" ref="AP25">INDEX($AM$5:$AN$5,,MATCH(MAX(AM25:AN25),AM25:AN25,0))</f>
        <v>Price</v>
      </c>
      <c r="AQ25" s="20">
        <f t="array" ref="AQ25">INDEX(AR25:AS25,,MATCH(AP25,$AR$5:$AS$5,0))</f>
        <v>3.5</v>
      </c>
      <c r="AR25" s="6">
        <f t="array" ref="AR25">INDEX($AB$5:$AF$5,,MATCH(MIN(AB25:AF25),AB25:AF25,0))</f>
        <v>3.5</v>
      </c>
      <c r="AS25" s="31" t="str">
        <f t="array" ref="AS25">INDEX($AG$5:$AH$5,,MATCH(MIN(AG25:AH25),AG25:AH25,0))</f>
        <v>Regular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W139"/>
  <sheetViews>
    <sheetView tabSelected="1" topLeftCell="CH1" workbookViewId="0">
      <pane ySplit="7" topLeftCell="A8" activePane="bottomLeft" state="frozen"/>
      <selection pane="bottomLeft" activeCell="CQ12" sqref="CQ12"/>
    </sheetView>
  </sheetViews>
  <sheetFormatPr defaultColWidth="9" defaultRowHeight="14.5"/>
  <cols>
    <col min="1" max="1" width="3.6328125" customWidth="1"/>
    <col min="2" max="2" width="11.6328125" customWidth="1"/>
    <col min="3" max="3" width="11.90625" style="5" customWidth="1"/>
    <col min="4" max="4" width="16" customWidth="1"/>
    <col min="8" max="8" width="11.6328125" customWidth="1"/>
    <col min="9" max="28" width="7.36328125" customWidth="1"/>
    <col min="35" max="36" width="9.08984375"/>
    <col min="41" max="48" width="12.90625"/>
    <col min="50" max="52" width="12.90625"/>
    <col min="54" max="56" width="12.90625"/>
    <col min="61" max="61" width="12.90625"/>
    <col min="68" max="70" width="12.90625"/>
    <col min="71" max="71" width="20.90625" customWidth="1"/>
    <col min="72" max="72" width="18.90625" customWidth="1"/>
    <col min="73" max="73" width="14.08984375"/>
    <col min="75" max="77" width="14.08984375"/>
    <col min="79" max="86" width="12.90625"/>
    <col min="95" max="95" width="16.1796875" customWidth="1"/>
    <col min="97" max="97" width="12.90625"/>
  </cols>
  <sheetData>
    <row r="1" spans="2:101" s="53" customFormat="1">
      <c r="B1" s="3" t="s">
        <v>35</v>
      </c>
      <c r="C1" s="54"/>
      <c r="H1" s="3" t="s">
        <v>36</v>
      </c>
    </row>
    <row r="2" spans="2:101" s="53" customFormat="1">
      <c r="B2" s="3"/>
      <c r="C2" s="54"/>
      <c r="H2" s="17" t="s">
        <v>37</v>
      </c>
      <c r="I2" s="5">
        <v>3.5</v>
      </c>
      <c r="J2" s="5">
        <v>3.75</v>
      </c>
      <c r="K2" s="5">
        <v>4</v>
      </c>
      <c r="L2" s="5">
        <v>4.25</v>
      </c>
      <c r="M2" s="5">
        <v>4.5</v>
      </c>
      <c r="N2" s="5">
        <v>3.5</v>
      </c>
      <c r="O2" s="5">
        <v>3.75</v>
      </c>
      <c r="P2" s="5">
        <v>4</v>
      </c>
      <c r="Q2" s="5">
        <v>4.25</v>
      </c>
      <c r="R2" s="5">
        <v>4.5</v>
      </c>
      <c r="S2" s="5">
        <v>3.5</v>
      </c>
      <c r="T2" s="5">
        <v>3.75</v>
      </c>
      <c r="U2" s="5">
        <v>4</v>
      </c>
      <c r="V2" s="5">
        <v>4.25</v>
      </c>
      <c r="W2" s="5">
        <v>4.5</v>
      </c>
      <c r="X2" s="5">
        <v>3.5</v>
      </c>
      <c r="Y2" s="5">
        <v>3.75</v>
      </c>
      <c r="Z2" s="5">
        <v>4</v>
      </c>
      <c r="AA2" s="5">
        <v>4.25</v>
      </c>
      <c r="AB2" s="5">
        <v>4.5</v>
      </c>
      <c r="BV2" s="36" t="s">
        <v>82</v>
      </c>
      <c r="BW2" s="53">
        <f>MAX(BS:BS)</f>
        <v>0.62135922330097082</v>
      </c>
      <c r="BX2" s="53">
        <f>MAX(BT:BT)</f>
        <v>0.6386554621848739</v>
      </c>
      <c r="BY2" s="53">
        <f>MAX(BU:BU)</f>
        <v>0.67741935483870974</v>
      </c>
      <c r="CA2" s="38" t="s">
        <v>83</v>
      </c>
      <c r="CB2" s="38" t="s">
        <v>124</v>
      </c>
      <c r="CC2" s="38" t="s">
        <v>85</v>
      </c>
      <c r="CD2" s="38" t="s">
        <v>127</v>
      </c>
      <c r="CE2" s="38" t="s">
        <v>125</v>
      </c>
      <c r="CF2" s="38" t="s">
        <v>128</v>
      </c>
    </row>
    <row r="3" spans="2:101" s="53" customFormat="1">
      <c r="B3" s="3"/>
      <c r="C3" s="54"/>
      <c r="H3" s="4" t="s">
        <v>38</v>
      </c>
      <c r="I3" s="19" t="s">
        <v>118</v>
      </c>
      <c r="J3" s="19" t="s">
        <v>118</v>
      </c>
      <c r="K3" s="19" t="s">
        <v>118</v>
      </c>
      <c r="L3" s="19" t="s">
        <v>118</v>
      </c>
      <c r="M3" s="19" t="s">
        <v>118</v>
      </c>
      <c r="N3" s="19" t="s">
        <v>118</v>
      </c>
      <c r="O3" s="19" t="s">
        <v>118</v>
      </c>
      <c r="P3" s="19" t="s">
        <v>118</v>
      </c>
      <c r="Q3" s="19" t="s">
        <v>118</v>
      </c>
      <c r="R3" s="19" t="s">
        <v>118</v>
      </c>
      <c r="S3" s="19" t="s">
        <v>119</v>
      </c>
      <c r="T3" s="19" t="s">
        <v>119</v>
      </c>
      <c r="U3" s="19" t="s">
        <v>119</v>
      </c>
      <c r="V3" s="19" t="s">
        <v>119</v>
      </c>
      <c r="W3" s="19" t="s">
        <v>119</v>
      </c>
      <c r="X3" s="19" t="s">
        <v>119</v>
      </c>
      <c r="Y3" s="19" t="s">
        <v>119</v>
      </c>
      <c r="Z3" s="19" t="s">
        <v>119</v>
      </c>
      <c r="AA3" s="19" t="s">
        <v>119</v>
      </c>
      <c r="AB3" s="19" t="s">
        <v>119</v>
      </c>
      <c r="BS3" s="53" t="s">
        <v>126</v>
      </c>
      <c r="BT3" s="53" t="s">
        <v>122</v>
      </c>
      <c r="BV3" s="39" t="s">
        <v>89</v>
      </c>
      <c r="BW3" s="53">
        <f>MIN(BS:BS)</f>
        <v>0.27350427350427353</v>
      </c>
      <c r="BX3" s="53">
        <f>MIN(BT:BT)</f>
        <v>-0.67741935483870974</v>
      </c>
      <c r="BY3" s="53">
        <f>MIN(BU:BU)</f>
        <v>-0.68852459016393441</v>
      </c>
      <c r="CA3" s="39" t="s">
        <v>37</v>
      </c>
      <c r="CB3" s="8">
        <v>-0.61500061788541804</v>
      </c>
      <c r="CC3" s="8">
        <v>1.79849607759533</v>
      </c>
      <c r="CD3" s="8">
        <v>-0.48947946955448302</v>
      </c>
      <c r="CE3" s="8">
        <v>-0.47780449390374502</v>
      </c>
      <c r="CF3" s="8">
        <v>-0.51621339777661301</v>
      </c>
    </row>
    <row r="4" spans="2:101" s="53" customFormat="1">
      <c r="B4" s="3"/>
      <c r="C4" s="54"/>
      <c r="H4" s="4" t="s">
        <v>117</v>
      </c>
      <c r="I4" s="19" t="s">
        <v>120</v>
      </c>
      <c r="J4" s="19" t="s">
        <v>120</v>
      </c>
      <c r="K4" s="19" t="s">
        <v>120</v>
      </c>
      <c r="L4" s="19" t="s">
        <v>120</v>
      </c>
      <c r="M4" s="19" t="s">
        <v>120</v>
      </c>
      <c r="N4" s="19" t="s">
        <v>121</v>
      </c>
      <c r="O4" s="19" t="s">
        <v>121</v>
      </c>
      <c r="P4" s="19" t="s">
        <v>121</v>
      </c>
      <c r="Q4" s="19" t="s">
        <v>121</v>
      </c>
      <c r="R4" s="19" t="s">
        <v>121</v>
      </c>
      <c r="S4" s="19" t="s">
        <v>120</v>
      </c>
      <c r="T4" s="19" t="s">
        <v>120</v>
      </c>
      <c r="U4" s="19" t="s">
        <v>120</v>
      </c>
      <c r="V4" s="19" t="s">
        <v>120</v>
      </c>
      <c r="W4" s="19" t="s">
        <v>120</v>
      </c>
      <c r="X4" s="19" t="s">
        <v>121</v>
      </c>
      <c r="Y4" s="19" t="s">
        <v>121</v>
      </c>
      <c r="Z4" s="19" t="s">
        <v>121</v>
      </c>
      <c r="AA4" s="19" t="s">
        <v>121</v>
      </c>
      <c r="AB4" s="19" t="s">
        <v>121</v>
      </c>
      <c r="BS4" s="53" t="s">
        <v>129</v>
      </c>
      <c r="BT4" s="53" t="s">
        <v>123</v>
      </c>
      <c r="BV4" s="39" t="s">
        <v>90</v>
      </c>
      <c r="BW4" s="53">
        <f>AVERAGE(BS:BS)</f>
        <v>0.40316588045888935</v>
      </c>
      <c r="BX4" s="53">
        <f>AVERAGE(BT:BT)</f>
        <v>-3.6409895870894386E-3</v>
      </c>
      <c r="BY4" s="53">
        <f>AVERAGE(BU:BU)</f>
        <v>7.9613152499360042E-3</v>
      </c>
      <c r="CA4" s="39" t="s">
        <v>38</v>
      </c>
      <c r="CB4" s="8">
        <v>-1.14490401949495</v>
      </c>
      <c r="CC4" s="8">
        <v>0.21569149802579701</v>
      </c>
      <c r="CD4" s="8">
        <v>1.0426703993850599</v>
      </c>
      <c r="CE4" s="8">
        <v>-1.1707297251617901</v>
      </c>
      <c r="CF4" s="8">
        <v>1.12406340650071</v>
      </c>
    </row>
    <row r="5" spans="2:101" s="53" customFormat="1">
      <c r="B5" s="3"/>
      <c r="C5" s="54"/>
      <c r="H5" s="3"/>
      <c r="AX5" s="2"/>
      <c r="AY5" s="2"/>
      <c r="AZ5" s="2"/>
      <c r="BB5" s="3" t="s">
        <v>44</v>
      </c>
      <c r="BC5" s="2"/>
      <c r="BD5" s="2"/>
      <c r="BE5" s="2"/>
      <c r="BF5" s="6"/>
      <c r="BG5" s="6"/>
      <c r="BP5" s="2"/>
      <c r="BQ5" s="2"/>
      <c r="BR5" s="2"/>
      <c r="BS5" s="2"/>
      <c r="BT5" s="2"/>
      <c r="BU5" s="2"/>
      <c r="BV5" s="39" t="s">
        <v>91</v>
      </c>
      <c r="BW5" s="2">
        <f>STDEV(BS:BS)</f>
        <v>0.11351947002306945</v>
      </c>
      <c r="BX5" s="2">
        <f>STDEV(BT:BT)</f>
        <v>0.45733846511038029</v>
      </c>
      <c r="BY5" s="2">
        <f>STDEV(BU:BU)</f>
        <v>0.47332404889141211</v>
      </c>
      <c r="BZ5" s="2"/>
      <c r="CA5" s="39" t="s">
        <v>117</v>
      </c>
      <c r="CB5" s="8">
        <v>1.1077276355981001</v>
      </c>
      <c r="CC5" s="8">
        <v>2.8477073407169901E-2</v>
      </c>
      <c r="CD5" s="8">
        <v>-1.18632106701383</v>
      </c>
      <c r="CE5" s="8">
        <v>-1.04252248427005</v>
      </c>
      <c r="CF5" s="8">
        <v>1.1230463477678001</v>
      </c>
    </row>
    <row r="6" spans="2:101" s="53" customFormat="1">
      <c r="B6" s="3"/>
      <c r="C6" s="54"/>
      <c r="H6" s="3"/>
      <c r="AD6" s="3" t="s">
        <v>45</v>
      </c>
      <c r="AN6" s="3" t="s">
        <v>46</v>
      </c>
      <c r="AX6" s="3" t="s">
        <v>47</v>
      </c>
      <c r="AY6" s="2"/>
      <c r="AZ6" s="2"/>
      <c r="BB6" s="3" t="s">
        <v>47</v>
      </c>
      <c r="BC6" s="2"/>
      <c r="BE6" s="3" t="s">
        <v>48</v>
      </c>
      <c r="BF6" s="2"/>
      <c r="BG6" s="6"/>
      <c r="BH6" s="6"/>
      <c r="BM6" s="3" t="s">
        <v>49</v>
      </c>
      <c r="BP6" s="3"/>
      <c r="BQ6" s="3"/>
      <c r="BR6" s="3"/>
      <c r="BS6" s="3" t="s">
        <v>92</v>
      </c>
      <c r="BT6" s="2"/>
      <c r="BU6" s="2"/>
      <c r="BV6" s="3"/>
      <c r="BW6" s="3" t="s">
        <v>93</v>
      </c>
      <c r="BX6" s="2"/>
      <c r="BY6" s="3"/>
      <c r="BZ6" s="2"/>
      <c r="CA6" s="3" t="s">
        <v>94</v>
      </c>
      <c r="CB6" s="6"/>
      <c r="CG6" s="40" t="s">
        <v>95</v>
      </c>
      <c r="CH6" s="40"/>
      <c r="CK6" s="3" t="s">
        <v>96</v>
      </c>
      <c r="CL6" s="33"/>
      <c r="CM6" s="3"/>
      <c r="CN6" s="3"/>
      <c r="CP6" s="3" t="s">
        <v>97</v>
      </c>
      <c r="CQ6" s="3"/>
      <c r="CR6" s="3"/>
    </row>
    <row r="7" spans="2:101" s="4" customFormat="1" ht="43.5">
      <c r="B7" s="4" t="s">
        <v>50</v>
      </c>
      <c r="C7" s="17" t="s">
        <v>37</v>
      </c>
      <c r="D7" s="4" t="s">
        <v>38</v>
      </c>
      <c r="E7" s="4" t="s">
        <v>117</v>
      </c>
      <c r="H7" s="4" t="s">
        <v>51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58</v>
      </c>
      <c r="P7" s="4" t="s">
        <v>59</v>
      </c>
      <c r="Q7" s="4" t="s">
        <v>60</v>
      </c>
      <c r="R7" s="4" t="s">
        <v>61</v>
      </c>
      <c r="S7" s="4" t="s">
        <v>62</v>
      </c>
      <c r="T7" s="4" t="s">
        <v>63</v>
      </c>
      <c r="U7" s="4" t="s">
        <v>64</v>
      </c>
      <c r="V7" s="4" t="s">
        <v>65</v>
      </c>
      <c r="W7" s="4" t="s">
        <v>66</v>
      </c>
      <c r="X7" s="4" t="s">
        <v>67</v>
      </c>
      <c r="Y7" s="4" t="s">
        <v>68</v>
      </c>
      <c r="Z7" s="4" t="s">
        <v>69</v>
      </c>
      <c r="AA7" s="4" t="s">
        <v>70</v>
      </c>
      <c r="AB7" s="4" t="s">
        <v>71</v>
      </c>
      <c r="AD7" s="55">
        <v>3.5</v>
      </c>
      <c r="AE7" s="59">
        <v>3.75</v>
      </c>
      <c r="AF7" s="59">
        <v>4</v>
      </c>
      <c r="AG7" s="59">
        <v>4.25</v>
      </c>
      <c r="AH7" s="61">
        <v>4.5</v>
      </c>
      <c r="AI7" s="65" t="s">
        <v>118</v>
      </c>
      <c r="AJ7" s="66" t="s">
        <v>119</v>
      </c>
      <c r="AK7" s="65" t="s">
        <v>121</v>
      </c>
      <c r="AL7" s="66" t="s">
        <v>120</v>
      </c>
      <c r="AN7" s="55">
        <v>3.5</v>
      </c>
      <c r="AO7" s="59">
        <v>3.75</v>
      </c>
      <c r="AP7" s="59">
        <v>4</v>
      </c>
      <c r="AQ7" s="59">
        <v>4.25</v>
      </c>
      <c r="AR7" s="61">
        <v>4.5</v>
      </c>
      <c r="AS7" s="65" t="s">
        <v>118</v>
      </c>
      <c r="AT7" s="66" t="s">
        <v>119</v>
      </c>
      <c r="AU7" s="65" t="s">
        <v>121</v>
      </c>
      <c r="AV7" s="66" t="s">
        <v>120</v>
      </c>
      <c r="AX7" s="4" t="s">
        <v>37</v>
      </c>
      <c r="AY7" s="4" t="s">
        <v>72</v>
      </c>
      <c r="AZ7" s="4" t="s">
        <v>117</v>
      </c>
      <c r="BB7" s="4" t="s">
        <v>37</v>
      </c>
      <c r="BC7" s="4" t="s">
        <v>72</v>
      </c>
      <c r="BD7" s="4" t="s">
        <v>117</v>
      </c>
      <c r="BF7" s="25" t="s">
        <v>73</v>
      </c>
      <c r="BG7" s="25" t="s">
        <v>74</v>
      </c>
      <c r="BI7" s="28" t="s">
        <v>37</v>
      </c>
      <c r="BJ7" s="29" t="s">
        <v>72</v>
      </c>
      <c r="BK7" s="29" t="s">
        <v>117</v>
      </c>
      <c r="BM7" s="30" t="s">
        <v>75</v>
      </c>
      <c r="BN7" s="34" t="s">
        <v>76</v>
      </c>
      <c r="BO7" s="34" t="s">
        <v>77</v>
      </c>
      <c r="BP7" s="15"/>
      <c r="BQ7" s="15"/>
      <c r="BR7" s="15"/>
      <c r="BS7" s="15" t="s">
        <v>37</v>
      </c>
      <c r="BT7" s="15" t="s">
        <v>38</v>
      </c>
      <c r="BU7" s="25" t="s">
        <v>117</v>
      </c>
      <c r="BW7" s="41" t="s">
        <v>37</v>
      </c>
      <c r="BX7" s="41" t="s">
        <v>38</v>
      </c>
      <c r="BY7" s="41" t="s">
        <v>117</v>
      </c>
      <c r="CB7" s="42" t="s">
        <v>98</v>
      </c>
      <c r="CC7" s="42" t="s">
        <v>99</v>
      </c>
      <c r="CD7" s="42" t="s">
        <v>100</v>
      </c>
      <c r="CE7" s="42" t="s">
        <v>101</v>
      </c>
      <c r="CF7" s="42" t="s">
        <v>102</v>
      </c>
      <c r="CG7" s="42" t="s">
        <v>103</v>
      </c>
      <c r="CH7" s="25" t="s">
        <v>104</v>
      </c>
      <c r="CK7" s="45" t="s">
        <v>105</v>
      </c>
      <c r="CL7" s="46" t="s">
        <v>106</v>
      </c>
      <c r="CM7" s="45" t="s">
        <v>107</v>
      </c>
      <c r="CN7" s="48" t="s">
        <v>108</v>
      </c>
      <c r="CP7" s="34" t="s">
        <v>105</v>
      </c>
      <c r="CQ7" s="46" t="s">
        <v>83</v>
      </c>
      <c r="CR7" s="25" t="s">
        <v>75</v>
      </c>
    </row>
    <row r="8" spans="2:101">
      <c r="B8" s="18" t="s">
        <v>52</v>
      </c>
      <c r="C8" s="5">
        <v>3.5</v>
      </c>
      <c r="D8" s="19" t="s">
        <v>118</v>
      </c>
      <c r="E8" s="19" t="s">
        <v>120</v>
      </c>
      <c r="H8">
        <v>1</v>
      </c>
      <c r="I8">
        <v>3</v>
      </c>
      <c r="J8">
        <v>5</v>
      </c>
      <c r="K8">
        <v>8</v>
      </c>
      <c r="L8">
        <v>11</v>
      </c>
      <c r="M8">
        <v>14</v>
      </c>
      <c r="N8">
        <v>1</v>
      </c>
      <c r="O8">
        <v>2</v>
      </c>
      <c r="P8">
        <v>4</v>
      </c>
      <c r="Q8">
        <v>6</v>
      </c>
      <c r="R8">
        <v>9</v>
      </c>
      <c r="S8">
        <v>12</v>
      </c>
      <c r="T8">
        <v>15</v>
      </c>
      <c r="U8">
        <v>17</v>
      </c>
      <c r="V8">
        <v>19</v>
      </c>
      <c r="W8">
        <v>20</v>
      </c>
      <c r="X8">
        <v>7</v>
      </c>
      <c r="Y8">
        <v>10</v>
      </c>
      <c r="Z8">
        <v>13</v>
      </c>
      <c r="AA8">
        <v>16</v>
      </c>
      <c r="AB8">
        <v>18</v>
      </c>
      <c r="AD8">
        <f t="shared" ref="AD8:AH8" si="0">SUMIFS($I8:$AB8,$I$2:$AB$2,AD$7)</f>
        <v>23</v>
      </c>
      <c r="AE8">
        <f t="shared" si="0"/>
        <v>32</v>
      </c>
      <c r="AF8">
        <f t="shared" si="0"/>
        <v>42</v>
      </c>
      <c r="AG8">
        <f t="shared" si="0"/>
        <v>52</v>
      </c>
      <c r="AH8">
        <f t="shared" si="0"/>
        <v>61</v>
      </c>
      <c r="AI8">
        <f t="shared" ref="AI8:AJ27" si="1">SUMIFS($I8:$AB8,$I$3:$AB$3,AI$7)</f>
        <v>63</v>
      </c>
      <c r="AJ8">
        <f t="shared" si="1"/>
        <v>147</v>
      </c>
      <c r="AK8">
        <f t="shared" ref="AK8:AL27" si="2">SUMIFS($I8:$AB8,$I$4:$AB$4,AK$7)</f>
        <v>86</v>
      </c>
      <c r="AL8">
        <f t="shared" si="2"/>
        <v>124</v>
      </c>
      <c r="AN8" s="67">
        <f t="shared" ref="AN8:AV8" si="3">((AD8-MIN($AD8:$AL8))/(MAX($AD8:$AL8)-MIN($AD8:$AL8)))</f>
        <v>0</v>
      </c>
      <c r="AO8" s="67">
        <f t="shared" si="3"/>
        <v>7.2580645161290328E-2</v>
      </c>
      <c r="AP8" s="67">
        <f t="shared" si="3"/>
        <v>0.15322580645161291</v>
      </c>
      <c r="AQ8" s="67">
        <f t="shared" si="3"/>
        <v>0.23387096774193547</v>
      </c>
      <c r="AR8" s="67">
        <f t="shared" si="3"/>
        <v>0.30645161290322581</v>
      </c>
      <c r="AS8" s="67">
        <f t="shared" si="3"/>
        <v>0.32258064516129031</v>
      </c>
      <c r="AT8" s="67">
        <f t="shared" si="3"/>
        <v>1</v>
      </c>
      <c r="AU8" s="67">
        <f t="shared" si="3"/>
        <v>0.50806451612903225</v>
      </c>
      <c r="AV8" s="67">
        <f t="shared" si="3"/>
        <v>0.81451612903225812</v>
      </c>
      <c r="AX8">
        <f t="shared" ref="AX8:AX71" si="4">MAX($AN8:$AR8)-MIN($AN8:$AR8)</f>
        <v>0.30645161290322581</v>
      </c>
      <c r="AY8" s="68">
        <f>MAX($AS8:$AT8)-MIN($AS8:$AT8)</f>
        <v>0.67741935483870974</v>
      </c>
      <c r="AZ8">
        <f t="shared" ref="AZ8:AZ71" si="5">MAX($AU8:$AV8)-MIN($AU8:$AV8)</f>
        <v>0.30645161290322587</v>
      </c>
      <c r="BB8">
        <f t="shared" ref="BB8:BD8" si="6">AX8/SUM($AX8:$AZ8)</f>
        <v>0.23749999999999996</v>
      </c>
      <c r="BC8">
        <f t="shared" si="6"/>
        <v>0.52500000000000002</v>
      </c>
      <c r="BD8">
        <f t="shared" si="6"/>
        <v>0.23750000000000002</v>
      </c>
      <c r="BF8" t="str">
        <f t="shared" ref="BF8:BF71" si="7">INDEX($BB$7:$BD$7,,MATCH(MAX(BB8:BD8),BB8:BD8,0))</f>
        <v xml:space="preserve">Brand </v>
      </c>
      <c r="BG8" t="str">
        <f t="shared" ref="BG8:BG71" si="8">INDEX(BI8:BK8,,MATCH(BF8,$BI$7:$BK$7,0))</f>
        <v>Super Bowl</v>
      </c>
      <c r="BI8">
        <f t="shared" ref="BI8:BI71" si="9">INDEX($AN$7:$AR$7,,MATCH(MIN(AN8:AR8),AN8:AR8,0))</f>
        <v>3.5</v>
      </c>
      <c r="BJ8" t="str">
        <f t="shared" ref="BJ8:BJ71" si="10">INDEX($AS$7:$AT$7,,MATCH(MIN(AS8:AT8),AS8:AT8,0))</f>
        <v>Super Bowl</v>
      </c>
      <c r="BK8" t="str">
        <f t="shared" ref="BK8:BK71" si="11">INDEX($AU$7:$AV$7,,MATCH(MIN(AU8:AV8),AU8:AV8,0))</f>
        <v>B</v>
      </c>
      <c r="BM8">
        <f>COUNTIFS(BF:BF,BN8,BG:BG,BO8)</f>
        <v>30</v>
      </c>
      <c r="BN8" t="s">
        <v>37</v>
      </c>
      <c r="BO8">
        <v>3.5</v>
      </c>
      <c r="BS8" s="68">
        <f>AR8-AN8</f>
        <v>0.30645161290322581</v>
      </c>
      <c r="BT8" s="68">
        <f>AS8-AT8</f>
        <v>-0.67741935483870974</v>
      </c>
      <c r="BU8" s="68">
        <f>AV8-AU8</f>
        <v>0.30645161290322587</v>
      </c>
      <c r="BW8">
        <f>(BS8-$BW$4)/$BW$5</f>
        <v>-0.85196193689073108</v>
      </c>
      <c r="BX8">
        <f>(BT8-$BX$4)/$BX$5</f>
        <v>-1.4732597772833331</v>
      </c>
      <c r="BY8">
        <f>(BU8-$BY$4)/$BY$5</f>
        <v>0.63062567463536634</v>
      </c>
      <c r="CB8">
        <f>(($CB$3-BW8)^2+($CB$4-BX8)^2+($CB$5-BY8)^2)^(1/2)</f>
        <v>0.62577508062562459</v>
      </c>
      <c r="CC8">
        <f>(($CC$3-BW8)^2+($CC$4-BX8)^2+($CC$5-BY8)^2)^(1/2)</f>
        <v>3.200010474183296</v>
      </c>
      <c r="CD8">
        <f>(($CD$3-BW8)^2+($CD$4-BX8)^2+($CD$5-BY8)^2)^(1/2)</f>
        <v>3.1245149471536311</v>
      </c>
      <c r="CE8">
        <f>(($CE$3-BW8)^2+($CE$4-BX8)^2+($CE$5-BY8)^2)^(1/2)</f>
        <v>1.7409603631983719</v>
      </c>
      <c r="CF8">
        <f>(($CF$3-BW8)^2+($CF$4-BX8)^2+($CF$5-BY8)^2)^(1/2)</f>
        <v>2.6648251203160673</v>
      </c>
      <c r="CG8">
        <f>MIN(CB8:CF8)</f>
        <v>0.62577508062562459</v>
      </c>
      <c r="CH8">
        <f>SUM(CG:CG)</f>
        <v>54.148116036940898</v>
      </c>
      <c r="CK8" t="str">
        <f>INDEX($CB$7:$CF$7,,MATCH(MIN(CB8:CF8),CB8:CF8,0))</f>
        <v>Cluster 1</v>
      </c>
      <c r="CL8" t="str">
        <f>INDEX($CB$2:$CF$2,,MATCH(CK8,$CB$7:$CF$7,0))</f>
        <v>B Super Bowl</v>
      </c>
      <c r="CM8" t="str">
        <f>IF(BG8=3.5,"Price Only",BJ8&amp;" "&amp;BK8)</f>
        <v>Super Bowl B</v>
      </c>
      <c r="CN8" t="str">
        <f>IF(CL8=CM8,"","Diff")</f>
        <v>Diff</v>
      </c>
      <c r="CP8" s="2" t="s">
        <v>102</v>
      </c>
      <c r="CQ8" s="38" t="s">
        <v>124</v>
      </c>
      <c r="CR8">
        <f>COUNTIFS(CL:CL,CQ8)</f>
        <v>27</v>
      </c>
      <c r="CS8" s="69">
        <f>CR8/$CR$13</f>
        <v>0.20454545454545456</v>
      </c>
      <c r="CU8">
        <v>-0.85196193689073096</v>
      </c>
      <c r="CV8">
        <v>-1.47325977728333</v>
      </c>
      <c r="CW8">
        <v>0.63062567463536601</v>
      </c>
    </row>
    <row r="9" spans="2:101">
      <c r="B9" s="18" t="s">
        <v>53</v>
      </c>
      <c r="C9" s="5">
        <v>3.75</v>
      </c>
      <c r="D9" s="19" t="s">
        <v>118</v>
      </c>
      <c r="E9" s="19" t="s">
        <v>120</v>
      </c>
      <c r="H9">
        <v>2</v>
      </c>
      <c r="I9">
        <v>3</v>
      </c>
      <c r="J9">
        <v>7</v>
      </c>
      <c r="K9">
        <v>11</v>
      </c>
      <c r="L9">
        <v>15</v>
      </c>
      <c r="M9">
        <v>19</v>
      </c>
      <c r="N9">
        <v>4</v>
      </c>
      <c r="O9">
        <v>8</v>
      </c>
      <c r="P9">
        <v>12</v>
      </c>
      <c r="Q9">
        <v>16</v>
      </c>
      <c r="R9">
        <v>20</v>
      </c>
      <c r="S9">
        <v>1</v>
      </c>
      <c r="T9">
        <v>5</v>
      </c>
      <c r="U9">
        <v>9</v>
      </c>
      <c r="V9">
        <v>13</v>
      </c>
      <c r="W9">
        <v>17</v>
      </c>
      <c r="X9">
        <v>2</v>
      </c>
      <c r="Y9">
        <v>6</v>
      </c>
      <c r="Z9">
        <v>10</v>
      </c>
      <c r="AA9">
        <v>14</v>
      </c>
      <c r="AB9">
        <v>18</v>
      </c>
      <c r="AD9">
        <f t="shared" ref="AD9:AH9" si="12">SUMIFS($I9:$AB9,$I$2:$AB$2,AD$7)</f>
        <v>10</v>
      </c>
      <c r="AE9">
        <f t="shared" si="12"/>
        <v>26</v>
      </c>
      <c r="AF9">
        <f t="shared" si="12"/>
        <v>42</v>
      </c>
      <c r="AG9">
        <f t="shared" si="12"/>
        <v>58</v>
      </c>
      <c r="AH9">
        <f t="shared" si="12"/>
        <v>74</v>
      </c>
      <c r="AI9">
        <f t="shared" si="1"/>
        <v>115</v>
      </c>
      <c r="AJ9">
        <f t="shared" si="1"/>
        <v>95</v>
      </c>
      <c r="AK9">
        <f t="shared" si="2"/>
        <v>110</v>
      </c>
      <c r="AL9">
        <f t="shared" si="2"/>
        <v>100</v>
      </c>
      <c r="AN9" s="67">
        <f t="shared" ref="AN9:AV9" si="13">((AD9-MIN($AD9:$AL9))/(MAX($AD9:$AL9)-MIN($AD9:$AL9)))</f>
        <v>0</v>
      </c>
      <c r="AO9" s="67">
        <f t="shared" si="13"/>
        <v>0.15238095238095239</v>
      </c>
      <c r="AP9" s="67">
        <f t="shared" si="13"/>
        <v>0.30476190476190479</v>
      </c>
      <c r="AQ9" s="67">
        <f t="shared" si="13"/>
        <v>0.45714285714285713</v>
      </c>
      <c r="AR9" s="67">
        <f t="shared" si="13"/>
        <v>0.60952380952380958</v>
      </c>
      <c r="AS9" s="67">
        <f t="shared" si="13"/>
        <v>1</v>
      </c>
      <c r="AT9" s="67">
        <f t="shared" si="13"/>
        <v>0.80952380952380953</v>
      </c>
      <c r="AU9" s="67">
        <f t="shared" si="13"/>
        <v>0.95238095238095233</v>
      </c>
      <c r="AV9" s="67">
        <f t="shared" si="13"/>
        <v>0.8571428571428571</v>
      </c>
      <c r="AX9">
        <f t="shared" si="4"/>
        <v>0.60952380952380958</v>
      </c>
      <c r="AY9">
        <f t="shared" ref="AY9:AY71" si="14">MAX($AS9:$AT9)-MIN($AS9:$AT9)</f>
        <v>0.19047619047619047</v>
      </c>
      <c r="AZ9">
        <f t="shared" si="5"/>
        <v>9.5238095238095233E-2</v>
      </c>
      <c r="BB9">
        <f t="shared" ref="BB9:BD9" si="15">AX9/SUM($AX9:$AZ9)</f>
        <v>0.68085106382978722</v>
      </c>
      <c r="BC9">
        <f t="shared" si="15"/>
        <v>0.21276595744680848</v>
      </c>
      <c r="BD9">
        <f t="shared" si="15"/>
        <v>0.10638297872340424</v>
      </c>
      <c r="BF9" t="str">
        <f t="shared" si="7"/>
        <v>Price</v>
      </c>
      <c r="BG9">
        <f t="shared" si="8"/>
        <v>3.5</v>
      </c>
      <c r="BI9">
        <f t="shared" si="9"/>
        <v>3.5</v>
      </c>
      <c r="BJ9" t="str">
        <f t="shared" si="10"/>
        <v>Tennis</v>
      </c>
      <c r="BK9" t="str">
        <f t="shared" si="11"/>
        <v>A</v>
      </c>
      <c r="BM9">
        <f>COUNTIFS(BF:BF,BN9,BG:BG,BO9)</f>
        <v>28</v>
      </c>
      <c r="BN9" t="s">
        <v>72</v>
      </c>
      <c r="BO9" t="s">
        <v>118</v>
      </c>
      <c r="BS9" s="68">
        <f>AR9-AN9</f>
        <v>0.60952380952380958</v>
      </c>
      <c r="BT9">
        <f t="shared" ref="BT9:BT40" si="16">AS9-AT9</f>
        <v>0.19047619047619047</v>
      </c>
      <c r="BU9">
        <f t="shared" ref="BU9:BU40" si="17">AV9-AU9</f>
        <v>-9.5238095238095233E-2</v>
      </c>
      <c r="BW9">
        <f t="shared" ref="BW9:BW40" si="18">(BS9-$BW$4)/$BW$5</f>
        <v>1.8178197010872597</v>
      </c>
      <c r="BX9">
        <f t="shared" ref="BX9:BX40" si="19">(BT9-$BX$4)/$BX$5</f>
        <v>0.42444971256994318</v>
      </c>
      <c r="BY9">
        <f t="shared" ref="BY9:BY40" si="20">(BU9-$BY$4)/$BY$5</f>
        <v>-0.21803120025221195</v>
      </c>
      <c r="CB9">
        <f t="shared" ref="CB9:CB40" si="21">(($CB$3-BW9)^2+($CB$4-BX9)^2+($CB$5-BY9)^2)^(1/2)</f>
        <v>3.1841988523940374</v>
      </c>
      <c r="CC9">
        <f t="shared" ref="CC9:CC40" si="22">(($CC$3-BW9)^2+($CC$4-BX9)^2+($CC$5-BY9)^2)^(1/2)</f>
        <v>0.32360426997653524</v>
      </c>
      <c r="CD9">
        <f t="shared" ref="CD9:CD40" si="23">(($CD$3-BW9)^2+($CD$4-BX9)^2+($CD$5-BY9)^2)^(1/2)</f>
        <v>2.5774816287460633</v>
      </c>
      <c r="CE9">
        <f t="shared" ref="CE9:CE40" si="24">(($CE$3-BW9)^2+($CE$4-BX9)^2+($CE$5-BY9)^2)^(1/2)</f>
        <v>2.914493740019287</v>
      </c>
      <c r="CF9">
        <f t="shared" ref="CF9:CF40" si="25">(($CF$3-BW9)^2+($CF$4-BX9)^2+($CF$5-BY9)^2)^(1/2)</f>
        <v>2.7813052362390778</v>
      </c>
      <c r="CG9">
        <f>MIN(CB9:CF9)</f>
        <v>0.32360426997653524</v>
      </c>
      <c r="CK9" t="str">
        <f t="shared" ref="CK9:CK48" si="26">INDEX($CB$7:$CF$7,,MATCH(MIN(CB9:CF9),CB9:CF9,0))</f>
        <v>Cluster 2</v>
      </c>
      <c r="CL9" t="str">
        <f t="shared" ref="CL9:CL40" si="27">INDEX($CB$2:$CF$2,,MATCH(CK9,$CB$7:$CF$7,0))</f>
        <v>Price Only</v>
      </c>
      <c r="CM9" t="str">
        <f>IF(BG9=3.5,"Price Only",BJ9&amp;" "&amp;BK9)</f>
        <v>Price Only</v>
      </c>
      <c r="CN9" t="str">
        <f t="shared" ref="CN9:CN40" si="28">IF(CL9=CM9,"","Diff")</f>
        <v/>
      </c>
      <c r="CP9" s="2" t="s">
        <v>101</v>
      </c>
      <c r="CQ9" s="38" t="s">
        <v>85</v>
      </c>
      <c r="CR9">
        <f>COUNTIFS(CL:CL,CQ9)</f>
        <v>29</v>
      </c>
      <c r="CS9" s="69">
        <f>CR9/$CR$13</f>
        <v>0.2196969696969697</v>
      </c>
      <c r="CU9">
        <v>1.8178197010872601</v>
      </c>
      <c r="CV9">
        <v>0.42444971256994302</v>
      </c>
      <c r="CW9">
        <v>-0.21803120025221201</v>
      </c>
    </row>
    <row r="10" spans="2:101">
      <c r="B10" s="18" t="s">
        <v>54</v>
      </c>
      <c r="C10" s="5">
        <v>4</v>
      </c>
      <c r="D10" s="19" t="s">
        <v>118</v>
      </c>
      <c r="E10" s="19" t="s">
        <v>120</v>
      </c>
      <c r="H10">
        <v>3</v>
      </c>
      <c r="I10">
        <v>5</v>
      </c>
      <c r="J10">
        <v>8</v>
      </c>
      <c r="K10">
        <v>12</v>
      </c>
      <c r="L10">
        <v>15</v>
      </c>
      <c r="M10">
        <v>18</v>
      </c>
      <c r="N10">
        <v>11</v>
      </c>
      <c r="O10">
        <v>14</v>
      </c>
      <c r="P10">
        <v>17</v>
      </c>
      <c r="Q10">
        <v>19</v>
      </c>
      <c r="R10">
        <v>20</v>
      </c>
      <c r="S10">
        <v>1</v>
      </c>
      <c r="T10">
        <v>2</v>
      </c>
      <c r="U10">
        <v>4</v>
      </c>
      <c r="V10">
        <v>7</v>
      </c>
      <c r="W10">
        <v>10</v>
      </c>
      <c r="X10">
        <v>3</v>
      </c>
      <c r="Y10">
        <v>6</v>
      </c>
      <c r="Z10">
        <v>9</v>
      </c>
      <c r="AA10">
        <v>13</v>
      </c>
      <c r="AB10">
        <v>16</v>
      </c>
      <c r="AD10">
        <f t="shared" ref="AD10:AH10" si="29">SUMIFS($I10:$AB10,$I$2:$AB$2,AD$7)</f>
        <v>20</v>
      </c>
      <c r="AE10">
        <f t="shared" si="29"/>
        <v>30</v>
      </c>
      <c r="AF10">
        <f t="shared" si="29"/>
        <v>42</v>
      </c>
      <c r="AG10">
        <f t="shared" si="29"/>
        <v>54</v>
      </c>
      <c r="AH10">
        <f t="shared" si="29"/>
        <v>64</v>
      </c>
      <c r="AI10">
        <f t="shared" si="1"/>
        <v>139</v>
      </c>
      <c r="AJ10">
        <f t="shared" si="1"/>
        <v>71</v>
      </c>
      <c r="AK10">
        <f t="shared" si="2"/>
        <v>128</v>
      </c>
      <c r="AL10">
        <f t="shared" si="2"/>
        <v>82</v>
      </c>
      <c r="AN10" s="67">
        <f t="shared" ref="AN10:AV10" si="30">((AD10-MIN($AD10:$AL10))/(MAX($AD10:$AL10)-MIN($AD10:$AL10)))</f>
        <v>0</v>
      </c>
      <c r="AO10" s="67">
        <f t="shared" si="30"/>
        <v>8.4033613445378158E-2</v>
      </c>
      <c r="AP10" s="67">
        <f t="shared" si="30"/>
        <v>0.18487394957983194</v>
      </c>
      <c r="AQ10" s="67">
        <f t="shared" si="30"/>
        <v>0.2857142857142857</v>
      </c>
      <c r="AR10" s="67">
        <f t="shared" si="30"/>
        <v>0.36974789915966388</v>
      </c>
      <c r="AS10" s="67">
        <f t="shared" si="30"/>
        <v>1</v>
      </c>
      <c r="AT10" s="67">
        <f t="shared" si="30"/>
        <v>0.42857142857142855</v>
      </c>
      <c r="AU10" s="67">
        <f t="shared" si="30"/>
        <v>0.90756302521008403</v>
      </c>
      <c r="AV10" s="67">
        <f t="shared" si="30"/>
        <v>0.52100840336134457</v>
      </c>
      <c r="AX10">
        <f t="shared" si="4"/>
        <v>0.36974789915966388</v>
      </c>
      <c r="AY10">
        <f t="shared" si="14"/>
        <v>0.5714285714285714</v>
      </c>
      <c r="AZ10">
        <f t="shared" si="5"/>
        <v>0.38655462184873945</v>
      </c>
      <c r="BB10">
        <f t="shared" ref="BB10:BD10" si="31">AX10/SUM($AX10:$AZ10)</f>
        <v>0.27848101265822789</v>
      </c>
      <c r="BC10">
        <f t="shared" si="31"/>
        <v>0.43037974683544306</v>
      </c>
      <c r="BD10">
        <f t="shared" si="31"/>
        <v>0.29113924050632911</v>
      </c>
      <c r="BF10" t="str">
        <f t="shared" si="7"/>
        <v xml:space="preserve">Brand </v>
      </c>
      <c r="BG10" t="str">
        <f t="shared" si="8"/>
        <v>Tennis</v>
      </c>
      <c r="BI10">
        <f t="shared" si="9"/>
        <v>3.5</v>
      </c>
      <c r="BJ10" t="str">
        <f t="shared" si="10"/>
        <v>Tennis</v>
      </c>
      <c r="BK10" t="str">
        <f t="shared" si="11"/>
        <v>A</v>
      </c>
      <c r="BM10">
        <f>COUNTIFS(BF:BF,BN10,BG:BG,BO10)</f>
        <v>21</v>
      </c>
      <c r="BN10" t="s">
        <v>72</v>
      </c>
      <c r="BO10" t="s">
        <v>119</v>
      </c>
      <c r="BS10">
        <f t="shared" ref="BS9:BS40" si="32">AR10-AN10</f>
        <v>0.36974789915966388</v>
      </c>
      <c r="BT10">
        <f t="shared" si="16"/>
        <v>0.5714285714285714</v>
      </c>
      <c r="BU10">
        <f t="shared" si="17"/>
        <v>-0.38655462184873945</v>
      </c>
      <c r="BW10">
        <f t="shared" si="18"/>
        <v>-0.29438105456653607</v>
      </c>
      <c r="BX10">
        <f t="shared" si="19"/>
        <v>1.2574266213904963</v>
      </c>
      <c r="BY10">
        <f t="shared" si="20"/>
        <v>-0.83350072328394098</v>
      </c>
      <c r="CB10">
        <f t="shared" si="21"/>
        <v>3.1052144779141635</v>
      </c>
      <c r="CC10">
        <f t="shared" si="22"/>
        <v>2.4916565733596201</v>
      </c>
      <c r="CD10">
        <f t="shared" si="23"/>
        <v>0.45679954178012755</v>
      </c>
      <c r="CE10">
        <f t="shared" si="24"/>
        <v>2.44402894785765</v>
      </c>
      <c r="CF10">
        <f t="shared" si="25"/>
        <v>1.9735936199787836</v>
      </c>
      <c r="CG10">
        <f t="shared" ref="CG10:CG73" si="33">MIN(CB10:CF10)</f>
        <v>0.45679954178012755</v>
      </c>
      <c r="CK10" t="str">
        <f t="shared" si="26"/>
        <v>Cluster 3</v>
      </c>
      <c r="CL10" t="str">
        <f t="shared" si="27"/>
        <v>A Tennis</v>
      </c>
      <c r="CM10" t="str">
        <f>IF(BG10=3.5,"Price Only",BJ10&amp;" "&amp;BK10)</f>
        <v>Tennis A</v>
      </c>
      <c r="CN10" t="str">
        <f t="shared" si="28"/>
        <v>Diff</v>
      </c>
      <c r="CP10" s="2" t="s">
        <v>99</v>
      </c>
      <c r="CQ10" s="38" t="s">
        <v>127</v>
      </c>
      <c r="CR10">
        <f>COUNTIFS(CL:CL,CQ10)</f>
        <v>26</v>
      </c>
      <c r="CS10" s="69">
        <f>CR10/$CR$13</f>
        <v>0.19696969696969696</v>
      </c>
      <c r="CU10">
        <v>-0.29438105456653602</v>
      </c>
      <c r="CV10">
        <v>1.2574266213905001</v>
      </c>
      <c r="CW10">
        <v>-0.83350072328394098</v>
      </c>
    </row>
    <row r="11" spans="2:101">
      <c r="B11" s="18" t="s">
        <v>55</v>
      </c>
      <c r="C11" s="5">
        <v>4.25</v>
      </c>
      <c r="D11" s="19" t="s">
        <v>118</v>
      </c>
      <c r="E11" s="19" t="s">
        <v>120</v>
      </c>
      <c r="H11">
        <v>4</v>
      </c>
      <c r="I11">
        <v>1</v>
      </c>
      <c r="J11">
        <v>2</v>
      </c>
      <c r="K11">
        <v>3</v>
      </c>
      <c r="L11">
        <v>6</v>
      </c>
      <c r="M11">
        <v>9</v>
      </c>
      <c r="N11">
        <v>4</v>
      </c>
      <c r="O11">
        <v>7</v>
      </c>
      <c r="P11">
        <v>10</v>
      </c>
      <c r="Q11">
        <v>13</v>
      </c>
      <c r="R11">
        <v>16</v>
      </c>
      <c r="S11">
        <v>5</v>
      </c>
      <c r="T11">
        <v>8</v>
      </c>
      <c r="U11">
        <v>11</v>
      </c>
      <c r="V11">
        <v>14</v>
      </c>
      <c r="W11">
        <v>17</v>
      </c>
      <c r="X11">
        <v>12</v>
      </c>
      <c r="Y11">
        <v>15</v>
      </c>
      <c r="Z11">
        <v>18</v>
      </c>
      <c r="AA11">
        <v>19</v>
      </c>
      <c r="AB11">
        <v>20</v>
      </c>
      <c r="AD11">
        <f t="shared" ref="AD11:AH11" si="34">SUMIFS($I11:$AB11,$I$2:$AB$2,AD$7)</f>
        <v>22</v>
      </c>
      <c r="AE11">
        <f t="shared" si="34"/>
        <v>32</v>
      </c>
      <c r="AF11">
        <f t="shared" si="34"/>
        <v>42</v>
      </c>
      <c r="AG11">
        <f t="shared" si="34"/>
        <v>52</v>
      </c>
      <c r="AH11">
        <f t="shared" si="34"/>
        <v>62</v>
      </c>
      <c r="AI11">
        <f t="shared" si="1"/>
        <v>71</v>
      </c>
      <c r="AJ11">
        <f t="shared" si="1"/>
        <v>139</v>
      </c>
      <c r="AK11">
        <f t="shared" si="2"/>
        <v>134</v>
      </c>
      <c r="AL11">
        <f t="shared" si="2"/>
        <v>76</v>
      </c>
      <c r="AN11" s="67">
        <f t="shared" ref="AN11:AV11" si="35">((AD11-MIN($AD11:$AL11))/(MAX($AD11:$AL11)-MIN($AD11:$AL11)))</f>
        <v>0</v>
      </c>
      <c r="AO11" s="67">
        <f t="shared" si="35"/>
        <v>8.5470085470085472E-2</v>
      </c>
      <c r="AP11" s="67">
        <f t="shared" si="35"/>
        <v>0.17094017094017094</v>
      </c>
      <c r="AQ11" s="67">
        <f t="shared" si="35"/>
        <v>0.25641025641025639</v>
      </c>
      <c r="AR11" s="67">
        <f t="shared" si="35"/>
        <v>0.34188034188034189</v>
      </c>
      <c r="AS11" s="67">
        <f t="shared" si="35"/>
        <v>0.41880341880341881</v>
      </c>
      <c r="AT11" s="67">
        <f t="shared" si="35"/>
        <v>1</v>
      </c>
      <c r="AU11" s="67">
        <f t="shared" si="35"/>
        <v>0.95726495726495731</v>
      </c>
      <c r="AV11" s="67">
        <f t="shared" si="35"/>
        <v>0.46153846153846156</v>
      </c>
      <c r="AX11">
        <f t="shared" si="4"/>
        <v>0.34188034188034189</v>
      </c>
      <c r="AY11">
        <f t="shared" si="14"/>
        <v>0.58119658119658113</v>
      </c>
      <c r="AZ11">
        <f t="shared" si="5"/>
        <v>0.49572649572649574</v>
      </c>
      <c r="BB11">
        <f t="shared" ref="BB11:BD11" si="36">AX11/SUM($AX11:$AZ11)</f>
        <v>0.24096385542168677</v>
      </c>
      <c r="BC11">
        <f t="shared" si="36"/>
        <v>0.40963855421686746</v>
      </c>
      <c r="BD11">
        <f t="shared" si="36"/>
        <v>0.34939759036144585</v>
      </c>
      <c r="BF11" t="str">
        <f t="shared" si="7"/>
        <v xml:space="preserve">Brand </v>
      </c>
      <c r="BG11" t="str">
        <f t="shared" si="8"/>
        <v>Super Bowl</v>
      </c>
      <c r="BI11">
        <f t="shared" si="9"/>
        <v>3.5</v>
      </c>
      <c r="BJ11" t="str">
        <f t="shared" si="10"/>
        <v>Super Bowl</v>
      </c>
      <c r="BK11" t="str">
        <f t="shared" si="11"/>
        <v>A</v>
      </c>
      <c r="BM11">
        <f>COUNTIFS(BF:BF,BN11,BG:BG,BO11)</f>
        <v>28</v>
      </c>
      <c r="BN11" t="s">
        <v>117</v>
      </c>
      <c r="BO11" t="s">
        <v>121</v>
      </c>
      <c r="BS11">
        <f t="shared" si="32"/>
        <v>0.34188034188034189</v>
      </c>
      <c r="BT11">
        <f t="shared" si="16"/>
        <v>-0.58119658119658113</v>
      </c>
      <c r="BU11">
        <f t="shared" si="17"/>
        <v>-0.49572649572649574</v>
      </c>
      <c r="BW11">
        <f t="shared" si="18"/>
        <v>-0.53986808224257044</v>
      </c>
      <c r="BX11">
        <f t="shared" si="19"/>
        <v>-1.2628624873486129</v>
      </c>
      <c r="BY11">
        <f t="shared" si="20"/>
        <v>-1.0641500514417885</v>
      </c>
      <c r="CB11">
        <f t="shared" si="21"/>
        <v>2.1763758373755766</v>
      </c>
      <c r="CC11">
        <f t="shared" si="22"/>
        <v>2.9745424632431559</v>
      </c>
      <c r="CD11">
        <f t="shared" si="23"/>
        <v>2.3093173582565556</v>
      </c>
      <c r="CE11">
        <f t="shared" si="24"/>
        <v>0.11317281708711198</v>
      </c>
      <c r="CF11">
        <f t="shared" si="25"/>
        <v>3.2375612512415834</v>
      </c>
      <c r="CG11">
        <f t="shared" si="33"/>
        <v>0.11317281708711198</v>
      </c>
      <c r="CK11" t="str">
        <f t="shared" si="26"/>
        <v>Cluster 4</v>
      </c>
      <c r="CL11" t="str">
        <f t="shared" si="27"/>
        <v>A Super Bowl</v>
      </c>
      <c r="CM11" t="str">
        <f t="shared" ref="CM11:CM42" si="37">IF(BG11=3.5,"Price Only",BJ11&amp;" "&amp;BK11)</f>
        <v>Super Bowl A</v>
      </c>
      <c r="CN11" t="str">
        <f t="shared" si="28"/>
        <v>Diff</v>
      </c>
      <c r="CP11" s="2" t="s">
        <v>100</v>
      </c>
      <c r="CQ11" s="38" t="s">
        <v>125</v>
      </c>
      <c r="CR11">
        <f>COUNTIFS(CL:CL,CQ11)</f>
        <v>25</v>
      </c>
      <c r="CS11" s="69">
        <f>CR11/$CR$13</f>
        <v>0.18939393939393939</v>
      </c>
      <c r="CU11">
        <v>-0.53986808224256999</v>
      </c>
      <c r="CV11">
        <v>-1.2628624873486101</v>
      </c>
      <c r="CW11">
        <v>-1.0641500514417901</v>
      </c>
    </row>
    <row r="12" spans="2:101">
      <c r="B12" s="18" t="s">
        <v>56</v>
      </c>
      <c r="C12" s="5">
        <v>4.5</v>
      </c>
      <c r="D12" s="19" t="s">
        <v>118</v>
      </c>
      <c r="E12" s="19" t="s">
        <v>120</v>
      </c>
      <c r="H12">
        <v>5</v>
      </c>
      <c r="I12">
        <v>5</v>
      </c>
      <c r="J12">
        <v>8</v>
      </c>
      <c r="K12">
        <v>12</v>
      </c>
      <c r="L12">
        <v>15</v>
      </c>
      <c r="M12">
        <v>18</v>
      </c>
      <c r="N12">
        <v>11</v>
      </c>
      <c r="O12">
        <v>14</v>
      </c>
      <c r="P12">
        <v>17</v>
      </c>
      <c r="Q12">
        <v>19</v>
      </c>
      <c r="R12">
        <v>20</v>
      </c>
      <c r="S12">
        <v>1</v>
      </c>
      <c r="T12">
        <v>2</v>
      </c>
      <c r="U12">
        <v>4</v>
      </c>
      <c r="V12">
        <v>7</v>
      </c>
      <c r="W12">
        <v>10</v>
      </c>
      <c r="X12">
        <v>3</v>
      </c>
      <c r="Y12">
        <v>6</v>
      </c>
      <c r="Z12">
        <v>9</v>
      </c>
      <c r="AA12">
        <v>13</v>
      </c>
      <c r="AB12">
        <v>16</v>
      </c>
      <c r="AD12">
        <f t="shared" ref="AD12:AH12" si="38">SUMIFS($I12:$AB12,$I$2:$AB$2,AD$7)</f>
        <v>20</v>
      </c>
      <c r="AE12">
        <f t="shared" si="38"/>
        <v>30</v>
      </c>
      <c r="AF12">
        <f t="shared" si="38"/>
        <v>42</v>
      </c>
      <c r="AG12">
        <f t="shared" si="38"/>
        <v>54</v>
      </c>
      <c r="AH12">
        <f t="shared" si="38"/>
        <v>64</v>
      </c>
      <c r="AI12">
        <f t="shared" si="1"/>
        <v>139</v>
      </c>
      <c r="AJ12">
        <f t="shared" si="1"/>
        <v>71</v>
      </c>
      <c r="AK12">
        <f t="shared" si="2"/>
        <v>128</v>
      </c>
      <c r="AL12">
        <f t="shared" si="2"/>
        <v>82</v>
      </c>
      <c r="AN12" s="67">
        <f t="shared" ref="AN12:AV12" si="39">((AD12-MIN($AD12:$AL12))/(MAX($AD12:$AL12)-MIN($AD12:$AL12)))</f>
        <v>0</v>
      </c>
      <c r="AO12" s="67">
        <f t="shared" si="39"/>
        <v>8.4033613445378158E-2</v>
      </c>
      <c r="AP12" s="67">
        <f t="shared" si="39"/>
        <v>0.18487394957983194</v>
      </c>
      <c r="AQ12" s="67">
        <f t="shared" si="39"/>
        <v>0.2857142857142857</v>
      </c>
      <c r="AR12" s="67">
        <f t="shared" si="39"/>
        <v>0.36974789915966388</v>
      </c>
      <c r="AS12" s="67">
        <f t="shared" si="39"/>
        <v>1</v>
      </c>
      <c r="AT12" s="67">
        <f t="shared" si="39"/>
        <v>0.42857142857142855</v>
      </c>
      <c r="AU12" s="67">
        <f t="shared" si="39"/>
        <v>0.90756302521008403</v>
      </c>
      <c r="AV12" s="67">
        <f t="shared" si="39"/>
        <v>0.52100840336134457</v>
      </c>
      <c r="AX12">
        <f t="shared" si="4"/>
        <v>0.36974789915966388</v>
      </c>
      <c r="AY12">
        <f t="shared" si="14"/>
        <v>0.5714285714285714</v>
      </c>
      <c r="AZ12">
        <f t="shared" si="5"/>
        <v>0.38655462184873945</v>
      </c>
      <c r="BB12">
        <f t="shared" ref="BB12:BD12" si="40">AX12/SUM($AX12:$AZ12)</f>
        <v>0.27848101265822789</v>
      </c>
      <c r="BC12">
        <f t="shared" si="40"/>
        <v>0.43037974683544306</v>
      </c>
      <c r="BD12">
        <f t="shared" si="40"/>
        <v>0.29113924050632911</v>
      </c>
      <c r="BF12" t="str">
        <f t="shared" si="7"/>
        <v xml:space="preserve">Brand </v>
      </c>
      <c r="BG12" t="str">
        <f t="shared" si="8"/>
        <v>Tennis</v>
      </c>
      <c r="BI12">
        <f t="shared" si="9"/>
        <v>3.5</v>
      </c>
      <c r="BJ12" t="str">
        <f t="shared" si="10"/>
        <v>Tennis</v>
      </c>
      <c r="BK12" t="str">
        <f t="shared" si="11"/>
        <v>A</v>
      </c>
      <c r="BM12">
        <f>COUNTIFS(BF:BF,BN12,BG:BG,BO12)</f>
        <v>25</v>
      </c>
      <c r="BN12" t="s">
        <v>117</v>
      </c>
      <c r="BO12" t="s">
        <v>120</v>
      </c>
      <c r="BS12">
        <f t="shared" si="32"/>
        <v>0.36974789915966388</v>
      </c>
      <c r="BT12">
        <f t="shared" si="16"/>
        <v>0.5714285714285714</v>
      </c>
      <c r="BU12">
        <f t="shared" si="17"/>
        <v>-0.38655462184873945</v>
      </c>
      <c r="BW12">
        <f t="shared" si="18"/>
        <v>-0.29438105456653607</v>
      </c>
      <c r="BX12">
        <f t="shared" si="19"/>
        <v>1.2574266213904963</v>
      </c>
      <c r="BY12">
        <f t="shared" si="20"/>
        <v>-0.83350072328394098</v>
      </c>
      <c r="CB12">
        <f t="shared" si="21"/>
        <v>3.1052144779141635</v>
      </c>
      <c r="CC12">
        <f t="shared" si="22"/>
        <v>2.4916565733596201</v>
      </c>
      <c r="CD12">
        <f t="shared" si="23"/>
        <v>0.45679954178012755</v>
      </c>
      <c r="CE12">
        <f t="shared" si="24"/>
        <v>2.44402894785765</v>
      </c>
      <c r="CF12">
        <f t="shared" si="25"/>
        <v>1.9735936199787836</v>
      </c>
      <c r="CG12">
        <f t="shared" si="33"/>
        <v>0.45679954178012755</v>
      </c>
      <c r="CK12" t="str">
        <f t="shared" si="26"/>
        <v>Cluster 3</v>
      </c>
      <c r="CL12" t="str">
        <f t="shared" si="27"/>
        <v>A Tennis</v>
      </c>
      <c r="CM12" t="str">
        <f t="shared" si="37"/>
        <v>Tennis A</v>
      </c>
      <c r="CN12" t="str">
        <f t="shared" si="28"/>
        <v>Diff</v>
      </c>
      <c r="CP12" s="2" t="s">
        <v>98</v>
      </c>
      <c r="CQ12" s="38" t="s">
        <v>128</v>
      </c>
      <c r="CR12">
        <f>COUNTIFS(CL:CL,CQ12)</f>
        <v>25</v>
      </c>
      <c r="CS12" s="69">
        <f>CR12/$CR$13</f>
        <v>0.18939393939393939</v>
      </c>
      <c r="CU12">
        <v>-0.29438105456653602</v>
      </c>
      <c r="CV12">
        <v>1.2574266213905001</v>
      </c>
      <c r="CW12">
        <v>-0.83350072328394098</v>
      </c>
    </row>
    <row r="13" spans="2:101">
      <c r="B13" s="18" t="s">
        <v>57</v>
      </c>
      <c r="C13" s="5">
        <v>3.5</v>
      </c>
      <c r="D13" s="19" t="s">
        <v>118</v>
      </c>
      <c r="E13" s="19" t="s">
        <v>121</v>
      </c>
      <c r="H13">
        <v>6</v>
      </c>
      <c r="I13">
        <v>4</v>
      </c>
      <c r="J13">
        <v>7</v>
      </c>
      <c r="K13">
        <v>10</v>
      </c>
      <c r="L13">
        <v>12</v>
      </c>
      <c r="M13">
        <v>15</v>
      </c>
      <c r="N13">
        <v>1</v>
      </c>
      <c r="O13">
        <v>2</v>
      </c>
      <c r="P13">
        <v>3</v>
      </c>
      <c r="Q13">
        <v>5</v>
      </c>
      <c r="R13">
        <v>8</v>
      </c>
      <c r="S13">
        <v>13</v>
      </c>
      <c r="T13">
        <v>16</v>
      </c>
      <c r="U13">
        <v>18</v>
      </c>
      <c r="V13">
        <v>19</v>
      </c>
      <c r="W13">
        <v>20</v>
      </c>
      <c r="X13">
        <v>6</v>
      </c>
      <c r="Y13">
        <v>9</v>
      </c>
      <c r="Z13">
        <v>11</v>
      </c>
      <c r="AA13">
        <v>14</v>
      </c>
      <c r="AB13">
        <v>17</v>
      </c>
      <c r="AD13">
        <f t="shared" ref="AD13:AH13" si="41">SUMIFS($I13:$AB13,$I$2:$AB$2,AD$7)</f>
        <v>24</v>
      </c>
      <c r="AE13">
        <f t="shared" si="41"/>
        <v>34</v>
      </c>
      <c r="AF13">
        <f t="shared" si="41"/>
        <v>42</v>
      </c>
      <c r="AG13">
        <f t="shared" si="41"/>
        <v>50</v>
      </c>
      <c r="AH13">
        <f t="shared" si="41"/>
        <v>60</v>
      </c>
      <c r="AI13">
        <f t="shared" si="1"/>
        <v>67</v>
      </c>
      <c r="AJ13">
        <f t="shared" si="1"/>
        <v>143</v>
      </c>
      <c r="AK13">
        <f t="shared" si="2"/>
        <v>76</v>
      </c>
      <c r="AL13">
        <f t="shared" si="2"/>
        <v>134</v>
      </c>
      <c r="AN13" s="67">
        <f t="shared" ref="AN13:AV13" si="42">((AD13-MIN($AD13:$AL13))/(MAX($AD13:$AL13)-MIN($AD13:$AL13)))</f>
        <v>0</v>
      </c>
      <c r="AO13" s="67">
        <f t="shared" si="42"/>
        <v>8.4033613445378158E-2</v>
      </c>
      <c r="AP13" s="67">
        <f t="shared" si="42"/>
        <v>0.15126050420168066</v>
      </c>
      <c r="AQ13" s="67">
        <f t="shared" si="42"/>
        <v>0.21848739495798319</v>
      </c>
      <c r="AR13" s="67">
        <f t="shared" si="42"/>
        <v>0.30252100840336132</v>
      </c>
      <c r="AS13" s="67">
        <f t="shared" si="42"/>
        <v>0.36134453781512604</v>
      </c>
      <c r="AT13" s="67">
        <f t="shared" si="42"/>
        <v>1</v>
      </c>
      <c r="AU13" s="67">
        <f t="shared" si="42"/>
        <v>0.43697478991596639</v>
      </c>
      <c r="AV13" s="67">
        <f t="shared" si="42"/>
        <v>0.92436974789915971</v>
      </c>
      <c r="AX13">
        <f t="shared" si="4"/>
        <v>0.30252100840336132</v>
      </c>
      <c r="AY13">
        <f t="shared" si="14"/>
        <v>0.6386554621848739</v>
      </c>
      <c r="AZ13">
        <f t="shared" si="5"/>
        <v>0.48739495798319332</v>
      </c>
      <c r="BB13">
        <f t="shared" ref="BB13:BD13" si="43">AX13/SUM($AX13:$AZ13)</f>
        <v>0.21176470588235291</v>
      </c>
      <c r="BC13">
        <f t="shared" si="43"/>
        <v>0.44705882352941173</v>
      </c>
      <c r="BD13">
        <f t="shared" si="43"/>
        <v>0.3411764705882353</v>
      </c>
      <c r="BF13" t="str">
        <f t="shared" si="7"/>
        <v xml:space="preserve">Brand </v>
      </c>
      <c r="BG13" t="str">
        <f t="shared" si="8"/>
        <v>Super Bowl</v>
      </c>
      <c r="BI13">
        <f t="shared" si="9"/>
        <v>3.5</v>
      </c>
      <c r="BJ13" t="str">
        <f t="shared" si="10"/>
        <v>Super Bowl</v>
      </c>
      <c r="BK13" t="str">
        <f t="shared" si="11"/>
        <v>B</v>
      </c>
      <c r="BS13">
        <f t="shared" si="32"/>
        <v>0.30252100840336132</v>
      </c>
      <c r="BT13">
        <f t="shared" si="16"/>
        <v>-0.6386554621848739</v>
      </c>
      <c r="BU13">
        <f t="shared" si="17"/>
        <v>0.48739495798319332</v>
      </c>
      <c r="BW13">
        <f t="shared" si="18"/>
        <v>-0.88658687390872204</v>
      </c>
      <c r="BX13">
        <f t="shared" si="19"/>
        <v>-1.3885000301571429</v>
      </c>
      <c r="BY13">
        <f t="shared" si="20"/>
        <v>1.0129078458112464</v>
      </c>
      <c r="CB13">
        <f t="shared" si="21"/>
        <v>0.37694681774291966</v>
      </c>
      <c r="CC13">
        <f t="shared" si="22"/>
        <v>3.2790554830938303</v>
      </c>
      <c r="CD13">
        <f t="shared" si="23"/>
        <v>3.3022555562946891</v>
      </c>
      <c r="CE13">
        <f t="shared" si="24"/>
        <v>2.1069695730499789</v>
      </c>
      <c r="CF13">
        <f t="shared" si="25"/>
        <v>2.5421018910864563</v>
      </c>
      <c r="CG13">
        <f t="shared" si="33"/>
        <v>0.37694681774291966</v>
      </c>
      <c r="CK13" t="str">
        <f t="shared" si="26"/>
        <v>Cluster 1</v>
      </c>
      <c r="CL13" t="str">
        <f t="shared" si="27"/>
        <v>B Super Bowl</v>
      </c>
      <c r="CM13" t="str">
        <f t="shared" si="37"/>
        <v>Super Bowl B</v>
      </c>
      <c r="CN13" t="str">
        <f t="shared" si="28"/>
        <v>Diff</v>
      </c>
      <c r="CR13">
        <f>SUM(CR8:CR12)</f>
        <v>132</v>
      </c>
    </row>
    <row r="14" spans="2:101">
      <c r="B14" s="18" t="s">
        <v>58</v>
      </c>
      <c r="C14" s="5">
        <v>3.75</v>
      </c>
      <c r="D14" s="19" t="s">
        <v>118</v>
      </c>
      <c r="E14" s="19" t="s">
        <v>121</v>
      </c>
      <c r="H14">
        <v>7</v>
      </c>
      <c r="I14">
        <v>4</v>
      </c>
      <c r="J14">
        <v>7</v>
      </c>
      <c r="K14">
        <v>11</v>
      </c>
      <c r="L14">
        <v>15</v>
      </c>
      <c r="M14">
        <v>18</v>
      </c>
      <c r="N14">
        <v>9</v>
      </c>
      <c r="O14">
        <v>13</v>
      </c>
      <c r="P14">
        <v>16</v>
      </c>
      <c r="Q14">
        <v>19</v>
      </c>
      <c r="R14">
        <v>20</v>
      </c>
      <c r="S14">
        <v>1</v>
      </c>
      <c r="T14">
        <v>2</v>
      </c>
      <c r="U14">
        <v>5</v>
      </c>
      <c r="V14">
        <v>8</v>
      </c>
      <c r="W14">
        <v>12</v>
      </c>
      <c r="X14">
        <v>3</v>
      </c>
      <c r="Y14">
        <v>6</v>
      </c>
      <c r="Z14">
        <v>10</v>
      </c>
      <c r="AA14">
        <v>14</v>
      </c>
      <c r="AB14">
        <v>17</v>
      </c>
      <c r="AD14">
        <f t="shared" ref="AD14:AH14" si="44">SUMIFS($I14:$AB14,$I$2:$AB$2,AD$7)</f>
        <v>17</v>
      </c>
      <c r="AE14">
        <f t="shared" si="44"/>
        <v>28</v>
      </c>
      <c r="AF14">
        <f t="shared" si="44"/>
        <v>42</v>
      </c>
      <c r="AG14">
        <f t="shared" si="44"/>
        <v>56</v>
      </c>
      <c r="AH14">
        <f t="shared" si="44"/>
        <v>67</v>
      </c>
      <c r="AI14">
        <f t="shared" si="1"/>
        <v>132</v>
      </c>
      <c r="AJ14">
        <f t="shared" si="1"/>
        <v>78</v>
      </c>
      <c r="AK14">
        <f t="shared" si="2"/>
        <v>127</v>
      </c>
      <c r="AL14">
        <f t="shared" si="2"/>
        <v>83</v>
      </c>
      <c r="AN14" s="67">
        <f t="shared" ref="AN14:AV14" si="45">((AD14-MIN($AD14:$AL14))/(MAX($AD14:$AL14)-MIN($AD14:$AL14)))</f>
        <v>0</v>
      </c>
      <c r="AO14" s="67">
        <f t="shared" si="45"/>
        <v>9.5652173913043481E-2</v>
      </c>
      <c r="AP14" s="67">
        <f t="shared" si="45"/>
        <v>0.21739130434782608</v>
      </c>
      <c r="AQ14" s="67">
        <f t="shared" si="45"/>
        <v>0.33913043478260868</v>
      </c>
      <c r="AR14" s="67">
        <f t="shared" si="45"/>
        <v>0.43478260869565216</v>
      </c>
      <c r="AS14" s="67">
        <f t="shared" si="45"/>
        <v>1</v>
      </c>
      <c r="AT14" s="67">
        <f t="shared" si="45"/>
        <v>0.5304347826086957</v>
      </c>
      <c r="AU14" s="67">
        <f t="shared" si="45"/>
        <v>0.95652173913043481</v>
      </c>
      <c r="AV14" s="67">
        <f t="shared" si="45"/>
        <v>0.57391304347826089</v>
      </c>
      <c r="AX14">
        <f t="shared" si="4"/>
        <v>0.43478260869565216</v>
      </c>
      <c r="AY14">
        <f t="shared" si="14"/>
        <v>0.4695652173913043</v>
      </c>
      <c r="AZ14">
        <f t="shared" si="5"/>
        <v>0.38260869565217392</v>
      </c>
      <c r="BB14">
        <f t="shared" ref="BB14:BD14" si="46">AX14/SUM($AX14:$AZ14)</f>
        <v>0.33783783783783783</v>
      </c>
      <c r="BC14">
        <f t="shared" si="46"/>
        <v>0.36486486486486486</v>
      </c>
      <c r="BD14">
        <f t="shared" si="46"/>
        <v>0.29729729729729731</v>
      </c>
      <c r="BF14" t="str">
        <f t="shared" si="7"/>
        <v xml:space="preserve">Brand </v>
      </c>
      <c r="BG14" t="str">
        <f t="shared" si="8"/>
        <v>Tennis</v>
      </c>
      <c r="BI14">
        <f t="shared" si="9"/>
        <v>3.5</v>
      </c>
      <c r="BJ14" t="str">
        <f t="shared" si="10"/>
        <v>Tennis</v>
      </c>
      <c r="BK14" t="str">
        <f t="shared" si="11"/>
        <v>A</v>
      </c>
      <c r="BM14" s="7">
        <f>COUNTIFS(BF:BF,BN14)</f>
        <v>30</v>
      </c>
      <c r="BN14" t="s">
        <v>37</v>
      </c>
      <c r="BS14">
        <f t="shared" si="32"/>
        <v>0.43478260869565216</v>
      </c>
      <c r="BT14">
        <f t="shared" si="16"/>
        <v>0.4695652173913043</v>
      </c>
      <c r="BU14">
        <f t="shared" si="17"/>
        <v>-0.38260869565217392</v>
      </c>
      <c r="BW14">
        <f t="shared" si="18"/>
        <v>0.27851370544927367</v>
      </c>
      <c r="BX14">
        <f t="shared" si="19"/>
        <v>1.0346958392493484</v>
      </c>
      <c r="BY14">
        <f t="shared" si="20"/>
        <v>-0.82516409596528395</v>
      </c>
      <c r="CB14">
        <f t="shared" si="21"/>
        <v>3.0471451944711325</v>
      </c>
      <c r="CC14">
        <f t="shared" si="22"/>
        <v>1.9260887229370682</v>
      </c>
      <c r="CD14">
        <f t="shared" si="23"/>
        <v>0.84871165197531562</v>
      </c>
      <c r="CE14">
        <f t="shared" si="24"/>
        <v>2.3416156404920998</v>
      </c>
      <c r="CF14">
        <f t="shared" si="25"/>
        <v>2.1059681060616509</v>
      </c>
      <c r="CG14">
        <f t="shared" si="33"/>
        <v>0.84871165197531562</v>
      </c>
      <c r="CK14" t="str">
        <f t="shared" si="26"/>
        <v>Cluster 3</v>
      </c>
      <c r="CL14" t="str">
        <f>INDEX($CB$2:$CF$2,,MATCH(CK14,$CB$7:$CF$7,0))</f>
        <v>A Tennis</v>
      </c>
      <c r="CM14" t="str">
        <f t="shared" si="37"/>
        <v>Tennis A</v>
      </c>
      <c r="CN14" t="str">
        <f t="shared" si="28"/>
        <v>Diff</v>
      </c>
    </row>
    <row r="15" spans="2:101">
      <c r="B15" s="18" t="s">
        <v>59</v>
      </c>
      <c r="C15" s="5">
        <v>4</v>
      </c>
      <c r="D15" s="19" t="s">
        <v>118</v>
      </c>
      <c r="E15" s="19" t="s">
        <v>121</v>
      </c>
      <c r="H15">
        <v>8</v>
      </c>
      <c r="I15">
        <v>12</v>
      </c>
      <c r="J15">
        <v>15</v>
      </c>
      <c r="K15">
        <v>17</v>
      </c>
      <c r="L15">
        <v>19</v>
      </c>
      <c r="M15">
        <v>20</v>
      </c>
      <c r="N15">
        <v>3</v>
      </c>
      <c r="O15">
        <v>5</v>
      </c>
      <c r="P15">
        <v>8</v>
      </c>
      <c r="Q15">
        <v>11</v>
      </c>
      <c r="R15">
        <v>14</v>
      </c>
      <c r="S15">
        <v>7</v>
      </c>
      <c r="T15">
        <v>10</v>
      </c>
      <c r="U15">
        <v>13</v>
      </c>
      <c r="V15">
        <v>16</v>
      </c>
      <c r="W15">
        <v>18</v>
      </c>
      <c r="X15">
        <v>1</v>
      </c>
      <c r="Y15">
        <v>2</v>
      </c>
      <c r="Z15">
        <v>4</v>
      </c>
      <c r="AA15">
        <v>6</v>
      </c>
      <c r="AB15">
        <v>9</v>
      </c>
      <c r="AD15">
        <f t="shared" ref="AD15:AH15" si="47">SUMIFS($I15:$AB15,$I$2:$AB$2,AD$7)</f>
        <v>23</v>
      </c>
      <c r="AE15">
        <f t="shared" si="47"/>
        <v>32</v>
      </c>
      <c r="AF15">
        <f t="shared" si="47"/>
        <v>42</v>
      </c>
      <c r="AG15">
        <f t="shared" si="47"/>
        <v>52</v>
      </c>
      <c r="AH15">
        <f t="shared" si="47"/>
        <v>61</v>
      </c>
      <c r="AI15">
        <f t="shared" si="1"/>
        <v>124</v>
      </c>
      <c r="AJ15">
        <f t="shared" si="1"/>
        <v>86</v>
      </c>
      <c r="AK15">
        <f t="shared" si="2"/>
        <v>63</v>
      </c>
      <c r="AL15">
        <f t="shared" si="2"/>
        <v>147</v>
      </c>
      <c r="AN15" s="67">
        <f t="shared" ref="AN15:AV15" si="48">((AD15-MIN($AD15:$AL15))/(MAX($AD15:$AL15)-MIN($AD15:$AL15)))</f>
        <v>0</v>
      </c>
      <c r="AO15" s="67">
        <f t="shared" si="48"/>
        <v>7.2580645161290328E-2</v>
      </c>
      <c r="AP15" s="67">
        <f t="shared" si="48"/>
        <v>0.15322580645161291</v>
      </c>
      <c r="AQ15" s="67">
        <f t="shared" si="48"/>
        <v>0.23387096774193547</v>
      </c>
      <c r="AR15" s="67">
        <f t="shared" si="48"/>
        <v>0.30645161290322581</v>
      </c>
      <c r="AS15" s="67">
        <f t="shared" si="48"/>
        <v>0.81451612903225812</v>
      </c>
      <c r="AT15" s="67">
        <f t="shared" si="48"/>
        <v>0.50806451612903225</v>
      </c>
      <c r="AU15" s="67">
        <f t="shared" si="48"/>
        <v>0.32258064516129031</v>
      </c>
      <c r="AV15" s="67">
        <f t="shared" si="48"/>
        <v>1</v>
      </c>
      <c r="AX15">
        <f t="shared" si="4"/>
        <v>0.30645161290322581</v>
      </c>
      <c r="AY15">
        <f t="shared" si="14"/>
        <v>0.30645161290322587</v>
      </c>
      <c r="AZ15">
        <f t="shared" si="5"/>
        <v>0.67741935483870974</v>
      </c>
      <c r="BB15">
        <f t="shared" ref="BB15:BD15" si="49">AX15/SUM($AX15:$AZ15)</f>
        <v>0.23749999999999996</v>
      </c>
      <c r="BC15">
        <f t="shared" si="49"/>
        <v>0.23750000000000002</v>
      </c>
      <c r="BD15">
        <f t="shared" si="49"/>
        <v>0.52500000000000002</v>
      </c>
      <c r="BF15" t="str">
        <f t="shared" si="7"/>
        <v>Theme</v>
      </c>
      <c r="BG15" t="str">
        <f t="shared" si="8"/>
        <v>B</v>
      </c>
      <c r="BI15">
        <f t="shared" si="9"/>
        <v>3.5</v>
      </c>
      <c r="BJ15" t="str">
        <f t="shared" si="10"/>
        <v>Tennis</v>
      </c>
      <c r="BK15" t="str">
        <f t="shared" si="11"/>
        <v>B</v>
      </c>
      <c r="BM15" s="7">
        <f>COUNTIFS(BF:BF,BN15)</f>
        <v>49</v>
      </c>
      <c r="BN15" t="s">
        <v>72</v>
      </c>
      <c r="BS15">
        <f t="shared" si="32"/>
        <v>0.30645161290322581</v>
      </c>
      <c r="BT15">
        <f t="shared" si="16"/>
        <v>0.30645161290322587</v>
      </c>
      <c r="BU15">
        <f t="shared" si="17"/>
        <v>0.67741935483870974</v>
      </c>
      <c r="BW15">
        <f t="shared" si="18"/>
        <v>-0.85196193689073108</v>
      </c>
      <c r="BX15">
        <f t="shared" si="19"/>
        <v>0.67803744086007134</v>
      </c>
      <c r="BY15">
        <f t="shared" si="20"/>
        <v>1.4143757139674891</v>
      </c>
      <c r="CB15">
        <f t="shared" si="21"/>
        <v>1.8636789633822868</v>
      </c>
      <c r="CC15">
        <f t="shared" si="22"/>
        <v>3.0264511394231439</v>
      </c>
      <c r="CD15">
        <f t="shared" si="23"/>
        <v>2.6510327195595784</v>
      </c>
      <c r="CE15">
        <f t="shared" si="24"/>
        <v>3.0974638953191902</v>
      </c>
      <c r="CF15">
        <f t="shared" si="25"/>
        <v>0.62971346114978444</v>
      </c>
      <c r="CG15">
        <f t="shared" si="33"/>
        <v>0.62971346114978444</v>
      </c>
      <c r="CK15" t="str">
        <f t="shared" si="26"/>
        <v>Cluster 5</v>
      </c>
      <c r="CL15" t="str">
        <f t="shared" si="27"/>
        <v>B Tennis</v>
      </c>
      <c r="CM15" t="str">
        <f t="shared" si="37"/>
        <v>Tennis B</v>
      </c>
      <c r="CN15" t="str">
        <f t="shared" si="28"/>
        <v>Diff</v>
      </c>
    </row>
    <row r="16" spans="2:101">
      <c r="B16" s="18" t="s">
        <v>60</v>
      </c>
      <c r="C16" s="5">
        <v>4.25</v>
      </c>
      <c r="D16" s="19" t="s">
        <v>118</v>
      </c>
      <c r="E16" s="19" t="s">
        <v>121</v>
      </c>
      <c r="H16">
        <v>9</v>
      </c>
      <c r="I16">
        <v>4</v>
      </c>
      <c r="J16">
        <v>7</v>
      </c>
      <c r="K16">
        <v>10</v>
      </c>
      <c r="L16">
        <v>13</v>
      </c>
      <c r="M16">
        <v>16</v>
      </c>
      <c r="N16">
        <v>12</v>
      </c>
      <c r="O16">
        <v>15</v>
      </c>
      <c r="P16">
        <v>18</v>
      </c>
      <c r="Q16">
        <v>19</v>
      </c>
      <c r="R16">
        <v>20</v>
      </c>
      <c r="S16">
        <v>1</v>
      </c>
      <c r="T16">
        <v>2</v>
      </c>
      <c r="U16">
        <v>3</v>
      </c>
      <c r="V16">
        <v>6</v>
      </c>
      <c r="W16">
        <v>9</v>
      </c>
      <c r="X16">
        <v>5</v>
      </c>
      <c r="Y16">
        <v>8</v>
      </c>
      <c r="Z16">
        <v>11</v>
      </c>
      <c r="AA16">
        <v>14</v>
      </c>
      <c r="AB16">
        <v>17</v>
      </c>
      <c r="AD16">
        <f t="shared" ref="AD16:AH16" si="50">SUMIFS($I16:$AB16,$I$2:$AB$2,AD$7)</f>
        <v>22</v>
      </c>
      <c r="AE16">
        <f t="shared" si="50"/>
        <v>32</v>
      </c>
      <c r="AF16">
        <f t="shared" si="50"/>
        <v>42</v>
      </c>
      <c r="AG16">
        <f t="shared" si="50"/>
        <v>52</v>
      </c>
      <c r="AH16">
        <f t="shared" si="50"/>
        <v>62</v>
      </c>
      <c r="AI16">
        <f t="shared" si="1"/>
        <v>134</v>
      </c>
      <c r="AJ16">
        <f t="shared" si="1"/>
        <v>76</v>
      </c>
      <c r="AK16">
        <f t="shared" si="2"/>
        <v>139</v>
      </c>
      <c r="AL16">
        <f t="shared" si="2"/>
        <v>71</v>
      </c>
      <c r="AN16" s="67">
        <f t="shared" ref="AN16:AV16" si="51">((AD16-MIN($AD16:$AL16))/(MAX($AD16:$AL16)-MIN($AD16:$AL16)))</f>
        <v>0</v>
      </c>
      <c r="AO16" s="67">
        <f t="shared" si="51"/>
        <v>8.5470085470085472E-2</v>
      </c>
      <c r="AP16" s="67">
        <f t="shared" si="51"/>
        <v>0.17094017094017094</v>
      </c>
      <c r="AQ16" s="67">
        <f t="shared" si="51"/>
        <v>0.25641025641025639</v>
      </c>
      <c r="AR16" s="67">
        <f t="shared" si="51"/>
        <v>0.34188034188034189</v>
      </c>
      <c r="AS16" s="67">
        <f t="shared" si="51"/>
        <v>0.95726495726495731</v>
      </c>
      <c r="AT16" s="67">
        <f t="shared" si="51"/>
        <v>0.46153846153846156</v>
      </c>
      <c r="AU16" s="67">
        <f t="shared" si="51"/>
        <v>1</v>
      </c>
      <c r="AV16" s="67">
        <f t="shared" si="51"/>
        <v>0.41880341880341881</v>
      </c>
      <c r="AX16">
        <f t="shared" si="4"/>
        <v>0.34188034188034189</v>
      </c>
      <c r="AY16">
        <f t="shared" si="14"/>
        <v>0.49572649572649574</v>
      </c>
      <c r="AZ16">
        <f t="shared" si="5"/>
        <v>0.58119658119658113</v>
      </c>
      <c r="BB16">
        <f t="shared" ref="BB16:BD16" si="52">AX16/SUM($AX16:$AZ16)</f>
        <v>0.24096385542168677</v>
      </c>
      <c r="BC16">
        <f t="shared" si="52"/>
        <v>0.34939759036144585</v>
      </c>
      <c r="BD16">
        <f t="shared" si="52"/>
        <v>0.40963855421686746</v>
      </c>
      <c r="BF16" t="str">
        <f t="shared" si="7"/>
        <v>Theme</v>
      </c>
      <c r="BG16" t="str">
        <f t="shared" si="8"/>
        <v>A</v>
      </c>
      <c r="BI16">
        <f t="shared" si="9"/>
        <v>3.5</v>
      </c>
      <c r="BJ16" t="str">
        <f t="shared" si="10"/>
        <v>Tennis</v>
      </c>
      <c r="BK16" t="str">
        <f t="shared" si="11"/>
        <v>A</v>
      </c>
      <c r="BM16" s="7">
        <f>COUNTIFS(BF:BF,BN16)</f>
        <v>53</v>
      </c>
      <c r="BN16" t="s">
        <v>117</v>
      </c>
      <c r="BS16">
        <f t="shared" si="32"/>
        <v>0.34188034188034189</v>
      </c>
      <c r="BT16">
        <f t="shared" si="16"/>
        <v>0.49572649572649574</v>
      </c>
      <c r="BU16">
        <f t="shared" si="17"/>
        <v>-0.58119658119658113</v>
      </c>
      <c r="BW16">
        <f t="shared" si="18"/>
        <v>-0.53986808224257044</v>
      </c>
      <c r="BX16">
        <f t="shared" si="19"/>
        <v>1.0918991587402582</v>
      </c>
      <c r="BY16">
        <f t="shared" si="20"/>
        <v>-1.2447241965127345</v>
      </c>
      <c r="CB16">
        <f t="shared" si="21"/>
        <v>3.2469929132163</v>
      </c>
      <c r="CC16">
        <f t="shared" si="22"/>
        <v>2.8029856015389689</v>
      </c>
      <c r="CD16">
        <f t="shared" si="23"/>
        <v>9.1506330773055894E-2</v>
      </c>
      <c r="CE16">
        <f t="shared" si="24"/>
        <v>2.2724935396386043</v>
      </c>
      <c r="CF16">
        <f t="shared" si="25"/>
        <v>2.3681071414304125</v>
      </c>
      <c r="CG16">
        <f t="shared" si="33"/>
        <v>9.1506330773055894E-2</v>
      </c>
      <c r="CK16" t="str">
        <f t="shared" si="26"/>
        <v>Cluster 3</v>
      </c>
      <c r="CL16" t="str">
        <f t="shared" si="27"/>
        <v>A Tennis</v>
      </c>
      <c r="CM16" t="str">
        <f t="shared" si="37"/>
        <v>Tennis A</v>
      </c>
      <c r="CN16" t="str">
        <f t="shared" si="28"/>
        <v>Diff</v>
      </c>
    </row>
    <row r="17" spans="2:92">
      <c r="B17" s="18" t="s">
        <v>61</v>
      </c>
      <c r="C17" s="5">
        <v>4.5</v>
      </c>
      <c r="D17" s="19" t="s">
        <v>118</v>
      </c>
      <c r="E17" s="19" t="s">
        <v>121</v>
      </c>
      <c r="H17">
        <v>10</v>
      </c>
      <c r="I17">
        <v>2</v>
      </c>
      <c r="J17">
        <v>6</v>
      </c>
      <c r="K17">
        <v>10</v>
      </c>
      <c r="L17">
        <v>14</v>
      </c>
      <c r="M17">
        <v>18</v>
      </c>
      <c r="N17">
        <v>2</v>
      </c>
      <c r="O17">
        <v>6</v>
      </c>
      <c r="P17">
        <v>10</v>
      </c>
      <c r="Q17">
        <v>14</v>
      </c>
      <c r="R17">
        <v>18</v>
      </c>
      <c r="S17">
        <v>4</v>
      </c>
      <c r="T17">
        <v>8</v>
      </c>
      <c r="U17">
        <v>12</v>
      </c>
      <c r="V17">
        <v>16</v>
      </c>
      <c r="W17">
        <v>20</v>
      </c>
      <c r="X17">
        <v>4</v>
      </c>
      <c r="Y17">
        <v>8</v>
      </c>
      <c r="Z17">
        <v>12</v>
      </c>
      <c r="AA17">
        <v>16</v>
      </c>
      <c r="AB17">
        <v>20</v>
      </c>
      <c r="AD17">
        <f t="shared" ref="AD17:AH17" si="53">SUMIFS($I17:$AB17,$I$2:$AB$2,AD$7)</f>
        <v>12</v>
      </c>
      <c r="AE17">
        <f t="shared" si="53"/>
        <v>28</v>
      </c>
      <c r="AF17">
        <f t="shared" si="53"/>
        <v>44</v>
      </c>
      <c r="AG17">
        <f t="shared" si="53"/>
        <v>60</v>
      </c>
      <c r="AH17">
        <f t="shared" si="53"/>
        <v>76</v>
      </c>
      <c r="AI17">
        <f t="shared" si="1"/>
        <v>100</v>
      </c>
      <c r="AJ17">
        <f t="shared" si="1"/>
        <v>120</v>
      </c>
      <c r="AK17">
        <f t="shared" si="2"/>
        <v>110</v>
      </c>
      <c r="AL17">
        <f t="shared" si="2"/>
        <v>110</v>
      </c>
      <c r="AN17" s="67">
        <f t="shared" ref="AN17:AV17" si="54">((AD17-MIN($AD17:$AL17))/(MAX($AD17:$AL17)-MIN($AD17:$AL17)))</f>
        <v>0</v>
      </c>
      <c r="AO17" s="67">
        <f t="shared" si="54"/>
        <v>0.14814814814814814</v>
      </c>
      <c r="AP17" s="67">
        <f t="shared" si="54"/>
        <v>0.29629629629629628</v>
      </c>
      <c r="AQ17" s="67">
        <f t="shared" si="54"/>
        <v>0.44444444444444442</v>
      </c>
      <c r="AR17" s="67">
        <f t="shared" si="54"/>
        <v>0.59259259259259256</v>
      </c>
      <c r="AS17" s="67">
        <f t="shared" si="54"/>
        <v>0.81481481481481477</v>
      </c>
      <c r="AT17" s="67">
        <f t="shared" si="54"/>
        <v>1</v>
      </c>
      <c r="AU17" s="67">
        <f t="shared" si="54"/>
        <v>0.90740740740740744</v>
      </c>
      <c r="AV17" s="67">
        <f t="shared" si="54"/>
        <v>0.90740740740740744</v>
      </c>
      <c r="AX17">
        <f t="shared" si="4"/>
        <v>0.59259259259259256</v>
      </c>
      <c r="AY17">
        <f t="shared" si="14"/>
        <v>0.18518518518518523</v>
      </c>
      <c r="AZ17">
        <f t="shared" si="5"/>
        <v>0</v>
      </c>
      <c r="BB17">
        <f t="shared" ref="BB17:BD17" si="55">AX17/SUM($AX17:$AZ17)</f>
        <v>0.76190476190476186</v>
      </c>
      <c r="BC17">
        <f t="shared" si="55"/>
        <v>0.23809523809523814</v>
      </c>
      <c r="BD17">
        <f t="shared" si="55"/>
        <v>0</v>
      </c>
      <c r="BF17" t="str">
        <f t="shared" si="7"/>
        <v>Price</v>
      </c>
      <c r="BG17">
        <f t="shared" si="8"/>
        <v>3.5</v>
      </c>
      <c r="BI17">
        <f t="shared" si="9"/>
        <v>3.5</v>
      </c>
      <c r="BJ17" t="str">
        <f t="shared" si="10"/>
        <v>Super Bowl</v>
      </c>
      <c r="BK17" t="str">
        <f t="shared" si="11"/>
        <v>B</v>
      </c>
      <c r="BS17">
        <f t="shared" si="32"/>
        <v>0.59259259259259256</v>
      </c>
      <c r="BT17">
        <f t="shared" si="16"/>
        <v>-0.18518518518518523</v>
      </c>
      <c r="BU17">
        <f t="shared" si="17"/>
        <v>0</v>
      </c>
      <c r="BW17">
        <f t="shared" si="18"/>
        <v>1.6686715688084861</v>
      </c>
      <c r="BX17">
        <f t="shared" si="19"/>
        <v>-0.39695807251699122</v>
      </c>
      <c r="BY17">
        <f t="shared" si="20"/>
        <v>-1.6820010030300519E-2</v>
      </c>
      <c r="CB17">
        <f t="shared" si="21"/>
        <v>2.6531470376080653</v>
      </c>
      <c r="CC17">
        <f t="shared" si="22"/>
        <v>0.62788989889625502</v>
      </c>
      <c r="CD17">
        <f t="shared" si="23"/>
        <v>2.8456772065334097</v>
      </c>
      <c r="CE17">
        <f t="shared" si="24"/>
        <v>2.5016289940546361</v>
      </c>
      <c r="CF17">
        <f t="shared" si="25"/>
        <v>2.895949580100226</v>
      </c>
      <c r="CG17">
        <f t="shared" si="33"/>
        <v>0.62788989889625502</v>
      </c>
      <c r="CK17" t="str">
        <f t="shared" si="26"/>
        <v>Cluster 2</v>
      </c>
      <c r="CL17" t="str">
        <f t="shared" si="27"/>
        <v>Price Only</v>
      </c>
      <c r="CM17" t="str">
        <f t="shared" si="37"/>
        <v>Price Only</v>
      </c>
      <c r="CN17" t="str">
        <f t="shared" si="28"/>
        <v/>
      </c>
    </row>
    <row r="18" spans="2:92">
      <c r="B18" s="18" t="s">
        <v>62</v>
      </c>
      <c r="C18" s="5">
        <v>3.5</v>
      </c>
      <c r="D18" s="19" t="s">
        <v>119</v>
      </c>
      <c r="E18" s="19" t="s">
        <v>120</v>
      </c>
      <c r="H18">
        <v>11</v>
      </c>
      <c r="I18">
        <v>11</v>
      </c>
      <c r="J18">
        <v>14</v>
      </c>
      <c r="K18">
        <v>17</v>
      </c>
      <c r="L18">
        <v>19</v>
      </c>
      <c r="M18">
        <v>20</v>
      </c>
      <c r="N18">
        <v>3</v>
      </c>
      <c r="O18">
        <v>6</v>
      </c>
      <c r="P18">
        <v>9</v>
      </c>
      <c r="Q18">
        <v>13</v>
      </c>
      <c r="R18">
        <v>16</v>
      </c>
      <c r="S18">
        <v>5</v>
      </c>
      <c r="T18">
        <v>8</v>
      </c>
      <c r="U18">
        <v>12</v>
      </c>
      <c r="V18">
        <v>15</v>
      </c>
      <c r="W18">
        <v>18</v>
      </c>
      <c r="X18">
        <v>1</v>
      </c>
      <c r="Y18">
        <v>2</v>
      </c>
      <c r="Z18">
        <v>4</v>
      </c>
      <c r="AA18">
        <v>7</v>
      </c>
      <c r="AB18">
        <v>10</v>
      </c>
      <c r="AD18">
        <f t="shared" ref="AD18:AH18" si="56">SUMIFS($I18:$AB18,$I$2:$AB$2,AD$7)</f>
        <v>20</v>
      </c>
      <c r="AE18">
        <f t="shared" si="56"/>
        <v>30</v>
      </c>
      <c r="AF18">
        <f t="shared" si="56"/>
        <v>42</v>
      </c>
      <c r="AG18">
        <f t="shared" si="56"/>
        <v>54</v>
      </c>
      <c r="AH18">
        <f t="shared" si="56"/>
        <v>64</v>
      </c>
      <c r="AI18">
        <f t="shared" si="1"/>
        <v>128</v>
      </c>
      <c r="AJ18">
        <f t="shared" si="1"/>
        <v>82</v>
      </c>
      <c r="AK18">
        <f t="shared" si="2"/>
        <v>71</v>
      </c>
      <c r="AL18">
        <f t="shared" si="2"/>
        <v>139</v>
      </c>
      <c r="AN18" s="67">
        <f t="shared" ref="AN18:AV18" si="57">((AD18-MIN($AD18:$AL18))/(MAX($AD18:$AL18)-MIN($AD18:$AL18)))</f>
        <v>0</v>
      </c>
      <c r="AO18" s="67">
        <f t="shared" si="57"/>
        <v>8.4033613445378158E-2</v>
      </c>
      <c r="AP18" s="67">
        <f t="shared" si="57"/>
        <v>0.18487394957983194</v>
      </c>
      <c r="AQ18" s="67">
        <f t="shared" si="57"/>
        <v>0.2857142857142857</v>
      </c>
      <c r="AR18" s="67">
        <f t="shared" si="57"/>
        <v>0.36974789915966388</v>
      </c>
      <c r="AS18" s="67">
        <f t="shared" si="57"/>
        <v>0.90756302521008403</v>
      </c>
      <c r="AT18" s="67">
        <f t="shared" si="57"/>
        <v>0.52100840336134457</v>
      </c>
      <c r="AU18" s="67">
        <f t="shared" si="57"/>
        <v>0.42857142857142855</v>
      </c>
      <c r="AV18" s="67">
        <f t="shared" si="57"/>
        <v>1</v>
      </c>
      <c r="AX18">
        <f t="shared" si="4"/>
        <v>0.36974789915966388</v>
      </c>
      <c r="AY18">
        <f t="shared" si="14"/>
        <v>0.38655462184873945</v>
      </c>
      <c r="AZ18">
        <f t="shared" si="5"/>
        <v>0.5714285714285714</v>
      </c>
      <c r="BB18">
        <f t="shared" ref="BB18:BD18" si="58">AX18/SUM($AX18:$AZ18)</f>
        <v>0.27848101265822789</v>
      </c>
      <c r="BC18">
        <f t="shared" si="58"/>
        <v>0.29113924050632911</v>
      </c>
      <c r="BD18">
        <f t="shared" si="58"/>
        <v>0.43037974683544306</v>
      </c>
      <c r="BF18" t="str">
        <f t="shared" si="7"/>
        <v>Theme</v>
      </c>
      <c r="BG18" t="str">
        <f t="shared" si="8"/>
        <v>B</v>
      </c>
      <c r="BI18">
        <f t="shared" si="9"/>
        <v>3.5</v>
      </c>
      <c r="BJ18" t="str">
        <f t="shared" si="10"/>
        <v>Tennis</v>
      </c>
      <c r="BK18" t="str">
        <f t="shared" si="11"/>
        <v>B</v>
      </c>
      <c r="BS18">
        <f t="shared" si="32"/>
        <v>0.36974789915966388</v>
      </c>
      <c r="BT18">
        <f t="shared" si="16"/>
        <v>0.38655462184873945</v>
      </c>
      <c r="BU18">
        <f t="shared" si="17"/>
        <v>0.5714285714285714</v>
      </c>
      <c r="BW18">
        <f t="shared" si="18"/>
        <v>-0.29438105456653607</v>
      </c>
      <c r="BX18">
        <f t="shared" si="19"/>
        <v>0.8531878274040513</v>
      </c>
      <c r="BY18">
        <f t="shared" si="20"/>
        <v>1.190447131301168</v>
      </c>
      <c r="CB18">
        <f t="shared" si="21"/>
        <v>2.025342057035409</v>
      </c>
      <c r="CC18">
        <f t="shared" si="22"/>
        <v>2.4772385181364762</v>
      </c>
      <c r="CD18">
        <f t="shared" si="23"/>
        <v>2.39227801585369</v>
      </c>
      <c r="CE18">
        <f t="shared" si="24"/>
        <v>3.0192780133248194</v>
      </c>
      <c r="CF18">
        <f t="shared" si="25"/>
        <v>0.35654737899181854</v>
      </c>
      <c r="CG18">
        <f t="shared" si="33"/>
        <v>0.35654737899181854</v>
      </c>
      <c r="CK18" t="str">
        <f t="shared" si="26"/>
        <v>Cluster 5</v>
      </c>
      <c r="CL18" t="str">
        <f t="shared" si="27"/>
        <v>B Tennis</v>
      </c>
      <c r="CM18" t="str">
        <f t="shared" si="37"/>
        <v>Tennis B</v>
      </c>
      <c r="CN18" t="str">
        <f t="shared" si="28"/>
        <v>Diff</v>
      </c>
    </row>
    <row r="19" spans="2:92">
      <c r="B19" s="18" t="s">
        <v>63</v>
      </c>
      <c r="C19" s="5">
        <v>3.75</v>
      </c>
      <c r="D19" s="19" t="s">
        <v>119</v>
      </c>
      <c r="E19" s="19" t="s">
        <v>120</v>
      </c>
      <c r="H19">
        <v>12</v>
      </c>
      <c r="I19">
        <v>4</v>
      </c>
      <c r="J19">
        <v>7</v>
      </c>
      <c r="K19">
        <v>10</v>
      </c>
      <c r="L19">
        <v>12</v>
      </c>
      <c r="M19">
        <v>15</v>
      </c>
      <c r="N19">
        <v>13</v>
      </c>
      <c r="O19">
        <v>16</v>
      </c>
      <c r="P19">
        <v>18</v>
      </c>
      <c r="Q19">
        <v>19</v>
      </c>
      <c r="R19">
        <v>20</v>
      </c>
      <c r="S19">
        <v>1</v>
      </c>
      <c r="T19">
        <v>2</v>
      </c>
      <c r="U19">
        <v>3</v>
      </c>
      <c r="V19">
        <v>5</v>
      </c>
      <c r="W19">
        <v>8</v>
      </c>
      <c r="X19">
        <v>6</v>
      </c>
      <c r="Y19">
        <v>9</v>
      </c>
      <c r="Z19">
        <v>11</v>
      </c>
      <c r="AA19">
        <v>14</v>
      </c>
      <c r="AB19">
        <v>17</v>
      </c>
      <c r="AD19">
        <f t="shared" ref="AD19:AH19" si="59">SUMIFS($I19:$AB19,$I$2:$AB$2,AD$7)</f>
        <v>24</v>
      </c>
      <c r="AE19">
        <f t="shared" si="59"/>
        <v>34</v>
      </c>
      <c r="AF19">
        <f t="shared" si="59"/>
        <v>42</v>
      </c>
      <c r="AG19">
        <f t="shared" si="59"/>
        <v>50</v>
      </c>
      <c r="AH19">
        <f t="shared" si="59"/>
        <v>60</v>
      </c>
      <c r="AI19">
        <f t="shared" si="1"/>
        <v>134</v>
      </c>
      <c r="AJ19">
        <f t="shared" si="1"/>
        <v>76</v>
      </c>
      <c r="AK19">
        <f t="shared" si="2"/>
        <v>143</v>
      </c>
      <c r="AL19">
        <f t="shared" si="2"/>
        <v>67</v>
      </c>
      <c r="AN19" s="67">
        <f t="shared" ref="AN19:AV19" si="60">((AD19-MIN($AD19:$AL19))/(MAX($AD19:$AL19)-MIN($AD19:$AL19)))</f>
        <v>0</v>
      </c>
      <c r="AO19" s="67">
        <f t="shared" si="60"/>
        <v>8.4033613445378158E-2</v>
      </c>
      <c r="AP19" s="67">
        <f t="shared" si="60"/>
        <v>0.15126050420168066</v>
      </c>
      <c r="AQ19" s="67">
        <f t="shared" si="60"/>
        <v>0.21848739495798319</v>
      </c>
      <c r="AR19" s="67">
        <f t="shared" si="60"/>
        <v>0.30252100840336132</v>
      </c>
      <c r="AS19" s="67">
        <f t="shared" si="60"/>
        <v>0.92436974789915971</v>
      </c>
      <c r="AT19" s="67">
        <f t="shared" si="60"/>
        <v>0.43697478991596639</v>
      </c>
      <c r="AU19" s="67">
        <f t="shared" si="60"/>
        <v>1</v>
      </c>
      <c r="AV19" s="67">
        <f t="shared" si="60"/>
        <v>0.36134453781512604</v>
      </c>
      <c r="AX19">
        <f t="shared" si="4"/>
        <v>0.30252100840336132</v>
      </c>
      <c r="AY19">
        <f t="shared" si="14"/>
        <v>0.48739495798319332</v>
      </c>
      <c r="AZ19">
        <f t="shared" si="5"/>
        <v>0.6386554621848739</v>
      </c>
      <c r="BB19">
        <f t="shared" ref="BB19:BD19" si="61">AX19/SUM($AX19:$AZ19)</f>
        <v>0.21176470588235291</v>
      </c>
      <c r="BC19">
        <f t="shared" si="61"/>
        <v>0.3411764705882353</v>
      </c>
      <c r="BD19">
        <f t="shared" si="61"/>
        <v>0.44705882352941173</v>
      </c>
      <c r="BF19" t="str">
        <f t="shared" si="7"/>
        <v>Theme</v>
      </c>
      <c r="BG19" t="str">
        <f t="shared" si="8"/>
        <v>A</v>
      </c>
      <c r="BI19">
        <f t="shared" si="9"/>
        <v>3.5</v>
      </c>
      <c r="BJ19" t="str">
        <f t="shared" si="10"/>
        <v>Tennis</v>
      </c>
      <c r="BK19" t="str">
        <f t="shared" si="11"/>
        <v>A</v>
      </c>
      <c r="BS19">
        <f t="shared" si="32"/>
        <v>0.30252100840336132</v>
      </c>
      <c r="BT19">
        <f t="shared" si="16"/>
        <v>0.48739495798319332</v>
      </c>
      <c r="BU19">
        <f t="shared" si="17"/>
        <v>-0.6386554621848739</v>
      </c>
      <c r="BW19">
        <f t="shared" si="18"/>
        <v>-0.88658687390872204</v>
      </c>
      <c r="BX19">
        <f t="shared" si="19"/>
        <v>1.0736817150330213</v>
      </c>
      <c r="BY19">
        <f t="shared" si="20"/>
        <v>-1.3661185797537068</v>
      </c>
      <c r="CB19">
        <f t="shared" si="21"/>
        <v>3.3340361205485207</v>
      </c>
      <c r="CC19">
        <f t="shared" si="22"/>
        <v>3.1449506680952926</v>
      </c>
      <c r="CD19">
        <f t="shared" si="23"/>
        <v>0.4370161757631229</v>
      </c>
      <c r="CE19">
        <f t="shared" si="24"/>
        <v>2.3041701716870109</v>
      </c>
      <c r="CF19">
        <f t="shared" si="25"/>
        <v>2.5170730746365857</v>
      </c>
      <c r="CG19">
        <f t="shared" si="33"/>
        <v>0.4370161757631229</v>
      </c>
      <c r="CK19" t="str">
        <f t="shared" si="26"/>
        <v>Cluster 3</v>
      </c>
      <c r="CL19" t="str">
        <f t="shared" si="27"/>
        <v>A Tennis</v>
      </c>
      <c r="CM19" t="str">
        <f t="shared" si="37"/>
        <v>Tennis A</v>
      </c>
      <c r="CN19" t="str">
        <f t="shared" si="28"/>
        <v>Diff</v>
      </c>
    </row>
    <row r="20" spans="2:92">
      <c r="B20" s="18" t="s">
        <v>64</v>
      </c>
      <c r="C20" s="5">
        <v>4</v>
      </c>
      <c r="D20" s="19" t="s">
        <v>119</v>
      </c>
      <c r="E20" s="19" t="s">
        <v>120</v>
      </c>
      <c r="H20">
        <v>13</v>
      </c>
      <c r="I20">
        <v>2</v>
      </c>
      <c r="J20">
        <v>6</v>
      </c>
      <c r="K20">
        <v>10</v>
      </c>
      <c r="L20">
        <v>14</v>
      </c>
      <c r="M20">
        <v>18</v>
      </c>
      <c r="N20">
        <v>1</v>
      </c>
      <c r="O20">
        <v>5</v>
      </c>
      <c r="P20">
        <v>9</v>
      </c>
      <c r="Q20">
        <v>13</v>
      </c>
      <c r="R20">
        <v>17</v>
      </c>
      <c r="S20">
        <v>4</v>
      </c>
      <c r="T20">
        <v>8</v>
      </c>
      <c r="U20">
        <v>12</v>
      </c>
      <c r="V20">
        <v>16</v>
      </c>
      <c r="W20">
        <v>20</v>
      </c>
      <c r="X20">
        <v>3</v>
      </c>
      <c r="Y20">
        <v>7</v>
      </c>
      <c r="Z20">
        <v>11</v>
      </c>
      <c r="AA20">
        <v>15</v>
      </c>
      <c r="AB20">
        <v>19</v>
      </c>
      <c r="AD20">
        <f t="shared" ref="AD20:AH20" si="62">SUMIFS($I20:$AB20,$I$2:$AB$2,AD$7)</f>
        <v>10</v>
      </c>
      <c r="AE20">
        <f t="shared" si="62"/>
        <v>26</v>
      </c>
      <c r="AF20">
        <f t="shared" si="62"/>
        <v>42</v>
      </c>
      <c r="AG20">
        <f t="shared" si="62"/>
        <v>58</v>
      </c>
      <c r="AH20">
        <f t="shared" si="62"/>
        <v>74</v>
      </c>
      <c r="AI20">
        <f t="shared" si="1"/>
        <v>95</v>
      </c>
      <c r="AJ20">
        <f t="shared" si="1"/>
        <v>115</v>
      </c>
      <c r="AK20">
        <f t="shared" si="2"/>
        <v>100</v>
      </c>
      <c r="AL20">
        <f t="shared" si="2"/>
        <v>110</v>
      </c>
      <c r="AN20" s="67">
        <f t="shared" ref="AN20:AV20" si="63">((AD20-MIN($AD20:$AL20))/(MAX($AD20:$AL20)-MIN($AD20:$AL20)))</f>
        <v>0</v>
      </c>
      <c r="AO20" s="67">
        <f t="shared" si="63"/>
        <v>0.15238095238095239</v>
      </c>
      <c r="AP20" s="67">
        <f t="shared" si="63"/>
        <v>0.30476190476190479</v>
      </c>
      <c r="AQ20" s="67">
        <f t="shared" si="63"/>
        <v>0.45714285714285713</v>
      </c>
      <c r="AR20" s="67">
        <f t="shared" si="63"/>
        <v>0.60952380952380958</v>
      </c>
      <c r="AS20" s="67">
        <f t="shared" si="63"/>
        <v>0.80952380952380953</v>
      </c>
      <c r="AT20" s="67">
        <f t="shared" si="63"/>
        <v>1</v>
      </c>
      <c r="AU20" s="67">
        <f t="shared" si="63"/>
        <v>0.8571428571428571</v>
      </c>
      <c r="AV20" s="67">
        <f t="shared" si="63"/>
        <v>0.95238095238095233</v>
      </c>
      <c r="AX20">
        <f t="shared" si="4"/>
        <v>0.60952380952380958</v>
      </c>
      <c r="AY20">
        <f t="shared" si="14"/>
        <v>0.19047619047619047</v>
      </c>
      <c r="AZ20">
        <f t="shared" si="5"/>
        <v>9.5238095238095233E-2</v>
      </c>
      <c r="BB20">
        <f t="shared" ref="BB20:BD20" si="64">AX20/SUM($AX20:$AZ20)</f>
        <v>0.68085106382978722</v>
      </c>
      <c r="BC20">
        <f t="shared" si="64"/>
        <v>0.21276595744680848</v>
      </c>
      <c r="BD20">
        <f t="shared" si="64"/>
        <v>0.10638297872340424</v>
      </c>
      <c r="BF20" t="str">
        <f t="shared" si="7"/>
        <v>Price</v>
      </c>
      <c r="BG20">
        <f t="shared" si="8"/>
        <v>3.5</v>
      </c>
      <c r="BI20">
        <f t="shared" si="9"/>
        <v>3.5</v>
      </c>
      <c r="BJ20" t="str">
        <f t="shared" si="10"/>
        <v>Super Bowl</v>
      </c>
      <c r="BK20" t="str">
        <f t="shared" si="11"/>
        <v>B</v>
      </c>
      <c r="BS20">
        <f t="shared" si="32"/>
        <v>0.60952380952380958</v>
      </c>
      <c r="BT20">
        <f t="shared" si="16"/>
        <v>-0.19047619047619047</v>
      </c>
      <c r="BU20">
        <f t="shared" si="17"/>
        <v>9.5238095238095233E-2</v>
      </c>
      <c r="BW20">
        <f t="shared" si="18"/>
        <v>1.8178197010872597</v>
      </c>
      <c r="BX20">
        <f t="shared" si="19"/>
        <v>-0.40852719625060985</v>
      </c>
      <c r="BY20">
        <f t="shared" si="20"/>
        <v>0.18439118019161094</v>
      </c>
      <c r="CB20">
        <f t="shared" si="21"/>
        <v>2.7043327717018051</v>
      </c>
      <c r="CC20">
        <f t="shared" si="22"/>
        <v>0.6436859400386109</v>
      </c>
      <c r="CD20">
        <f t="shared" si="23"/>
        <v>3.0509762354141357</v>
      </c>
      <c r="CE20">
        <f t="shared" si="24"/>
        <v>2.7122242310969495</v>
      </c>
      <c r="CF20">
        <f t="shared" si="25"/>
        <v>2.9457796906508862</v>
      </c>
      <c r="CG20">
        <f t="shared" si="33"/>
        <v>0.6436859400386109</v>
      </c>
      <c r="CK20" t="str">
        <f t="shared" si="26"/>
        <v>Cluster 2</v>
      </c>
      <c r="CL20" t="str">
        <f t="shared" si="27"/>
        <v>Price Only</v>
      </c>
      <c r="CM20" t="str">
        <f t="shared" si="37"/>
        <v>Price Only</v>
      </c>
      <c r="CN20" t="str">
        <f t="shared" si="28"/>
        <v/>
      </c>
    </row>
    <row r="21" spans="2:92">
      <c r="B21" s="18" t="s">
        <v>65</v>
      </c>
      <c r="C21" s="5">
        <v>4.25</v>
      </c>
      <c r="D21" s="19" t="s">
        <v>119</v>
      </c>
      <c r="E21" s="19" t="s">
        <v>120</v>
      </c>
      <c r="H21">
        <v>14</v>
      </c>
      <c r="I21">
        <v>1</v>
      </c>
      <c r="J21">
        <v>2</v>
      </c>
      <c r="K21">
        <v>5</v>
      </c>
      <c r="L21">
        <v>8</v>
      </c>
      <c r="M21">
        <v>12</v>
      </c>
      <c r="N21">
        <v>3</v>
      </c>
      <c r="O21">
        <v>6</v>
      </c>
      <c r="P21">
        <v>10</v>
      </c>
      <c r="Q21">
        <v>14</v>
      </c>
      <c r="R21">
        <v>17</v>
      </c>
      <c r="S21">
        <v>4</v>
      </c>
      <c r="T21">
        <v>7</v>
      </c>
      <c r="U21">
        <v>11</v>
      </c>
      <c r="V21">
        <v>15</v>
      </c>
      <c r="W21">
        <v>18</v>
      </c>
      <c r="X21">
        <v>9</v>
      </c>
      <c r="Y21">
        <v>13</v>
      </c>
      <c r="Z21">
        <v>16</v>
      </c>
      <c r="AA21">
        <v>19</v>
      </c>
      <c r="AB21">
        <v>20</v>
      </c>
      <c r="AD21">
        <f t="shared" ref="AD21:AH21" si="65">SUMIFS($I21:$AB21,$I$2:$AB$2,AD$7)</f>
        <v>17</v>
      </c>
      <c r="AE21">
        <f t="shared" si="65"/>
        <v>28</v>
      </c>
      <c r="AF21">
        <f t="shared" si="65"/>
        <v>42</v>
      </c>
      <c r="AG21">
        <f t="shared" si="65"/>
        <v>56</v>
      </c>
      <c r="AH21">
        <f t="shared" si="65"/>
        <v>67</v>
      </c>
      <c r="AI21">
        <f t="shared" si="1"/>
        <v>78</v>
      </c>
      <c r="AJ21">
        <f t="shared" si="1"/>
        <v>132</v>
      </c>
      <c r="AK21">
        <f t="shared" si="2"/>
        <v>127</v>
      </c>
      <c r="AL21">
        <f t="shared" si="2"/>
        <v>83</v>
      </c>
      <c r="AN21" s="67">
        <f t="shared" ref="AN21:AV21" si="66">((AD21-MIN($AD21:$AL21))/(MAX($AD21:$AL21)-MIN($AD21:$AL21)))</f>
        <v>0</v>
      </c>
      <c r="AO21" s="67">
        <f t="shared" si="66"/>
        <v>9.5652173913043481E-2</v>
      </c>
      <c r="AP21" s="67">
        <f t="shared" si="66"/>
        <v>0.21739130434782608</v>
      </c>
      <c r="AQ21" s="67">
        <f t="shared" si="66"/>
        <v>0.33913043478260868</v>
      </c>
      <c r="AR21" s="67">
        <f t="shared" si="66"/>
        <v>0.43478260869565216</v>
      </c>
      <c r="AS21" s="67">
        <f t="shared" si="66"/>
        <v>0.5304347826086957</v>
      </c>
      <c r="AT21" s="67">
        <f t="shared" si="66"/>
        <v>1</v>
      </c>
      <c r="AU21" s="67">
        <f t="shared" si="66"/>
        <v>0.95652173913043481</v>
      </c>
      <c r="AV21" s="67">
        <f t="shared" si="66"/>
        <v>0.57391304347826089</v>
      </c>
      <c r="AX21">
        <f t="shared" si="4"/>
        <v>0.43478260869565216</v>
      </c>
      <c r="AY21">
        <f t="shared" si="14"/>
        <v>0.4695652173913043</v>
      </c>
      <c r="AZ21">
        <f t="shared" si="5"/>
        <v>0.38260869565217392</v>
      </c>
      <c r="BB21">
        <f t="shared" ref="BB21:BD21" si="67">AX21/SUM($AX21:$AZ21)</f>
        <v>0.33783783783783783</v>
      </c>
      <c r="BC21">
        <f t="shared" si="67"/>
        <v>0.36486486486486486</v>
      </c>
      <c r="BD21">
        <f t="shared" si="67"/>
        <v>0.29729729729729731</v>
      </c>
      <c r="BF21" t="str">
        <f t="shared" si="7"/>
        <v xml:space="preserve">Brand </v>
      </c>
      <c r="BG21" t="str">
        <f t="shared" si="8"/>
        <v>Super Bowl</v>
      </c>
      <c r="BI21">
        <f t="shared" si="9"/>
        <v>3.5</v>
      </c>
      <c r="BJ21" t="str">
        <f t="shared" si="10"/>
        <v>Super Bowl</v>
      </c>
      <c r="BK21" t="str">
        <f t="shared" si="11"/>
        <v>A</v>
      </c>
      <c r="BS21">
        <f t="shared" si="32"/>
        <v>0.43478260869565216</v>
      </c>
      <c r="BT21">
        <f t="shared" si="16"/>
        <v>-0.4695652173913043</v>
      </c>
      <c r="BU21">
        <f t="shared" si="17"/>
        <v>-0.38260869565217392</v>
      </c>
      <c r="BW21">
        <f t="shared" si="18"/>
        <v>0.27851370544927367</v>
      </c>
      <c r="BX21">
        <f t="shared" si="19"/>
        <v>-1.0187733229300151</v>
      </c>
      <c r="BY21">
        <f t="shared" si="20"/>
        <v>-0.82516409596528395</v>
      </c>
      <c r="CB21">
        <f t="shared" si="21"/>
        <v>2.1331542945990347</v>
      </c>
      <c r="CC21">
        <f t="shared" si="22"/>
        <v>2.1361069851156307</v>
      </c>
      <c r="CD21">
        <f t="shared" si="23"/>
        <v>2.2293043970847819</v>
      </c>
      <c r="CE21">
        <f t="shared" si="24"/>
        <v>0.80146904857159817</v>
      </c>
      <c r="CF21">
        <f t="shared" si="25"/>
        <v>3.0031424126520934</v>
      </c>
      <c r="CG21">
        <f t="shared" si="33"/>
        <v>0.80146904857159817</v>
      </c>
      <c r="CK21" t="str">
        <f t="shared" si="26"/>
        <v>Cluster 4</v>
      </c>
      <c r="CL21" t="str">
        <f t="shared" si="27"/>
        <v>A Super Bowl</v>
      </c>
      <c r="CM21" t="str">
        <f t="shared" si="37"/>
        <v>Super Bowl A</v>
      </c>
      <c r="CN21" t="str">
        <f t="shared" si="28"/>
        <v>Diff</v>
      </c>
    </row>
    <row r="22" spans="2:92">
      <c r="B22" s="18" t="s">
        <v>66</v>
      </c>
      <c r="C22" s="5">
        <v>4.5</v>
      </c>
      <c r="D22" s="19" t="s">
        <v>119</v>
      </c>
      <c r="E22" s="19" t="s">
        <v>120</v>
      </c>
      <c r="H22">
        <v>15</v>
      </c>
      <c r="I22">
        <v>1</v>
      </c>
      <c r="J22">
        <v>2</v>
      </c>
      <c r="K22">
        <v>4</v>
      </c>
      <c r="L22">
        <v>6</v>
      </c>
      <c r="M22">
        <v>9</v>
      </c>
      <c r="N22">
        <v>7</v>
      </c>
      <c r="O22">
        <v>10</v>
      </c>
      <c r="P22">
        <v>13</v>
      </c>
      <c r="Q22">
        <v>16</v>
      </c>
      <c r="R22">
        <v>18</v>
      </c>
      <c r="S22">
        <v>3</v>
      </c>
      <c r="T22">
        <v>5</v>
      </c>
      <c r="U22">
        <v>8</v>
      </c>
      <c r="V22">
        <v>11</v>
      </c>
      <c r="W22">
        <v>14</v>
      </c>
      <c r="X22">
        <v>12</v>
      </c>
      <c r="Y22">
        <v>15</v>
      </c>
      <c r="Z22">
        <v>17</v>
      </c>
      <c r="AA22">
        <v>19</v>
      </c>
      <c r="AB22">
        <v>20</v>
      </c>
      <c r="AD22">
        <f t="shared" ref="AD22:AH22" si="68">SUMIFS($I22:$AB22,$I$2:$AB$2,AD$7)</f>
        <v>23</v>
      </c>
      <c r="AE22">
        <f t="shared" si="68"/>
        <v>32</v>
      </c>
      <c r="AF22">
        <f t="shared" si="68"/>
        <v>42</v>
      </c>
      <c r="AG22">
        <f t="shared" si="68"/>
        <v>52</v>
      </c>
      <c r="AH22">
        <f t="shared" si="68"/>
        <v>61</v>
      </c>
      <c r="AI22">
        <f t="shared" si="1"/>
        <v>86</v>
      </c>
      <c r="AJ22">
        <f t="shared" si="1"/>
        <v>124</v>
      </c>
      <c r="AK22">
        <f t="shared" si="2"/>
        <v>147</v>
      </c>
      <c r="AL22">
        <f t="shared" si="2"/>
        <v>63</v>
      </c>
      <c r="AN22" s="67">
        <f t="shared" ref="AN22:AV22" si="69">((AD22-MIN($AD22:$AL22))/(MAX($AD22:$AL22)-MIN($AD22:$AL22)))</f>
        <v>0</v>
      </c>
      <c r="AO22" s="67">
        <f t="shared" si="69"/>
        <v>7.2580645161290328E-2</v>
      </c>
      <c r="AP22" s="67">
        <f t="shared" si="69"/>
        <v>0.15322580645161291</v>
      </c>
      <c r="AQ22" s="67">
        <f t="shared" si="69"/>
        <v>0.23387096774193547</v>
      </c>
      <c r="AR22" s="67">
        <f t="shared" si="69"/>
        <v>0.30645161290322581</v>
      </c>
      <c r="AS22" s="67">
        <f t="shared" si="69"/>
        <v>0.50806451612903225</v>
      </c>
      <c r="AT22" s="67">
        <f t="shared" si="69"/>
        <v>0.81451612903225812</v>
      </c>
      <c r="AU22" s="67">
        <f t="shared" si="69"/>
        <v>1</v>
      </c>
      <c r="AV22" s="67">
        <f t="shared" si="69"/>
        <v>0.32258064516129031</v>
      </c>
      <c r="AX22">
        <f t="shared" si="4"/>
        <v>0.30645161290322581</v>
      </c>
      <c r="AY22">
        <f t="shared" si="14"/>
        <v>0.30645161290322587</v>
      </c>
      <c r="AZ22">
        <f t="shared" si="5"/>
        <v>0.67741935483870974</v>
      </c>
      <c r="BB22">
        <f t="shared" ref="BB22:BD22" si="70">AX22/SUM($AX22:$AZ22)</f>
        <v>0.23749999999999996</v>
      </c>
      <c r="BC22">
        <f t="shared" si="70"/>
        <v>0.23750000000000002</v>
      </c>
      <c r="BD22">
        <f t="shared" si="70"/>
        <v>0.52500000000000002</v>
      </c>
      <c r="BF22" t="str">
        <f t="shared" si="7"/>
        <v>Theme</v>
      </c>
      <c r="BG22" t="str">
        <f t="shared" si="8"/>
        <v>A</v>
      </c>
      <c r="BI22">
        <f t="shared" si="9"/>
        <v>3.5</v>
      </c>
      <c r="BJ22" t="str">
        <f t="shared" si="10"/>
        <v>Super Bowl</v>
      </c>
      <c r="BK22" t="str">
        <f t="shared" si="11"/>
        <v>A</v>
      </c>
      <c r="BS22">
        <f t="shared" si="32"/>
        <v>0.30645161290322581</v>
      </c>
      <c r="BT22">
        <f t="shared" si="16"/>
        <v>-0.30645161290322587</v>
      </c>
      <c r="BU22">
        <f t="shared" si="17"/>
        <v>-0.67741935483870974</v>
      </c>
      <c r="BW22">
        <f t="shared" si="18"/>
        <v>-0.85196193689073108</v>
      </c>
      <c r="BX22">
        <f t="shared" si="19"/>
        <v>-0.66211492454073817</v>
      </c>
      <c r="BY22">
        <f t="shared" si="20"/>
        <v>-1.4480157340280904</v>
      </c>
      <c r="CB22">
        <f t="shared" si="21"/>
        <v>2.6117159394351601</v>
      </c>
      <c r="CC22">
        <f t="shared" si="22"/>
        <v>3.1584019396619722</v>
      </c>
      <c r="CD22">
        <f t="shared" si="23"/>
        <v>1.7624331586028068</v>
      </c>
      <c r="CE22">
        <f t="shared" si="24"/>
        <v>0.75040494611422215</v>
      </c>
      <c r="CF22">
        <f t="shared" si="25"/>
        <v>3.1485743345596742</v>
      </c>
      <c r="CG22">
        <f t="shared" si="33"/>
        <v>0.75040494611422215</v>
      </c>
      <c r="CK22" t="str">
        <f t="shared" si="26"/>
        <v>Cluster 4</v>
      </c>
      <c r="CL22" t="str">
        <f t="shared" si="27"/>
        <v>A Super Bowl</v>
      </c>
      <c r="CM22" t="str">
        <f t="shared" si="37"/>
        <v>Super Bowl A</v>
      </c>
      <c r="CN22" t="str">
        <f t="shared" si="28"/>
        <v>Diff</v>
      </c>
    </row>
    <row r="23" spans="2:92">
      <c r="B23" s="18" t="s">
        <v>67</v>
      </c>
      <c r="C23" s="5">
        <v>3.5</v>
      </c>
      <c r="D23" s="19" t="s">
        <v>119</v>
      </c>
      <c r="E23" s="19" t="s">
        <v>121</v>
      </c>
      <c r="H23">
        <v>16</v>
      </c>
      <c r="I23">
        <v>1</v>
      </c>
      <c r="J23">
        <v>2</v>
      </c>
      <c r="K23">
        <v>3</v>
      </c>
      <c r="L23">
        <v>6</v>
      </c>
      <c r="M23">
        <v>9</v>
      </c>
      <c r="N23">
        <v>4</v>
      </c>
      <c r="O23">
        <v>7</v>
      </c>
      <c r="P23">
        <v>10</v>
      </c>
      <c r="Q23">
        <v>13</v>
      </c>
      <c r="R23">
        <v>16</v>
      </c>
      <c r="S23">
        <v>6</v>
      </c>
      <c r="T23">
        <v>9</v>
      </c>
      <c r="U23">
        <v>11</v>
      </c>
      <c r="V23">
        <v>14</v>
      </c>
      <c r="W23">
        <v>17</v>
      </c>
      <c r="X23">
        <v>13</v>
      </c>
      <c r="Y23">
        <v>16</v>
      </c>
      <c r="Z23">
        <v>18</v>
      </c>
      <c r="AA23">
        <v>19</v>
      </c>
      <c r="AB23">
        <v>20</v>
      </c>
      <c r="AD23">
        <f t="shared" ref="AD23:AH23" si="71">SUMIFS($I23:$AB23,$I$2:$AB$2,AD$7)</f>
        <v>24</v>
      </c>
      <c r="AE23">
        <f t="shared" si="71"/>
        <v>34</v>
      </c>
      <c r="AF23">
        <f t="shared" si="71"/>
        <v>42</v>
      </c>
      <c r="AG23">
        <f t="shared" si="71"/>
        <v>52</v>
      </c>
      <c r="AH23">
        <f t="shared" si="71"/>
        <v>62</v>
      </c>
      <c r="AI23">
        <f t="shared" si="1"/>
        <v>71</v>
      </c>
      <c r="AJ23">
        <f t="shared" si="1"/>
        <v>143</v>
      </c>
      <c r="AK23">
        <f t="shared" si="2"/>
        <v>136</v>
      </c>
      <c r="AL23">
        <f t="shared" si="2"/>
        <v>78</v>
      </c>
      <c r="AN23" s="67">
        <f t="shared" ref="AN23:AV23" si="72">((AD23-MIN($AD23:$AL23))/(MAX($AD23:$AL23)-MIN($AD23:$AL23)))</f>
        <v>0</v>
      </c>
      <c r="AO23" s="67">
        <f t="shared" si="72"/>
        <v>8.4033613445378158E-2</v>
      </c>
      <c r="AP23" s="67">
        <f t="shared" si="72"/>
        <v>0.15126050420168066</v>
      </c>
      <c r="AQ23" s="67">
        <f t="shared" si="72"/>
        <v>0.23529411764705882</v>
      </c>
      <c r="AR23" s="67">
        <f t="shared" si="72"/>
        <v>0.31932773109243695</v>
      </c>
      <c r="AS23" s="67">
        <f t="shared" si="72"/>
        <v>0.3949579831932773</v>
      </c>
      <c r="AT23" s="67">
        <f t="shared" si="72"/>
        <v>1</v>
      </c>
      <c r="AU23" s="67">
        <f t="shared" si="72"/>
        <v>0.94117647058823528</v>
      </c>
      <c r="AV23" s="67">
        <f t="shared" si="72"/>
        <v>0.45378151260504201</v>
      </c>
      <c r="AX23">
        <f t="shared" si="4"/>
        <v>0.31932773109243695</v>
      </c>
      <c r="AY23">
        <f t="shared" si="14"/>
        <v>0.60504201680672276</v>
      </c>
      <c r="AZ23">
        <f t="shared" si="5"/>
        <v>0.48739495798319327</v>
      </c>
      <c r="BB23">
        <f t="shared" ref="BB23:BD23" si="73">AX23/SUM($AX23:$AZ23)</f>
        <v>0.22619047619047616</v>
      </c>
      <c r="BC23">
        <f t="shared" si="73"/>
        <v>0.4285714285714286</v>
      </c>
      <c r="BD23">
        <f t="shared" si="73"/>
        <v>0.34523809523809523</v>
      </c>
      <c r="BF23" t="str">
        <f t="shared" si="7"/>
        <v xml:space="preserve">Brand </v>
      </c>
      <c r="BG23" t="str">
        <f t="shared" si="8"/>
        <v>Super Bowl</v>
      </c>
      <c r="BI23">
        <f t="shared" si="9"/>
        <v>3.5</v>
      </c>
      <c r="BJ23" t="str">
        <f t="shared" si="10"/>
        <v>Super Bowl</v>
      </c>
      <c r="BK23" t="str">
        <f t="shared" si="11"/>
        <v>A</v>
      </c>
      <c r="BS23">
        <f t="shared" si="32"/>
        <v>0.31932773109243695</v>
      </c>
      <c r="BT23">
        <f t="shared" si="16"/>
        <v>-0.60504201680672276</v>
      </c>
      <c r="BU23">
        <f t="shared" si="17"/>
        <v>-0.48739495798319327</v>
      </c>
      <c r="BW23">
        <f t="shared" si="18"/>
        <v>-0.73853541907317566</v>
      </c>
      <c r="BX23">
        <f t="shared" si="19"/>
        <v>-1.3150020676141532</v>
      </c>
      <c r="BY23">
        <f t="shared" si="20"/>
        <v>-1.0465478658718472</v>
      </c>
      <c r="CB23">
        <f t="shared" si="21"/>
        <v>2.164508519112839</v>
      </c>
      <c r="CC23">
        <f t="shared" si="22"/>
        <v>3.1520200232630882</v>
      </c>
      <c r="CD23">
        <f t="shared" si="23"/>
        <v>2.3749073403807337</v>
      </c>
      <c r="CE23">
        <f t="shared" si="24"/>
        <v>0.29801229476892266</v>
      </c>
      <c r="CF23">
        <f t="shared" si="25"/>
        <v>3.271942316122213</v>
      </c>
      <c r="CG23">
        <f t="shared" si="33"/>
        <v>0.29801229476892266</v>
      </c>
      <c r="CK23" t="str">
        <f t="shared" si="26"/>
        <v>Cluster 4</v>
      </c>
      <c r="CL23" t="str">
        <f t="shared" si="27"/>
        <v>A Super Bowl</v>
      </c>
      <c r="CM23" t="str">
        <f t="shared" si="37"/>
        <v>Super Bowl A</v>
      </c>
      <c r="CN23" t="str">
        <f t="shared" si="28"/>
        <v>Diff</v>
      </c>
    </row>
    <row r="24" spans="2:92">
      <c r="B24" s="18" t="s">
        <v>68</v>
      </c>
      <c r="C24" s="5">
        <v>3.75</v>
      </c>
      <c r="D24" s="19" t="s">
        <v>119</v>
      </c>
      <c r="E24" s="19" t="s">
        <v>121</v>
      </c>
      <c r="H24">
        <v>17</v>
      </c>
      <c r="I24">
        <v>1</v>
      </c>
      <c r="J24">
        <v>2</v>
      </c>
      <c r="K24">
        <v>4</v>
      </c>
      <c r="L24">
        <v>7</v>
      </c>
      <c r="M24">
        <v>10</v>
      </c>
      <c r="N24">
        <v>3</v>
      </c>
      <c r="O24">
        <v>6</v>
      </c>
      <c r="P24">
        <v>9</v>
      </c>
      <c r="Q24">
        <v>13</v>
      </c>
      <c r="R24">
        <v>16</v>
      </c>
      <c r="S24">
        <v>5</v>
      </c>
      <c r="T24">
        <v>8</v>
      </c>
      <c r="U24">
        <v>12</v>
      </c>
      <c r="V24">
        <v>15</v>
      </c>
      <c r="W24">
        <v>18</v>
      </c>
      <c r="X24">
        <v>11</v>
      </c>
      <c r="Y24">
        <v>14</v>
      </c>
      <c r="Z24">
        <v>17</v>
      </c>
      <c r="AA24">
        <v>19</v>
      </c>
      <c r="AB24">
        <v>20</v>
      </c>
      <c r="AD24">
        <f t="shared" ref="AD24:AH24" si="74">SUMIFS($I24:$AB24,$I$2:$AB$2,AD$7)</f>
        <v>20</v>
      </c>
      <c r="AE24">
        <f t="shared" si="74"/>
        <v>30</v>
      </c>
      <c r="AF24">
        <f t="shared" si="74"/>
        <v>42</v>
      </c>
      <c r="AG24">
        <f t="shared" si="74"/>
        <v>54</v>
      </c>
      <c r="AH24">
        <f t="shared" si="74"/>
        <v>64</v>
      </c>
      <c r="AI24">
        <f t="shared" si="1"/>
        <v>71</v>
      </c>
      <c r="AJ24">
        <f t="shared" si="1"/>
        <v>139</v>
      </c>
      <c r="AK24">
        <f t="shared" si="2"/>
        <v>128</v>
      </c>
      <c r="AL24">
        <f t="shared" si="2"/>
        <v>82</v>
      </c>
      <c r="AN24" s="67">
        <f t="shared" ref="AN24:AV24" si="75">((AD24-MIN($AD24:$AL24))/(MAX($AD24:$AL24)-MIN($AD24:$AL24)))</f>
        <v>0</v>
      </c>
      <c r="AO24" s="67">
        <f t="shared" si="75"/>
        <v>8.4033613445378158E-2</v>
      </c>
      <c r="AP24" s="67">
        <f t="shared" si="75"/>
        <v>0.18487394957983194</v>
      </c>
      <c r="AQ24" s="67">
        <f t="shared" si="75"/>
        <v>0.2857142857142857</v>
      </c>
      <c r="AR24" s="67">
        <f t="shared" si="75"/>
        <v>0.36974789915966388</v>
      </c>
      <c r="AS24" s="67">
        <f t="shared" si="75"/>
        <v>0.42857142857142855</v>
      </c>
      <c r="AT24" s="67">
        <f t="shared" si="75"/>
        <v>1</v>
      </c>
      <c r="AU24" s="67">
        <f t="shared" si="75"/>
        <v>0.90756302521008403</v>
      </c>
      <c r="AV24" s="67">
        <f t="shared" si="75"/>
        <v>0.52100840336134457</v>
      </c>
      <c r="AX24">
        <f t="shared" si="4"/>
        <v>0.36974789915966388</v>
      </c>
      <c r="AY24">
        <f t="shared" si="14"/>
        <v>0.5714285714285714</v>
      </c>
      <c r="AZ24">
        <f t="shared" si="5"/>
        <v>0.38655462184873945</v>
      </c>
      <c r="BB24">
        <f t="shared" ref="BB24:BD24" si="76">AX24/SUM($AX24:$AZ24)</f>
        <v>0.27848101265822789</v>
      </c>
      <c r="BC24">
        <f t="shared" si="76"/>
        <v>0.43037974683544306</v>
      </c>
      <c r="BD24">
        <f t="shared" si="76"/>
        <v>0.29113924050632911</v>
      </c>
      <c r="BF24" t="str">
        <f t="shared" si="7"/>
        <v xml:space="preserve">Brand </v>
      </c>
      <c r="BG24" t="str">
        <f t="shared" si="8"/>
        <v>Super Bowl</v>
      </c>
      <c r="BI24">
        <f t="shared" si="9"/>
        <v>3.5</v>
      </c>
      <c r="BJ24" t="str">
        <f t="shared" si="10"/>
        <v>Super Bowl</v>
      </c>
      <c r="BK24" t="str">
        <f t="shared" si="11"/>
        <v>A</v>
      </c>
      <c r="BS24">
        <f t="shared" si="32"/>
        <v>0.36974789915966388</v>
      </c>
      <c r="BT24">
        <f t="shared" si="16"/>
        <v>-0.5714285714285714</v>
      </c>
      <c r="BU24">
        <f t="shared" si="17"/>
        <v>-0.38655462184873945</v>
      </c>
      <c r="BW24">
        <f t="shared" si="18"/>
        <v>-0.29438105456653607</v>
      </c>
      <c r="BX24">
        <f t="shared" si="19"/>
        <v>-1.2415041050711628</v>
      </c>
      <c r="BY24">
        <f t="shared" si="20"/>
        <v>-0.83350072328394098</v>
      </c>
      <c r="CB24">
        <f t="shared" si="21"/>
        <v>1.9698974649062282</v>
      </c>
      <c r="CC24">
        <f t="shared" si="22"/>
        <v>2.6919434314263833</v>
      </c>
      <c r="CD24">
        <f t="shared" si="23"/>
        <v>2.3194824322008385</v>
      </c>
      <c r="CE24">
        <f t="shared" si="24"/>
        <v>0.28695516638593749</v>
      </c>
      <c r="CF24">
        <f t="shared" si="25"/>
        <v>3.0778556953729268</v>
      </c>
      <c r="CG24">
        <f t="shared" si="33"/>
        <v>0.28695516638593749</v>
      </c>
      <c r="CK24" t="str">
        <f t="shared" si="26"/>
        <v>Cluster 4</v>
      </c>
      <c r="CL24" t="str">
        <f t="shared" si="27"/>
        <v>A Super Bowl</v>
      </c>
      <c r="CM24" t="str">
        <f t="shared" si="37"/>
        <v>Super Bowl A</v>
      </c>
      <c r="CN24" t="str">
        <f t="shared" si="28"/>
        <v>Diff</v>
      </c>
    </row>
    <row r="25" spans="2:92">
      <c r="B25" s="18" t="s">
        <v>69</v>
      </c>
      <c r="C25" s="5">
        <v>4</v>
      </c>
      <c r="D25" s="19" t="s">
        <v>119</v>
      </c>
      <c r="E25" s="19" t="s">
        <v>121</v>
      </c>
      <c r="H25">
        <v>18</v>
      </c>
      <c r="I25">
        <v>6</v>
      </c>
      <c r="J25">
        <v>9</v>
      </c>
      <c r="K25">
        <v>13</v>
      </c>
      <c r="L25">
        <v>16</v>
      </c>
      <c r="M25">
        <v>18</v>
      </c>
      <c r="N25">
        <v>11</v>
      </c>
      <c r="O25">
        <v>14</v>
      </c>
      <c r="P25">
        <v>17</v>
      </c>
      <c r="Q25">
        <v>19</v>
      </c>
      <c r="R25">
        <v>20</v>
      </c>
      <c r="S25">
        <v>1</v>
      </c>
      <c r="T25">
        <v>2</v>
      </c>
      <c r="U25">
        <v>4</v>
      </c>
      <c r="V25">
        <v>7</v>
      </c>
      <c r="W25">
        <v>10</v>
      </c>
      <c r="X25">
        <v>3</v>
      </c>
      <c r="Y25">
        <v>5</v>
      </c>
      <c r="Z25">
        <v>8</v>
      </c>
      <c r="AA25">
        <v>12</v>
      </c>
      <c r="AB25">
        <v>15</v>
      </c>
      <c r="AD25">
        <f t="shared" ref="AD25:AH25" si="77">SUMIFS($I25:$AB25,$I$2:$AB$2,AD$7)</f>
        <v>21</v>
      </c>
      <c r="AE25">
        <f t="shared" si="77"/>
        <v>30</v>
      </c>
      <c r="AF25">
        <f t="shared" si="77"/>
        <v>42</v>
      </c>
      <c r="AG25">
        <f t="shared" si="77"/>
        <v>54</v>
      </c>
      <c r="AH25">
        <f t="shared" si="77"/>
        <v>63</v>
      </c>
      <c r="AI25">
        <f t="shared" si="1"/>
        <v>143</v>
      </c>
      <c r="AJ25">
        <f t="shared" si="1"/>
        <v>67</v>
      </c>
      <c r="AK25">
        <f t="shared" si="2"/>
        <v>124</v>
      </c>
      <c r="AL25">
        <f t="shared" si="2"/>
        <v>86</v>
      </c>
      <c r="AN25" s="67">
        <f t="shared" ref="AN25:AV25" si="78">((AD25-MIN($AD25:$AL25))/(MAX($AD25:$AL25)-MIN($AD25:$AL25)))</f>
        <v>0</v>
      </c>
      <c r="AO25" s="67">
        <f t="shared" si="78"/>
        <v>7.3770491803278687E-2</v>
      </c>
      <c r="AP25" s="67">
        <f t="shared" si="78"/>
        <v>0.1721311475409836</v>
      </c>
      <c r="AQ25" s="67">
        <f t="shared" si="78"/>
        <v>0.27049180327868855</v>
      </c>
      <c r="AR25" s="67">
        <f t="shared" si="78"/>
        <v>0.34426229508196721</v>
      </c>
      <c r="AS25" s="67">
        <f t="shared" si="78"/>
        <v>1</v>
      </c>
      <c r="AT25" s="67">
        <f t="shared" si="78"/>
        <v>0.37704918032786883</v>
      </c>
      <c r="AU25" s="67">
        <f t="shared" si="78"/>
        <v>0.84426229508196726</v>
      </c>
      <c r="AV25" s="67">
        <f t="shared" si="78"/>
        <v>0.53278688524590168</v>
      </c>
      <c r="AX25">
        <f t="shared" si="4"/>
        <v>0.34426229508196721</v>
      </c>
      <c r="AY25">
        <f t="shared" si="14"/>
        <v>0.62295081967213117</v>
      </c>
      <c r="AZ25">
        <f t="shared" si="5"/>
        <v>0.31147540983606559</v>
      </c>
      <c r="BB25">
        <f t="shared" ref="BB25:BD25" si="79">AX25/SUM($AX25:$AZ25)</f>
        <v>0.26923076923076922</v>
      </c>
      <c r="BC25">
        <f t="shared" si="79"/>
        <v>0.48717948717948717</v>
      </c>
      <c r="BD25">
        <f t="shared" si="79"/>
        <v>0.24358974358974358</v>
      </c>
      <c r="BF25" t="str">
        <f t="shared" si="7"/>
        <v xml:space="preserve">Brand </v>
      </c>
      <c r="BG25" t="str">
        <f t="shared" si="8"/>
        <v>Tennis</v>
      </c>
      <c r="BI25">
        <f t="shared" si="9"/>
        <v>3.5</v>
      </c>
      <c r="BJ25" t="str">
        <f t="shared" si="10"/>
        <v>Tennis</v>
      </c>
      <c r="BK25" t="str">
        <f t="shared" si="11"/>
        <v>A</v>
      </c>
      <c r="BS25">
        <f t="shared" si="32"/>
        <v>0.34426229508196721</v>
      </c>
      <c r="BT25">
        <f t="shared" si="16"/>
        <v>0.62295081967213117</v>
      </c>
      <c r="BU25">
        <f t="shared" si="17"/>
        <v>-0.31147540983606559</v>
      </c>
      <c r="BW25">
        <f t="shared" si="18"/>
        <v>-0.51888530984994685</v>
      </c>
      <c r="BX25">
        <f t="shared" si="19"/>
        <v>1.370083334468686</v>
      </c>
      <c r="BY25">
        <f t="shared" si="20"/>
        <v>-0.67487955837901092</v>
      </c>
      <c r="CB25">
        <f t="shared" si="21"/>
        <v>3.0841673027017702</v>
      </c>
      <c r="CC25">
        <f t="shared" si="22"/>
        <v>2.6828320033877233</v>
      </c>
      <c r="CD25">
        <f t="shared" si="23"/>
        <v>0.60797726130030294</v>
      </c>
      <c r="CE25">
        <f t="shared" si="24"/>
        <v>2.5676019859754962</v>
      </c>
      <c r="CF25">
        <f t="shared" si="25"/>
        <v>1.8146819302746495</v>
      </c>
      <c r="CG25">
        <f t="shared" si="33"/>
        <v>0.60797726130030294</v>
      </c>
      <c r="CK25" t="str">
        <f t="shared" si="26"/>
        <v>Cluster 3</v>
      </c>
      <c r="CL25" t="str">
        <f t="shared" si="27"/>
        <v>A Tennis</v>
      </c>
      <c r="CM25" t="str">
        <f t="shared" si="37"/>
        <v>Tennis A</v>
      </c>
      <c r="CN25" t="str">
        <f t="shared" si="28"/>
        <v>Diff</v>
      </c>
    </row>
    <row r="26" spans="2:92">
      <c r="B26" s="18" t="s">
        <v>70</v>
      </c>
      <c r="C26" s="5">
        <v>4.25</v>
      </c>
      <c r="D26" s="19" t="s">
        <v>119</v>
      </c>
      <c r="E26" s="19" t="s">
        <v>121</v>
      </c>
      <c r="H26">
        <v>19</v>
      </c>
      <c r="I26">
        <v>3</v>
      </c>
      <c r="J26">
        <v>7</v>
      </c>
      <c r="K26">
        <v>11</v>
      </c>
      <c r="L26">
        <v>15</v>
      </c>
      <c r="M26">
        <v>19</v>
      </c>
      <c r="N26">
        <v>4</v>
      </c>
      <c r="O26">
        <v>8</v>
      </c>
      <c r="P26">
        <v>12</v>
      </c>
      <c r="Q26">
        <v>16</v>
      </c>
      <c r="R26">
        <v>20</v>
      </c>
      <c r="S26">
        <v>1</v>
      </c>
      <c r="T26">
        <v>5</v>
      </c>
      <c r="U26">
        <v>9</v>
      </c>
      <c r="V26">
        <v>13</v>
      </c>
      <c r="W26">
        <v>17</v>
      </c>
      <c r="X26">
        <v>2</v>
      </c>
      <c r="Y26">
        <v>6</v>
      </c>
      <c r="Z26">
        <v>10</v>
      </c>
      <c r="AA26">
        <v>14</v>
      </c>
      <c r="AB26">
        <v>18</v>
      </c>
      <c r="AD26">
        <f t="shared" ref="AD26:AH26" si="80">SUMIFS($I26:$AB26,$I$2:$AB$2,AD$7)</f>
        <v>10</v>
      </c>
      <c r="AE26">
        <f t="shared" si="80"/>
        <v>26</v>
      </c>
      <c r="AF26">
        <f t="shared" si="80"/>
        <v>42</v>
      </c>
      <c r="AG26">
        <f t="shared" si="80"/>
        <v>58</v>
      </c>
      <c r="AH26">
        <f t="shared" si="80"/>
        <v>74</v>
      </c>
      <c r="AI26">
        <f t="shared" si="1"/>
        <v>115</v>
      </c>
      <c r="AJ26">
        <f t="shared" si="1"/>
        <v>95</v>
      </c>
      <c r="AK26">
        <f t="shared" si="2"/>
        <v>110</v>
      </c>
      <c r="AL26">
        <f t="shared" si="2"/>
        <v>100</v>
      </c>
      <c r="AN26" s="67">
        <f t="shared" ref="AN26:AV26" si="81">((AD26-MIN($AD26:$AL26))/(MAX($AD26:$AL26)-MIN($AD26:$AL26)))</f>
        <v>0</v>
      </c>
      <c r="AO26" s="67">
        <f t="shared" si="81"/>
        <v>0.15238095238095239</v>
      </c>
      <c r="AP26" s="67">
        <f t="shared" si="81"/>
        <v>0.30476190476190479</v>
      </c>
      <c r="AQ26" s="67">
        <f t="shared" si="81"/>
        <v>0.45714285714285713</v>
      </c>
      <c r="AR26" s="67">
        <f t="shared" si="81"/>
        <v>0.60952380952380958</v>
      </c>
      <c r="AS26" s="67">
        <f t="shared" si="81"/>
        <v>1</v>
      </c>
      <c r="AT26" s="67">
        <f t="shared" si="81"/>
        <v>0.80952380952380953</v>
      </c>
      <c r="AU26" s="67">
        <f t="shared" si="81"/>
        <v>0.95238095238095233</v>
      </c>
      <c r="AV26" s="67">
        <f t="shared" si="81"/>
        <v>0.8571428571428571</v>
      </c>
      <c r="AX26">
        <f t="shared" si="4"/>
        <v>0.60952380952380958</v>
      </c>
      <c r="AY26">
        <f t="shared" si="14"/>
        <v>0.19047619047619047</v>
      </c>
      <c r="AZ26">
        <f t="shared" si="5"/>
        <v>9.5238095238095233E-2</v>
      </c>
      <c r="BB26">
        <f t="shared" ref="BB26:BD26" si="82">AX26/SUM($AX26:$AZ26)</f>
        <v>0.68085106382978722</v>
      </c>
      <c r="BC26">
        <f t="shared" si="82"/>
        <v>0.21276595744680848</v>
      </c>
      <c r="BD26">
        <f t="shared" si="82"/>
        <v>0.10638297872340424</v>
      </c>
      <c r="BF26" t="str">
        <f t="shared" si="7"/>
        <v>Price</v>
      </c>
      <c r="BG26">
        <f t="shared" si="8"/>
        <v>3.5</v>
      </c>
      <c r="BI26">
        <f t="shared" si="9"/>
        <v>3.5</v>
      </c>
      <c r="BJ26" t="str">
        <f t="shared" si="10"/>
        <v>Tennis</v>
      </c>
      <c r="BK26" t="str">
        <f t="shared" si="11"/>
        <v>A</v>
      </c>
      <c r="BS26">
        <f t="shared" si="32"/>
        <v>0.60952380952380958</v>
      </c>
      <c r="BT26">
        <f t="shared" si="16"/>
        <v>0.19047619047619047</v>
      </c>
      <c r="BU26">
        <f t="shared" si="17"/>
        <v>-9.5238095238095233E-2</v>
      </c>
      <c r="BW26">
        <f t="shared" si="18"/>
        <v>1.8178197010872597</v>
      </c>
      <c r="BX26">
        <f t="shared" si="19"/>
        <v>0.42444971256994318</v>
      </c>
      <c r="BY26">
        <f t="shared" si="20"/>
        <v>-0.21803120025221195</v>
      </c>
      <c r="CB26">
        <f t="shared" si="21"/>
        <v>3.1841988523940374</v>
      </c>
      <c r="CC26">
        <f t="shared" si="22"/>
        <v>0.32360426997653524</v>
      </c>
      <c r="CD26">
        <f t="shared" si="23"/>
        <v>2.5774816287460633</v>
      </c>
      <c r="CE26">
        <f t="shared" si="24"/>
        <v>2.914493740019287</v>
      </c>
      <c r="CF26">
        <f t="shared" si="25"/>
        <v>2.7813052362390778</v>
      </c>
      <c r="CG26">
        <f t="shared" si="33"/>
        <v>0.32360426997653524</v>
      </c>
      <c r="CK26" t="str">
        <f t="shared" si="26"/>
        <v>Cluster 2</v>
      </c>
      <c r="CL26" t="str">
        <f t="shared" si="27"/>
        <v>Price Only</v>
      </c>
      <c r="CM26" t="str">
        <f t="shared" si="37"/>
        <v>Price Only</v>
      </c>
      <c r="CN26" t="str">
        <f t="shared" si="28"/>
        <v/>
      </c>
    </row>
    <row r="27" spans="2:92">
      <c r="B27" s="18" t="s">
        <v>71</v>
      </c>
      <c r="C27" s="5">
        <v>4.5</v>
      </c>
      <c r="D27" s="19" t="s">
        <v>119</v>
      </c>
      <c r="E27" s="19" t="s">
        <v>121</v>
      </c>
      <c r="H27">
        <v>20</v>
      </c>
      <c r="I27">
        <v>10</v>
      </c>
      <c r="J27">
        <v>14</v>
      </c>
      <c r="K27">
        <v>17</v>
      </c>
      <c r="L27">
        <v>19</v>
      </c>
      <c r="M27">
        <v>20</v>
      </c>
      <c r="N27">
        <v>5</v>
      </c>
      <c r="O27">
        <v>8</v>
      </c>
      <c r="P27">
        <v>12</v>
      </c>
      <c r="Q27">
        <v>15</v>
      </c>
      <c r="R27">
        <v>18</v>
      </c>
      <c r="S27">
        <v>3</v>
      </c>
      <c r="T27">
        <v>6</v>
      </c>
      <c r="U27">
        <v>9</v>
      </c>
      <c r="V27">
        <v>13</v>
      </c>
      <c r="W27">
        <v>16</v>
      </c>
      <c r="X27">
        <v>1</v>
      </c>
      <c r="Y27">
        <v>2</v>
      </c>
      <c r="Z27">
        <v>4</v>
      </c>
      <c r="AA27">
        <v>7</v>
      </c>
      <c r="AB27">
        <v>11</v>
      </c>
      <c r="AD27">
        <f t="shared" ref="AD27:AH27" si="83">SUMIFS($I27:$AB27,$I$2:$AB$2,AD$7)</f>
        <v>19</v>
      </c>
      <c r="AE27">
        <f t="shared" si="83"/>
        <v>30</v>
      </c>
      <c r="AF27">
        <f t="shared" si="83"/>
        <v>42</v>
      </c>
      <c r="AG27">
        <f t="shared" si="83"/>
        <v>54</v>
      </c>
      <c r="AH27">
        <f t="shared" si="83"/>
        <v>65</v>
      </c>
      <c r="AI27">
        <f t="shared" si="1"/>
        <v>138</v>
      </c>
      <c r="AJ27">
        <f t="shared" si="1"/>
        <v>72</v>
      </c>
      <c r="AK27">
        <f t="shared" si="2"/>
        <v>83</v>
      </c>
      <c r="AL27">
        <f t="shared" si="2"/>
        <v>127</v>
      </c>
      <c r="AN27" s="67">
        <f t="shared" ref="AN27:AV27" si="84">((AD27-MIN($AD27:$AL27))/(MAX($AD27:$AL27)-MIN($AD27:$AL27)))</f>
        <v>0</v>
      </c>
      <c r="AO27" s="67">
        <f t="shared" si="84"/>
        <v>9.2436974789915971E-2</v>
      </c>
      <c r="AP27" s="67">
        <f t="shared" si="84"/>
        <v>0.19327731092436976</v>
      </c>
      <c r="AQ27" s="67">
        <f t="shared" si="84"/>
        <v>0.29411764705882354</v>
      </c>
      <c r="AR27" s="67">
        <f t="shared" si="84"/>
        <v>0.38655462184873951</v>
      </c>
      <c r="AS27" s="67">
        <f t="shared" si="84"/>
        <v>1</v>
      </c>
      <c r="AT27" s="67">
        <f t="shared" si="84"/>
        <v>0.44537815126050423</v>
      </c>
      <c r="AU27" s="67">
        <f t="shared" si="84"/>
        <v>0.53781512605042014</v>
      </c>
      <c r="AV27" s="67">
        <f t="shared" si="84"/>
        <v>0.90756302521008403</v>
      </c>
      <c r="AX27">
        <f t="shared" si="4"/>
        <v>0.38655462184873951</v>
      </c>
      <c r="AY27">
        <f t="shared" si="14"/>
        <v>0.55462184873949583</v>
      </c>
      <c r="AZ27">
        <f t="shared" si="5"/>
        <v>0.36974789915966388</v>
      </c>
      <c r="BB27">
        <f t="shared" ref="BB27:BD27" si="85">AX27/SUM($AX27:$AZ27)</f>
        <v>0.29487179487179488</v>
      </c>
      <c r="BC27">
        <f t="shared" si="85"/>
        <v>0.42307692307692307</v>
      </c>
      <c r="BD27">
        <f t="shared" si="85"/>
        <v>0.28205128205128205</v>
      </c>
      <c r="BF27" t="str">
        <f t="shared" si="7"/>
        <v xml:space="preserve">Brand </v>
      </c>
      <c r="BG27" t="str">
        <f t="shared" si="8"/>
        <v>Tennis</v>
      </c>
      <c r="BI27">
        <f t="shared" si="9"/>
        <v>3.5</v>
      </c>
      <c r="BJ27" t="str">
        <f t="shared" si="10"/>
        <v>Tennis</v>
      </c>
      <c r="BK27" t="str">
        <f t="shared" si="11"/>
        <v>B</v>
      </c>
      <c r="BS27">
        <f t="shared" si="32"/>
        <v>0.38655462184873951</v>
      </c>
      <c r="BT27">
        <f t="shared" si="16"/>
        <v>0.55462184873949583</v>
      </c>
      <c r="BU27">
        <f t="shared" si="17"/>
        <v>0.36974789915966388</v>
      </c>
      <c r="BW27">
        <f t="shared" si="18"/>
        <v>-0.14632959973098972</v>
      </c>
      <c r="BX27">
        <f t="shared" si="19"/>
        <v>1.2206776401190014</v>
      </c>
      <c r="BY27">
        <f t="shared" si="20"/>
        <v>0.76435284612535581</v>
      </c>
      <c r="CB27">
        <f t="shared" si="21"/>
        <v>2.4358849228987105</v>
      </c>
      <c r="CC27">
        <f t="shared" si="22"/>
        <v>2.3095144974346336</v>
      </c>
      <c r="CD27">
        <f t="shared" si="23"/>
        <v>1.9886093448224906</v>
      </c>
      <c r="CE27">
        <f t="shared" si="24"/>
        <v>3.0155436080046267</v>
      </c>
      <c r="CF27">
        <f t="shared" si="25"/>
        <v>0.52422262667193553</v>
      </c>
      <c r="CG27">
        <f t="shared" si="33"/>
        <v>0.52422262667193553</v>
      </c>
      <c r="CK27" t="str">
        <f t="shared" si="26"/>
        <v>Cluster 5</v>
      </c>
      <c r="CL27" t="str">
        <f t="shared" si="27"/>
        <v>B Tennis</v>
      </c>
      <c r="CM27" t="str">
        <f t="shared" si="37"/>
        <v>Tennis B</v>
      </c>
      <c r="CN27" t="str">
        <f t="shared" si="28"/>
        <v>Diff</v>
      </c>
    </row>
    <row r="28" spans="2:92">
      <c r="H28">
        <v>21</v>
      </c>
      <c r="I28">
        <v>5</v>
      </c>
      <c r="J28">
        <v>9</v>
      </c>
      <c r="K28">
        <v>13</v>
      </c>
      <c r="L28">
        <v>16</v>
      </c>
      <c r="M28">
        <v>20</v>
      </c>
      <c r="N28">
        <v>2</v>
      </c>
      <c r="O28">
        <v>6</v>
      </c>
      <c r="P28">
        <v>10</v>
      </c>
      <c r="Q28">
        <v>14</v>
      </c>
      <c r="R28">
        <v>18</v>
      </c>
      <c r="S28">
        <v>3</v>
      </c>
      <c r="T28">
        <v>7</v>
      </c>
      <c r="U28">
        <v>11</v>
      </c>
      <c r="V28">
        <v>15</v>
      </c>
      <c r="W28">
        <v>19</v>
      </c>
      <c r="X28">
        <v>1</v>
      </c>
      <c r="Y28">
        <v>4</v>
      </c>
      <c r="Z28">
        <v>8</v>
      </c>
      <c r="AA28">
        <v>13</v>
      </c>
      <c r="AB28">
        <v>17</v>
      </c>
      <c r="AD28">
        <f t="shared" ref="AD28:AH28" si="86">SUMIFS($I28:$AB28,$I$2:$AB$2,AD$7)</f>
        <v>11</v>
      </c>
      <c r="AE28">
        <f t="shared" si="86"/>
        <v>26</v>
      </c>
      <c r="AF28">
        <f t="shared" si="86"/>
        <v>42</v>
      </c>
      <c r="AG28">
        <f t="shared" si="86"/>
        <v>58</v>
      </c>
      <c r="AH28">
        <f t="shared" si="86"/>
        <v>74</v>
      </c>
      <c r="AI28">
        <f t="shared" ref="AI28:AJ47" si="87">SUMIFS($I28:$AB28,$I$3:$AB$3,AI$7)</f>
        <v>113</v>
      </c>
      <c r="AJ28">
        <f t="shared" si="87"/>
        <v>98</v>
      </c>
      <c r="AK28">
        <f t="shared" ref="AK28:AL47" si="88">SUMIFS($I28:$AB28,$I$4:$AB$4,AK$7)</f>
        <v>93</v>
      </c>
      <c r="AL28">
        <f t="shared" si="88"/>
        <v>118</v>
      </c>
      <c r="AN28" s="67">
        <f t="shared" ref="AN28:AV28" si="89">((AD28-MIN($AD28:$AL28))/(MAX($AD28:$AL28)-MIN($AD28:$AL28)))</f>
        <v>0</v>
      </c>
      <c r="AO28" s="67">
        <f t="shared" si="89"/>
        <v>0.14018691588785046</v>
      </c>
      <c r="AP28" s="67">
        <f t="shared" si="89"/>
        <v>0.28971962616822428</v>
      </c>
      <c r="AQ28" s="67">
        <f t="shared" si="89"/>
        <v>0.43925233644859812</v>
      </c>
      <c r="AR28" s="67">
        <f t="shared" si="89"/>
        <v>0.58878504672897192</v>
      </c>
      <c r="AS28" s="67">
        <f t="shared" si="89"/>
        <v>0.95327102803738317</v>
      </c>
      <c r="AT28" s="67">
        <f t="shared" si="89"/>
        <v>0.81308411214953269</v>
      </c>
      <c r="AU28" s="67">
        <f t="shared" si="89"/>
        <v>0.76635514018691586</v>
      </c>
      <c r="AV28" s="67">
        <f t="shared" si="89"/>
        <v>1</v>
      </c>
      <c r="AX28">
        <f t="shared" si="4"/>
        <v>0.58878504672897192</v>
      </c>
      <c r="AY28">
        <f t="shared" si="14"/>
        <v>0.14018691588785048</v>
      </c>
      <c r="AZ28">
        <f t="shared" si="5"/>
        <v>0.23364485981308414</v>
      </c>
      <c r="BB28">
        <f t="shared" ref="BB28:BD28" si="90">AX28/SUM($AX28:$AZ28)</f>
        <v>0.61165048543689315</v>
      </c>
      <c r="BC28">
        <f t="shared" si="90"/>
        <v>0.14563106796116507</v>
      </c>
      <c r="BD28">
        <f t="shared" si="90"/>
        <v>0.24271844660194178</v>
      </c>
      <c r="BF28" t="str">
        <f t="shared" si="7"/>
        <v>Price</v>
      </c>
      <c r="BG28">
        <f t="shared" si="8"/>
        <v>3.5</v>
      </c>
      <c r="BI28">
        <f t="shared" si="9"/>
        <v>3.5</v>
      </c>
      <c r="BJ28" t="str">
        <f t="shared" si="10"/>
        <v>Tennis</v>
      </c>
      <c r="BK28" t="str">
        <f t="shared" si="11"/>
        <v>B</v>
      </c>
      <c r="BS28">
        <f t="shared" si="32"/>
        <v>0.58878504672897192</v>
      </c>
      <c r="BT28">
        <f t="shared" si="16"/>
        <v>0.14018691588785048</v>
      </c>
      <c r="BU28">
        <f t="shared" si="17"/>
        <v>0.23364485981308414</v>
      </c>
      <c r="BW28">
        <f t="shared" si="18"/>
        <v>1.6351306628929911</v>
      </c>
      <c r="BX28">
        <f t="shared" si="19"/>
        <v>0.31448897577470669</v>
      </c>
      <c r="BY28">
        <f t="shared" si="20"/>
        <v>0.4768055734580337</v>
      </c>
      <c r="CB28">
        <f t="shared" si="21"/>
        <v>2.7551735596645628</v>
      </c>
      <c r="CC28">
        <f t="shared" si="22"/>
        <v>0.48728599845293197</v>
      </c>
      <c r="CD28">
        <f t="shared" si="23"/>
        <v>2.7946746899839527</v>
      </c>
      <c r="CE28">
        <f t="shared" si="24"/>
        <v>2.9964524547269118</v>
      </c>
      <c r="CF28">
        <f t="shared" si="25"/>
        <v>2.3877435299135876</v>
      </c>
      <c r="CG28">
        <f t="shared" si="33"/>
        <v>0.48728599845293197</v>
      </c>
      <c r="CK28" t="str">
        <f t="shared" si="26"/>
        <v>Cluster 2</v>
      </c>
      <c r="CL28" t="str">
        <f>INDEX($CB$2:$CF$2,,MATCH(CK28,$CB$7:$CF$7,0))</f>
        <v>Price Only</v>
      </c>
      <c r="CM28" t="str">
        <f t="shared" si="37"/>
        <v>Price Only</v>
      </c>
      <c r="CN28" t="str">
        <f t="shared" si="28"/>
        <v/>
      </c>
    </row>
    <row r="29" spans="2:92">
      <c r="B29" t="s">
        <v>78</v>
      </c>
      <c r="C29" s="5" t="s">
        <v>79</v>
      </c>
      <c r="D29" t="s">
        <v>80</v>
      </c>
      <c r="E29" t="s">
        <v>81</v>
      </c>
      <c r="H29">
        <v>22</v>
      </c>
      <c r="I29">
        <v>3</v>
      </c>
      <c r="J29">
        <v>6</v>
      </c>
      <c r="K29">
        <v>9</v>
      </c>
      <c r="L29">
        <v>13</v>
      </c>
      <c r="M29">
        <v>16</v>
      </c>
      <c r="N29">
        <v>11</v>
      </c>
      <c r="O29">
        <v>14</v>
      </c>
      <c r="P29">
        <v>17</v>
      </c>
      <c r="Q29">
        <v>19</v>
      </c>
      <c r="R29">
        <v>20</v>
      </c>
      <c r="S29">
        <v>1</v>
      </c>
      <c r="T29">
        <v>2</v>
      </c>
      <c r="U29">
        <v>4</v>
      </c>
      <c r="V29">
        <v>7</v>
      </c>
      <c r="W29">
        <v>10</v>
      </c>
      <c r="X29">
        <v>5</v>
      </c>
      <c r="Y29">
        <v>8</v>
      </c>
      <c r="Z29">
        <v>12</v>
      </c>
      <c r="AA29">
        <v>15</v>
      </c>
      <c r="AB29">
        <v>18</v>
      </c>
      <c r="AD29">
        <f t="shared" ref="AD29:AH29" si="91">SUMIFS($I29:$AB29,$I$2:$AB$2,AD$7)</f>
        <v>20</v>
      </c>
      <c r="AE29">
        <f t="shared" si="91"/>
        <v>30</v>
      </c>
      <c r="AF29">
        <f t="shared" si="91"/>
        <v>42</v>
      </c>
      <c r="AG29">
        <f t="shared" si="91"/>
        <v>54</v>
      </c>
      <c r="AH29">
        <f t="shared" si="91"/>
        <v>64</v>
      </c>
      <c r="AI29">
        <f t="shared" si="87"/>
        <v>128</v>
      </c>
      <c r="AJ29">
        <f t="shared" si="87"/>
        <v>82</v>
      </c>
      <c r="AK29">
        <f t="shared" si="88"/>
        <v>139</v>
      </c>
      <c r="AL29">
        <f t="shared" si="88"/>
        <v>71</v>
      </c>
      <c r="AN29" s="67">
        <f t="shared" ref="AN29:AV29" si="92">((AD29-MIN($AD29:$AL29))/(MAX($AD29:$AL29)-MIN($AD29:$AL29)))</f>
        <v>0</v>
      </c>
      <c r="AO29" s="67">
        <f t="shared" si="92"/>
        <v>8.4033613445378158E-2</v>
      </c>
      <c r="AP29" s="67">
        <f t="shared" si="92"/>
        <v>0.18487394957983194</v>
      </c>
      <c r="AQ29" s="67">
        <f t="shared" si="92"/>
        <v>0.2857142857142857</v>
      </c>
      <c r="AR29" s="67">
        <f t="shared" si="92"/>
        <v>0.36974789915966388</v>
      </c>
      <c r="AS29" s="67">
        <f t="shared" si="92"/>
        <v>0.90756302521008403</v>
      </c>
      <c r="AT29" s="67">
        <f t="shared" si="92"/>
        <v>0.52100840336134457</v>
      </c>
      <c r="AU29" s="67">
        <f t="shared" si="92"/>
        <v>1</v>
      </c>
      <c r="AV29" s="67">
        <f t="shared" si="92"/>
        <v>0.42857142857142855</v>
      </c>
      <c r="AX29">
        <f t="shared" si="4"/>
        <v>0.36974789915966388</v>
      </c>
      <c r="AY29">
        <f t="shared" si="14"/>
        <v>0.38655462184873945</v>
      </c>
      <c r="AZ29">
        <f t="shared" si="5"/>
        <v>0.5714285714285714</v>
      </c>
      <c r="BB29">
        <f t="shared" ref="BB29:BD29" si="93">AX29/SUM($AX29:$AZ29)</f>
        <v>0.27848101265822789</v>
      </c>
      <c r="BC29">
        <f t="shared" si="93"/>
        <v>0.29113924050632911</v>
      </c>
      <c r="BD29">
        <f t="shared" si="93"/>
        <v>0.43037974683544306</v>
      </c>
      <c r="BF29" t="str">
        <f t="shared" si="7"/>
        <v>Theme</v>
      </c>
      <c r="BG29" t="str">
        <f t="shared" si="8"/>
        <v>A</v>
      </c>
      <c r="BI29">
        <f t="shared" si="9"/>
        <v>3.5</v>
      </c>
      <c r="BJ29" t="str">
        <f t="shared" si="10"/>
        <v>Tennis</v>
      </c>
      <c r="BK29" t="str">
        <f t="shared" si="11"/>
        <v>A</v>
      </c>
      <c r="BS29">
        <f t="shared" si="32"/>
        <v>0.36974789915966388</v>
      </c>
      <c r="BT29">
        <f t="shared" si="16"/>
        <v>0.38655462184873945</v>
      </c>
      <c r="BU29">
        <f t="shared" si="17"/>
        <v>-0.5714285714285714</v>
      </c>
      <c r="BW29">
        <f t="shared" si="18"/>
        <v>-0.29438105456653607</v>
      </c>
      <c r="BX29">
        <f t="shared" si="19"/>
        <v>0.8531878274040513</v>
      </c>
      <c r="BY29">
        <f t="shared" si="20"/>
        <v>-1.2240871513617693</v>
      </c>
      <c r="CB29">
        <f t="shared" si="21"/>
        <v>3.0874792523532451</v>
      </c>
      <c r="CC29">
        <f t="shared" si="22"/>
        <v>2.5210024588381184</v>
      </c>
      <c r="CD29">
        <f t="shared" si="23"/>
        <v>0.27457842912785946</v>
      </c>
      <c r="CE29">
        <f t="shared" si="24"/>
        <v>2.0403068754524458</v>
      </c>
      <c r="CF29">
        <f t="shared" si="25"/>
        <v>2.3731032068962441</v>
      </c>
      <c r="CG29">
        <f t="shared" si="33"/>
        <v>0.27457842912785946</v>
      </c>
      <c r="CK29" t="str">
        <f t="shared" si="26"/>
        <v>Cluster 3</v>
      </c>
      <c r="CL29" t="str">
        <f t="shared" si="27"/>
        <v>A Tennis</v>
      </c>
      <c r="CM29" t="str">
        <f t="shared" si="37"/>
        <v>Tennis A</v>
      </c>
      <c r="CN29" t="str">
        <f t="shared" si="28"/>
        <v>Diff</v>
      </c>
    </row>
    <row r="30" spans="2:92">
      <c r="B30" s="55">
        <v>3.5</v>
      </c>
      <c r="C30" s="56"/>
      <c r="D30" s="57"/>
      <c r="E30" s="58"/>
      <c r="H30">
        <v>23</v>
      </c>
      <c r="I30">
        <v>4</v>
      </c>
      <c r="J30">
        <v>8</v>
      </c>
      <c r="K30">
        <v>12</v>
      </c>
      <c r="L30">
        <v>16</v>
      </c>
      <c r="M30">
        <v>20</v>
      </c>
      <c r="N30">
        <v>2</v>
      </c>
      <c r="O30">
        <v>6</v>
      </c>
      <c r="P30">
        <v>10</v>
      </c>
      <c r="Q30">
        <v>14</v>
      </c>
      <c r="R30">
        <v>18</v>
      </c>
      <c r="S30">
        <v>4</v>
      </c>
      <c r="T30">
        <v>8</v>
      </c>
      <c r="U30">
        <v>12</v>
      </c>
      <c r="V30">
        <v>16</v>
      </c>
      <c r="W30">
        <v>20</v>
      </c>
      <c r="X30">
        <v>2</v>
      </c>
      <c r="Y30">
        <v>6</v>
      </c>
      <c r="Z30">
        <v>10</v>
      </c>
      <c r="AA30">
        <v>14</v>
      </c>
      <c r="AB30">
        <v>18</v>
      </c>
      <c r="AD30">
        <f t="shared" ref="AD30:AH30" si="94">SUMIFS($I30:$AB30,$I$2:$AB$2,AD$7)</f>
        <v>12</v>
      </c>
      <c r="AE30">
        <f t="shared" si="94"/>
        <v>28</v>
      </c>
      <c r="AF30">
        <f t="shared" si="94"/>
        <v>44</v>
      </c>
      <c r="AG30">
        <f t="shared" si="94"/>
        <v>60</v>
      </c>
      <c r="AH30">
        <f t="shared" si="94"/>
        <v>76</v>
      </c>
      <c r="AI30">
        <f t="shared" si="87"/>
        <v>110</v>
      </c>
      <c r="AJ30">
        <f t="shared" si="87"/>
        <v>110</v>
      </c>
      <c r="AK30">
        <f t="shared" si="88"/>
        <v>100</v>
      </c>
      <c r="AL30">
        <f t="shared" si="88"/>
        <v>120</v>
      </c>
      <c r="AN30" s="67">
        <f t="shared" ref="AN30:AV30" si="95">((AD30-MIN($AD30:$AL30))/(MAX($AD30:$AL30)-MIN($AD30:$AL30)))</f>
        <v>0</v>
      </c>
      <c r="AO30" s="67">
        <f t="shared" si="95"/>
        <v>0.14814814814814814</v>
      </c>
      <c r="AP30" s="67">
        <f t="shared" si="95"/>
        <v>0.29629629629629628</v>
      </c>
      <c r="AQ30" s="67">
        <f t="shared" si="95"/>
        <v>0.44444444444444442</v>
      </c>
      <c r="AR30" s="67">
        <f t="shared" si="95"/>
        <v>0.59259259259259256</v>
      </c>
      <c r="AS30" s="67">
        <f t="shared" si="95"/>
        <v>0.90740740740740744</v>
      </c>
      <c r="AT30" s="67">
        <f t="shared" si="95"/>
        <v>0.90740740740740744</v>
      </c>
      <c r="AU30" s="67">
        <f t="shared" si="95"/>
        <v>0.81481481481481477</v>
      </c>
      <c r="AV30" s="67">
        <f t="shared" si="95"/>
        <v>1</v>
      </c>
      <c r="AX30">
        <f t="shared" si="4"/>
        <v>0.59259259259259256</v>
      </c>
      <c r="AY30">
        <f t="shared" si="14"/>
        <v>0</v>
      </c>
      <c r="AZ30">
        <f t="shared" si="5"/>
        <v>0.18518518518518523</v>
      </c>
      <c r="BB30">
        <f t="shared" ref="BB30:BD30" si="96">AX30/SUM($AX30:$AZ30)</f>
        <v>0.76190476190476186</v>
      </c>
      <c r="BC30">
        <f t="shared" si="96"/>
        <v>0</v>
      </c>
      <c r="BD30">
        <f t="shared" si="96"/>
        <v>0.23809523809523814</v>
      </c>
      <c r="BF30" t="str">
        <f t="shared" si="7"/>
        <v>Price</v>
      </c>
      <c r="BG30">
        <f t="shared" si="8"/>
        <v>3.5</v>
      </c>
      <c r="BI30">
        <f t="shared" si="9"/>
        <v>3.5</v>
      </c>
      <c r="BJ30" t="str">
        <f t="shared" si="10"/>
        <v>Super Bowl</v>
      </c>
      <c r="BK30" t="str">
        <f t="shared" si="11"/>
        <v>B</v>
      </c>
      <c r="BS30">
        <f t="shared" si="32"/>
        <v>0.59259259259259256</v>
      </c>
      <c r="BT30">
        <f t="shared" si="16"/>
        <v>0</v>
      </c>
      <c r="BU30">
        <f t="shared" si="17"/>
        <v>0.18518518518518523</v>
      </c>
      <c r="BW30">
        <f t="shared" si="18"/>
        <v>1.6686715688084861</v>
      </c>
      <c r="BX30">
        <f t="shared" si="19"/>
        <v>7.9612581596666537E-3</v>
      </c>
      <c r="BY30">
        <f t="shared" si="20"/>
        <v>0.37442397095674962</v>
      </c>
      <c r="CB30">
        <f t="shared" si="21"/>
        <v>2.66120109523452</v>
      </c>
      <c r="CC30">
        <f t="shared" si="22"/>
        <v>0.42389327850387626</v>
      </c>
      <c r="CD30">
        <f t="shared" si="23"/>
        <v>2.8573001215959688</v>
      </c>
      <c r="CE30">
        <f t="shared" si="24"/>
        <v>2.8292064574611198</v>
      </c>
      <c r="CF30">
        <f t="shared" si="25"/>
        <v>2.5651202283330288</v>
      </c>
      <c r="CG30">
        <f t="shared" si="33"/>
        <v>0.42389327850387626</v>
      </c>
      <c r="CK30" t="str">
        <f t="shared" si="26"/>
        <v>Cluster 2</v>
      </c>
      <c r="CL30" t="str">
        <f t="shared" si="27"/>
        <v>Price Only</v>
      </c>
      <c r="CM30" t="str">
        <f t="shared" si="37"/>
        <v>Price Only</v>
      </c>
      <c r="CN30" t="str">
        <f t="shared" si="28"/>
        <v/>
      </c>
    </row>
    <row r="31" spans="2:92">
      <c r="B31" s="59">
        <v>3.75</v>
      </c>
      <c r="E31" s="60"/>
      <c r="H31">
        <v>24</v>
      </c>
      <c r="I31">
        <v>1</v>
      </c>
      <c r="J31">
        <v>2</v>
      </c>
      <c r="K31">
        <v>4</v>
      </c>
      <c r="L31">
        <v>7</v>
      </c>
      <c r="M31">
        <v>10</v>
      </c>
      <c r="N31">
        <v>3</v>
      </c>
      <c r="O31">
        <v>6</v>
      </c>
      <c r="P31">
        <v>9</v>
      </c>
      <c r="Q31">
        <v>13</v>
      </c>
      <c r="R31">
        <v>16</v>
      </c>
      <c r="S31">
        <v>5</v>
      </c>
      <c r="T31">
        <v>8</v>
      </c>
      <c r="U31">
        <v>12</v>
      </c>
      <c r="V31">
        <v>15</v>
      </c>
      <c r="W31">
        <v>18</v>
      </c>
      <c r="X31">
        <v>11</v>
      </c>
      <c r="Y31">
        <v>14</v>
      </c>
      <c r="Z31">
        <v>17</v>
      </c>
      <c r="AA31">
        <v>19</v>
      </c>
      <c r="AB31">
        <v>20</v>
      </c>
      <c r="AD31">
        <f t="shared" ref="AD31:AH31" si="97">SUMIFS($I31:$AB31,$I$2:$AB$2,AD$7)</f>
        <v>20</v>
      </c>
      <c r="AE31">
        <f t="shared" si="97"/>
        <v>30</v>
      </c>
      <c r="AF31">
        <f t="shared" si="97"/>
        <v>42</v>
      </c>
      <c r="AG31">
        <f t="shared" si="97"/>
        <v>54</v>
      </c>
      <c r="AH31">
        <f t="shared" si="97"/>
        <v>64</v>
      </c>
      <c r="AI31">
        <f t="shared" si="87"/>
        <v>71</v>
      </c>
      <c r="AJ31">
        <f t="shared" si="87"/>
        <v>139</v>
      </c>
      <c r="AK31">
        <f t="shared" si="88"/>
        <v>128</v>
      </c>
      <c r="AL31">
        <f t="shared" si="88"/>
        <v>82</v>
      </c>
      <c r="AN31" s="67">
        <f t="shared" ref="AN31:AV31" si="98">((AD31-MIN($AD31:$AL31))/(MAX($AD31:$AL31)-MIN($AD31:$AL31)))</f>
        <v>0</v>
      </c>
      <c r="AO31" s="67">
        <f t="shared" si="98"/>
        <v>8.4033613445378158E-2</v>
      </c>
      <c r="AP31" s="67">
        <f t="shared" si="98"/>
        <v>0.18487394957983194</v>
      </c>
      <c r="AQ31" s="67">
        <f t="shared" si="98"/>
        <v>0.2857142857142857</v>
      </c>
      <c r="AR31" s="67">
        <f t="shared" si="98"/>
        <v>0.36974789915966388</v>
      </c>
      <c r="AS31" s="67">
        <f t="shared" si="98"/>
        <v>0.42857142857142855</v>
      </c>
      <c r="AT31" s="67">
        <f t="shared" si="98"/>
        <v>1</v>
      </c>
      <c r="AU31" s="67">
        <f t="shared" si="98"/>
        <v>0.90756302521008403</v>
      </c>
      <c r="AV31" s="67">
        <f t="shared" si="98"/>
        <v>0.52100840336134457</v>
      </c>
      <c r="AX31">
        <f t="shared" si="4"/>
        <v>0.36974789915966388</v>
      </c>
      <c r="AY31">
        <f t="shared" si="14"/>
        <v>0.5714285714285714</v>
      </c>
      <c r="AZ31">
        <f t="shared" si="5"/>
        <v>0.38655462184873945</v>
      </c>
      <c r="BB31">
        <f t="shared" ref="BB31:BD31" si="99">AX31/SUM($AX31:$AZ31)</f>
        <v>0.27848101265822789</v>
      </c>
      <c r="BC31">
        <f t="shared" si="99"/>
        <v>0.43037974683544306</v>
      </c>
      <c r="BD31">
        <f t="shared" si="99"/>
        <v>0.29113924050632911</v>
      </c>
      <c r="BF31" t="str">
        <f t="shared" si="7"/>
        <v xml:space="preserve">Brand </v>
      </c>
      <c r="BG31" t="str">
        <f t="shared" si="8"/>
        <v>Super Bowl</v>
      </c>
      <c r="BI31">
        <f t="shared" si="9"/>
        <v>3.5</v>
      </c>
      <c r="BJ31" t="str">
        <f t="shared" si="10"/>
        <v>Super Bowl</v>
      </c>
      <c r="BK31" t="str">
        <f t="shared" si="11"/>
        <v>A</v>
      </c>
      <c r="BS31">
        <f t="shared" si="32"/>
        <v>0.36974789915966388</v>
      </c>
      <c r="BT31">
        <f t="shared" si="16"/>
        <v>-0.5714285714285714</v>
      </c>
      <c r="BU31">
        <f t="shared" si="17"/>
        <v>-0.38655462184873945</v>
      </c>
      <c r="BW31">
        <f t="shared" si="18"/>
        <v>-0.29438105456653607</v>
      </c>
      <c r="BX31">
        <f t="shared" si="19"/>
        <v>-1.2415041050711628</v>
      </c>
      <c r="BY31">
        <f t="shared" si="20"/>
        <v>-0.83350072328394098</v>
      </c>
      <c r="CB31">
        <f t="shared" si="21"/>
        <v>1.9698974649062282</v>
      </c>
      <c r="CC31">
        <f t="shared" si="22"/>
        <v>2.6919434314263833</v>
      </c>
      <c r="CD31">
        <f t="shared" si="23"/>
        <v>2.3194824322008385</v>
      </c>
      <c r="CE31">
        <f t="shared" si="24"/>
        <v>0.28695516638593749</v>
      </c>
      <c r="CF31">
        <f t="shared" si="25"/>
        <v>3.0778556953729268</v>
      </c>
      <c r="CG31">
        <f t="shared" si="33"/>
        <v>0.28695516638593749</v>
      </c>
      <c r="CK31" t="str">
        <f t="shared" si="26"/>
        <v>Cluster 4</v>
      </c>
      <c r="CL31" t="str">
        <f t="shared" si="27"/>
        <v>A Super Bowl</v>
      </c>
      <c r="CM31" t="str">
        <f t="shared" si="37"/>
        <v>Super Bowl A</v>
      </c>
      <c r="CN31" t="str">
        <f t="shared" si="28"/>
        <v>Diff</v>
      </c>
    </row>
    <row r="32" spans="2:92">
      <c r="B32" s="59">
        <v>4</v>
      </c>
      <c r="E32" s="60"/>
      <c r="H32">
        <v>25</v>
      </c>
      <c r="I32">
        <v>13</v>
      </c>
      <c r="J32">
        <v>16</v>
      </c>
      <c r="K32">
        <v>18</v>
      </c>
      <c r="L32">
        <v>19</v>
      </c>
      <c r="M32">
        <v>20</v>
      </c>
      <c r="N32">
        <v>4</v>
      </c>
      <c r="O32">
        <v>7</v>
      </c>
      <c r="P32">
        <v>10</v>
      </c>
      <c r="Q32">
        <v>13</v>
      </c>
      <c r="R32">
        <v>16</v>
      </c>
      <c r="S32">
        <v>6</v>
      </c>
      <c r="T32">
        <v>9</v>
      </c>
      <c r="U32">
        <v>11</v>
      </c>
      <c r="V32">
        <v>14</v>
      </c>
      <c r="W32">
        <v>17</v>
      </c>
      <c r="X32">
        <v>1</v>
      </c>
      <c r="Y32">
        <v>2</v>
      </c>
      <c r="Z32">
        <v>3</v>
      </c>
      <c r="AA32">
        <v>6</v>
      </c>
      <c r="AB32">
        <v>9</v>
      </c>
      <c r="AD32">
        <f t="shared" ref="AD32:AH32" si="100">SUMIFS($I32:$AB32,$I$2:$AB$2,AD$7)</f>
        <v>24</v>
      </c>
      <c r="AE32">
        <f t="shared" si="100"/>
        <v>34</v>
      </c>
      <c r="AF32">
        <f t="shared" si="100"/>
        <v>42</v>
      </c>
      <c r="AG32">
        <f t="shared" si="100"/>
        <v>52</v>
      </c>
      <c r="AH32">
        <f t="shared" si="100"/>
        <v>62</v>
      </c>
      <c r="AI32">
        <f t="shared" si="87"/>
        <v>136</v>
      </c>
      <c r="AJ32">
        <f t="shared" si="87"/>
        <v>78</v>
      </c>
      <c r="AK32">
        <f t="shared" si="88"/>
        <v>71</v>
      </c>
      <c r="AL32">
        <f t="shared" si="88"/>
        <v>143</v>
      </c>
      <c r="AN32" s="67">
        <f t="shared" ref="AN32:AV32" si="101">((AD32-MIN($AD32:$AL32))/(MAX($AD32:$AL32)-MIN($AD32:$AL32)))</f>
        <v>0</v>
      </c>
      <c r="AO32" s="67">
        <f t="shared" si="101"/>
        <v>8.4033613445378158E-2</v>
      </c>
      <c r="AP32" s="67">
        <f t="shared" si="101"/>
        <v>0.15126050420168066</v>
      </c>
      <c r="AQ32" s="67">
        <f t="shared" si="101"/>
        <v>0.23529411764705882</v>
      </c>
      <c r="AR32" s="67">
        <f t="shared" si="101"/>
        <v>0.31932773109243695</v>
      </c>
      <c r="AS32" s="67">
        <f t="shared" si="101"/>
        <v>0.94117647058823528</v>
      </c>
      <c r="AT32" s="67">
        <f t="shared" si="101"/>
        <v>0.45378151260504201</v>
      </c>
      <c r="AU32" s="67">
        <f t="shared" si="101"/>
        <v>0.3949579831932773</v>
      </c>
      <c r="AV32" s="67">
        <f t="shared" si="101"/>
        <v>1</v>
      </c>
      <c r="AX32">
        <f t="shared" si="4"/>
        <v>0.31932773109243695</v>
      </c>
      <c r="AY32">
        <f t="shared" si="14"/>
        <v>0.48739495798319327</v>
      </c>
      <c r="AZ32">
        <f t="shared" si="5"/>
        <v>0.60504201680672276</v>
      </c>
      <c r="BB32">
        <f t="shared" ref="BB32:BD32" si="102">AX32/SUM($AX32:$AZ32)</f>
        <v>0.22619047619047616</v>
      </c>
      <c r="BC32">
        <f t="shared" si="102"/>
        <v>0.34523809523809523</v>
      </c>
      <c r="BD32">
        <f t="shared" si="102"/>
        <v>0.4285714285714286</v>
      </c>
      <c r="BF32" t="str">
        <f t="shared" si="7"/>
        <v>Theme</v>
      </c>
      <c r="BG32" t="str">
        <f t="shared" si="8"/>
        <v>B</v>
      </c>
      <c r="BI32">
        <f t="shared" si="9"/>
        <v>3.5</v>
      </c>
      <c r="BJ32" t="str">
        <f t="shared" si="10"/>
        <v>Tennis</v>
      </c>
      <c r="BK32" t="str">
        <f t="shared" si="11"/>
        <v>B</v>
      </c>
      <c r="BS32">
        <f t="shared" si="32"/>
        <v>0.31932773109243695</v>
      </c>
      <c r="BT32">
        <f t="shared" si="16"/>
        <v>0.48739495798319327</v>
      </c>
      <c r="BU32">
        <f t="shared" si="17"/>
        <v>0.60504201680672276</v>
      </c>
      <c r="BW32">
        <f t="shared" si="18"/>
        <v>-0.73853541907317566</v>
      </c>
      <c r="BX32">
        <f t="shared" si="19"/>
        <v>1.0736817150330213</v>
      </c>
      <c r="BY32">
        <f t="shared" si="20"/>
        <v>1.2614628454971371</v>
      </c>
      <c r="CB32">
        <f t="shared" si="21"/>
        <v>2.2273342863877033</v>
      </c>
      <c r="CC32">
        <f t="shared" si="22"/>
        <v>2.9483775100458955</v>
      </c>
      <c r="CD32">
        <f t="shared" si="23"/>
        <v>2.4606171278840545</v>
      </c>
      <c r="CE32">
        <f t="shared" si="24"/>
        <v>3.2270283122401437</v>
      </c>
      <c r="CF32">
        <f t="shared" si="25"/>
        <v>0.26669181245810708</v>
      </c>
      <c r="CG32">
        <f t="shared" si="33"/>
        <v>0.26669181245810708</v>
      </c>
      <c r="CK32" t="str">
        <f t="shared" si="26"/>
        <v>Cluster 5</v>
      </c>
      <c r="CL32" t="str">
        <f t="shared" si="27"/>
        <v>B Tennis</v>
      </c>
      <c r="CM32" t="str">
        <f t="shared" si="37"/>
        <v>Tennis B</v>
      </c>
      <c r="CN32" t="str">
        <f t="shared" si="28"/>
        <v>Diff</v>
      </c>
    </row>
    <row r="33" spans="2:92">
      <c r="B33" s="59">
        <v>4.25</v>
      </c>
      <c r="E33" s="60"/>
      <c r="H33">
        <v>26</v>
      </c>
      <c r="I33">
        <v>13</v>
      </c>
      <c r="J33">
        <v>16</v>
      </c>
      <c r="K33">
        <v>18</v>
      </c>
      <c r="L33">
        <v>19</v>
      </c>
      <c r="M33">
        <v>20</v>
      </c>
      <c r="N33">
        <v>4</v>
      </c>
      <c r="O33">
        <v>7</v>
      </c>
      <c r="P33">
        <v>10</v>
      </c>
      <c r="Q33">
        <v>12</v>
      </c>
      <c r="R33">
        <v>15</v>
      </c>
      <c r="S33">
        <v>6</v>
      </c>
      <c r="T33">
        <v>9</v>
      </c>
      <c r="U33">
        <v>11</v>
      </c>
      <c r="V33">
        <v>14</v>
      </c>
      <c r="W33">
        <v>17</v>
      </c>
      <c r="X33">
        <v>1</v>
      </c>
      <c r="Y33">
        <v>2</v>
      </c>
      <c r="Z33">
        <v>3</v>
      </c>
      <c r="AA33">
        <v>5</v>
      </c>
      <c r="AB33">
        <v>8</v>
      </c>
      <c r="AD33">
        <f t="shared" ref="AD33:AH33" si="103">SUMIFS($I33:$AB33,$I$2:$AB$2,AD$7)</f>
        <v>24</v>
      </c>
      <c r="AE33">
        <f t="shared" si="103"/>
        <v>34</v>
      </c>
      <c r="AF33">
        <f t="shared" si="103"/>
        <v>42</v>
      </c>
      <c r="AG33">
        <f t="shared" si="103"/>
        <v>50</v>
      </c>
      <c r="AH33">
        <f t="shared" si="103"/>
        <v>60</v>
      </c>
      <c r="AI33">
        <f t="shared" si="87"/>
        <v>134</v>
      </c>
      <c r="AJ33">
        <f t="shared" si="87"/>
        <v>76</v>
      </c>
      <c r="AK33">
        <f t="shared" si="88"/>
        <v>67</v>
      </c>
      <c r="AL33">
        <f t="shared" si="88"/>
        <v>143</v>
      </c>
      <c r="AN33" s="67">
        <f t="shared" ref="AN33:AV33" si="104">((AD33-MIN($AD33:$AL33))/(MAX($AD33:$AL33)-MIN($AD33:$AL33)))</f>
        <v>0</v>
      </c>
      <c r="AO33" s="67">
        <f t="shared" si="104"/>
        <v>8.4033613445378158E-2</v>
      </c>
      <c r="AP33" s="67">
        <f t="shared" si="104"/>
        <v>0.15126050420168066</v>
      </c>
      <c r="AQ33" s="67">
        <f t="shared" si="104"/>
        <v>0.21848739495798319</v>
      </c>
      <c r="AR33" s="67">
        <f t="shared" si="104"/>
        <v>0.30252100840336132</v>
      </c>
      <c r="AS33" s="67">
        <f t="shared" si="104"/>
        <v>0.92436974789915971</v>
      </c>
      <c r="AT33" s="67">
        <f t="shared" si="104"/>
        <v>0.43697478991596639</v>
      </c>
      <c r="AU33" s="67">
        <f t="shared" si="104"/>
        <v>0.36134453781512604</v>
      </c>
      <c r="AV33" s="67">
        <f t="shared" si="104"/>
        <v>1</v>
      </c>
      <c r="AX33">
        <f t="shared" si="4"/>
        <v>0.30252100840336132</v>
      </c>
      <c r="AY33">
        <f t="shared" si="14"/>
        <v>0.48739495798319332</v>
      </c>
      <c r="AZ33">
        <f t="shared" si="5"/>
        <v>0.6386554621848739</v>
      </c>
      <c r="BB33">
        <f t="shared" ref="BB33:BD33" si="105">AX33/SUM($AX33:$AZ33)</f>
        <v>0.21176470588235291</v>
      </c>
      <c r="BC33">
        <f t="shared" si="105"/>
        <v>0.3411764705882353</v>
      </c>
      <c r="BD33">
        <f t="shared" si="105"/>
        <v>0.44705882352941173</v>
      </c>
      <c r="BF33" t="str">
        <f t="shared" si="7"/>
        <v>Theme</v>
      </c>
      <c r="BG33" t="str">
        <f t="shared" si="8"/>
        <v>B</v>
      </c>
      <c r="BI33">
        <f t="shared" si="9"/>
        <v>3.5</v>
      </c>
      <c r="BJ33" t="str">
        <f t="shared" si="10"/>
        <v>Tennis</v>
      </c>
      <c r="BK33" t="str">
        <f t="shared" si="11"/>
        <v>B</v>
      </c>
      <c r="BS33">
        <f t="shared" si="32"/>
        <v>0.30252100840336132</v>
      </c>
      <c r="BT33">
        <f t="shared" si="16"/>
        <v>0.48739495798319332</v>
      </c>
      <c r="BU33">
        <f t="shared" si="17"/>
        <v>0.6386554621848739</v>
      </c>
      <c r="BW33">
        <f t="shared" si="18"/>
        <v>-0.88658687390872204</v>
      </c>
      <c r="BX33">
        <f t="shared" si="19"/>
        <v>1.0736817150330213</v>
      </c>
      <c r="BY33">
        <f t="shared" si="20"/>
        <v>1.3324785596931055</v>
      </c>
      <c r="CB33">
        <f t="shared" si="21"/>
        <v>2.2464182010020601</v>
      </c>
      <c r="CC33">
        <f t="shared" si="22"/>
        <v>3.105839265830372</v>
      </c>
      <c r="CD33">
        <f t="shared" si="23"/>
        <v>2.5500995180169297</v>
      </c>
      <c r="CE33">
        <f t="shared" si="24"/>
        <v>3.293192327500166</v>
      </c>
      <c r="CF33">
        <f t="shared" si="25"/>
        <v>0.42845849046232393</v>
      </c>
      <c r="CG33">
        <f t="shared" si="33"/>
        <v>0.42845849046232393</v>
      </c>
      <c r="CK33" t="str">
        <f t="shared" si="26"/>
        <v>Cluster 5</v>
      </c>
      <c r="CL33" t="str">
        <f t="shared" si="27"/>
        <v>B Tennis</v>
      </c>
      <c r="CM33" t="str">
        <f t="shared" si="37"/>
        <v>Tennis B</v>
      </c>
      <c r="CN33" t="str">
        <f t="shared" si="28"/>
        <v>Diff</v>
      </c>
    </row>
    <row r="34" spans="2:92">
      <c r="B34" s="61">
        <v>4.5</v>
      </c>
      <c r="C34" s="62"/>
      <c r="D34" s="63"/>
      <c r="E34" s="64"/>
      <c r="H34">
        <v>27</v>
      </c>
      <c r="I34">
        <v>1</v>
      </c>
      <c r="J34">
        <v>2</v>
      </c>
      <c r="K34">
        <v>3</v>
      </c>
      <c r="L34">
        <v>6</v>
      </c>
      <c r="M34">
        <v>9</v>
      </c>
      <c r="N34">
        <v>4</v>
      </c>
      <c r="O34">
        <v>7</v>
      </c>
      <c r="P34">
        <v>10</v>
      </c>
      <c r="Q34">
        <v>13</v>
      </c>
      <c r="R34">
        <v>16</v>
      </c>
      <c r="S34">
        <v>5</v>
      </c>
      <c r="T34">
        <v>8</v>
      </c>
      <c r="U34">
        <v>11</v>
      </c>
      <c r="V34">
        <v>14</v>
      </c>
      <c r="W34">
        <v>17</v>
      </c>
      <c r="X34">
        <v>12</v>
      </c>
      <c r="Y34">
        <v>15</v>
      </c>
      <c r="Z34">
        <v>18</v>
      </c>
      <c r="AA34">
        <v>19</v>
      </c>
      <c r="AB34">
        <v>20</v>
      </c>
      <c r="AD34">
        <f t="shared" ref="AD34:AH34" si="106">SUMIFS($I34:$AB34,$I$2:$AB$2,AD$7)</f>
        <v>22</v>
      </c>
      <c r="AE34">
        <f t="shared" si="106"/>
        <v>32</v>
      </c>
      <c r="AF34">
        <f t="shared" si="106"/>
        <v>42</v>
      </c>
      <c r="AG34">
        <f t="shared" si="106"/>
        <v>52</v>
      </c>
      <c r="AH34">
        <f t="shared" si="106"/>
        <v>62</v>
      </c>
      <c r="AI34">
        <f t="shared" si="87"/>
        <v>71</v>
      </c>
      <c r="AJ34">
        <f t="shared" si="87"/>
        <v>139</v>
      </c>
      <c r="AK34">
        <f t="shared" si="88"/>
        <v>134</v>
      </c>
      <c r="AL34">
        <f t="shared" si="88"/>
        <v>76</v>
      </c>
      <c r="AN34" s="67">
        <f t="shared" ref="AN34:AV34" si="107">((AD34-MIN($AD34:$AL34))/(MAX($AD34:$AL34)-MIN($AD34:$AL34)))</f>
        <v>0</v>
      </c>
      <c r="AO34" s="67">
        <f t="shared" si="107"/>
        <v>8.5470085470085472E-2</v>
      </c>
      <c r="AP34" s="67">
        <f t="shared" si="107"/>
        <v>0.17094017094017094</v>
      </c>
      <c r="AQ34" s="67">
        <f t="shared" si="107"/>
        <v>0.25641025641025639</v>
      </c>
      <c r="AR34" s="67">
        <f t="shared" si="107"/>
        <v>0.34188034188034189</v>
      </c>
      <c r="AS34" s="67">
        <f t="shared" si="107"/>
        <v>0.41880341880341881</v>
      </c>
      <c r="AT34" s="67">
        <f t="shared" si="107"/>
        <v>1</v>
      </c>
      <c r="AU34" s="67">
        <f t="shared" si="107"/>
        <v>0.95726495726495731</v>
      </c>
      <c r="AV34" s="67">
        <f t="shared" si="107"/>
        <v>0.46153846153846156</v>
      </c>
      <c r="AX34">
        <f t="shared" si="4"/>
        <v>0.34188034188034189</v>
      </c>
      <c r="AY34">
        <f t="shared" si="14"/>
        <v>0.58119658119658113</v>
      </c>
      <c r="AZ34">
        <f t="shared" si="5"/>
        <v>0.49572649572649574</v>
      </c>
      <c r="BB34">
        <f t="shared" ref="BB34:BD34" si="108">AX34/SUM($AX34:$AZ34)</f>
        <v>0.24096385542168677</v>
      </c>
      <c r="BC34">
        <f t="shared" si="108"/>
        <v>0.40963855421686746</v>
      </c>
      <c r="BD34">
        <f t="shared" si="108"/>
        <v>0.34939759036144585</v>
      </c>
      <c r="BF34" t="str">
        <f t="shared" si="7"/>
        <v xml:space="preserve">Brand </v>
      </c>
      <c r="BG34" t="str">
        <f t="shared" si="8"/>
        <v>Super Bowl</v>
      </c>
      <c r="BI34">
        <f t="shared" si="9"/>
        <v>3.5</v>
      </c>
      <c r="BJ34" t="str">
        <f t="shared" si="10"/>
        <v>Super Bowl</v>
      </c>
      <c r="BK34" t="str">
        <f t="shared" si="11"/>
        <v>A</v>
      </c>
      <c r="BS34">
        <f t="shared" si="32"/>
        <v>0.34188034188034189</v>
      </c>
      <c r="BT34">
        <f t="shared" si="16"/>
        <v>-0.58119658119658113</v>
      </c>
      <c r="BU34">
        <f t="shared" si="17"/>
        <v>-0.49572649572649574</v>
      </c>
      <c r="BW34">
        <f t="shared" si="18"/>
        <v>-0.53986808224257044</v>
      </c>
      <c r="BX34">
        <f t="shared" si="19"/>
        <v>-1.2628624873486129</v>
      </c>
      <c r="BY34">
        <f t="shared" si="20"/>
        <v>-1.0641500514417885</v>
      </c>
      <c r="CB34">
        <f t="shared" si="21"/>
        <v>2.1763758373755766</v>
      </c>
      <c r="CC34">
        <f t="shared" si="22"/>
        <v>2.9745424632431559</v>
      </c>
      <c r="CD34">
        <f t="shared" si="23"/>
        <v>2.3093173582565556</v>
      </c>
      <c r="CE34">
        <f t="shared" si="24"/>
        <v>0.11317281708711198</v>
      </c>
      <c r="CF34">
        <f t="shared" si="25"/>
        <v>3.2375612512415834</v>
      </c>
      <c r="CG34">
        <f t="shared" si="33"/>
        <v>0.11317281708711198</v>
      </c>
      <c r="CK34" t="str">
        <f t="shared" si="26"/>
        <v>Cluster 4</v>
      </c>
      <c r="CL34" t="str">
        <f t="shared" si="27"/>
        <v>A Super Bowl</v>
      </c>
      <c r="CM34" t="str">
        <f t="shared" si="37"/>
        <v>Super Bowl A</v>
      </c>
      <c r="CN34" t="str">
        <f t="shared" si="28"/>
        <v>Diff</v>
      </c>
    </row>
    <row r="35" spans="2:92">
      <c r="B35" s="65" t="s">
        <v>118</v>
      </c>
      <c r="C35" s="56"/>
      <c r="D35" s="57"/>
      <c r="E35" s="58"/>
      <c r="H35">
        <v>28</v>
      </c>
      <c r="I35">
        <v>1</v>
      </c>
      <c r="J35">
        <v>2</v>
      </c>
      <c r="K35">
        <v>4</v>
      </c>
      <c r="L35">
        <v>7</v>
      </c>
      <c r="M35">
        <v>10</v>
      </c>
      <c r="N35">
        <v>5</v>
      </c>
      <c r="O35">
        <v>8</v>
      </c>
      <c r="P35">
        <v>12</v>
      </c>
      <c r="Q35">
        <v>15</v>
      </c>
      <c r="R35">
        <v>18</v>
      </c>
      <c r="S35">
        <v>3</v>
      </c>
      <c r="T35">
        <v>6</v>
      </c>
      <c r="U35">
        <v>9</v>
      </c>
      <c r="V35">
        <v>13</v>
      </c>
      <c r="W35">
        <v>16</v>
      </c>
      <c r="X35">
        <v>11</v>
      </c>
      <c r="Y35">
        <v>14</v>
      </c>
      <c r="Z35">
        <v>17</v>
      </c>
      <c r="AA35">
        <v>19</v>
      </c>
      <c r="AB35">
        <v>20</v>
      </c>
      <c r="AD35">
        <f t="shared" ref="AD35:AH35" si="109">SUMIFS($I35:$AB35,$I$2:$AB$2,AD$7)</f>
        <v>20</v>
      </c>
      <c r="AE35">
        <f t="shared" si="109"/>
        <v>30</v>
      </c>
      <c r="AF35">
        <f t="shared" si="109"/>
        <v>42</v>
      </c>
      <c r="AG35">
        <f t="shared" si="109"/>
        <v>54</v>
      </c>
      <c r="AH35">
        <f t="shared" si="109"/>
        <v>64</v>
      </c>
      <c r="AI35">
        <f t="shared" si="87"/>
        <v>82</v>
      </c>
      <c r="AJ35">
        <f t="shared" si="87"/>
        <v>128</v>
      </c>
      <c r="AK35">
        <f t="shared" si="88"/>
        <v>139</v>
      </c>
      <c r="AL35">
        <f t="shared" si="88"/>
        <v>71</v>
      </c>
      <c r="AN35" s="67">
        <f t="shared" ref="AN35:AV35" si="110">((AD35-MIN($AD35:$AL35))/(MAX($AD35:$AL35)-MIN($AD35:$AL35)))</f>
        <v>0</v>
      </c>
      <c r="AO35" s="67">
        <f t="shared" si="110"/>
        <v>8.4033613445378158E-2</v>
      </c>
      <c r="AP35" s="67">
        <f t="shared" si="110"/>
        <v>0.18487394957983194</v>
      </c>
      <c r="AQ35" s="67">
        <f t="shared" si="110"/>
        <v>0.2857142857142857</v>
      </c>
      <c r="AR35" s="67">
        <f t="shared" si="110"/>
        <v>0.36974789915966388</v>
      </c>
      <c r="AS35" s="67">
        <f t="shared" si="110"/>
        <v>0.52100840336134457</v>
      </c>
      <c r="AT35" s="67">
        <f t="shared" si="110"/>
        <v>0.90756302521008403</v>
      </c>
      <c r="AU35" s="67">
        <f t="shared" si="110"/>
        <v>1</v>
      </c>
      <c r="AV35" s="67">
        <f t="shared" si="110"/>
        <v>0.42857142857142855</v>
      </c>
      <c r="AX35">
        <f t="shared" si="4"/>
        <v>0.36974789915966388</v>
      </c>
      <c r="AY35">
        <f t="shared" si="14"/>
        <v>0.38655462184873945</v>
      </c>
      <c r="AZ35">
        <f t="shared" si="5"/>
        <v>0.5714285714285714</v>
      </c>
      <c r="BB35">
        <f t="shared" ref="BB35:BD35" si="111">AX35/SUM($AX35:$AZ35)</f>
        <v>0.27848101265822789</v>
      </c>
      <c r="BC35">
        <f t="shared" si="111"/>
        <v>0.29113924050632911</v>
      </c>
      <c r="BD35">
        <f t="shared" si="111"/>
        <v>0.43037974683544306</v>
      </c>
      <c r="BF35" t="str">
        <f t="shared" si="7"/>
        <v>Theme</v>
      </c>
      <c r="BG35" t="str">
        <f t="shared" si="8"/>
        <v>A</v>
      </c>
      <c r="BI35">
        <f t="shared" si="9"/>
        <v>3.5</v>
      </c>
      <c r="BJ35" t="str">
        <f t="shared" si="10"/>
        <v>Super Bowl</v>
      </c>
      <c r="BK35" t="str">
        <f t="shared" si="11"/>
        <v>A</v>
      </c>
      <c r="BS35">
        <f t="shared" si="32"/>
        <v>0.36974789915966388</v>
      </c>
      <c r="BT35">
        <f t="shared" si="16"/>
        <v>-0.38655462184873945</v>
      </c>
      <c r="BU35">
        <f t="shared" si="17"/>
        <v>-0.5714285714285714</v>
      </c>
      <c r="BW35">
        <f t="shared" si="18"/>
        <v>-0.29438105456653607</v>
      </c>
      <c r="BX35">
        <f t="shared" si="19"/>
        <v>-0.83726531108471813</v>
      </c>
      <c r="BY35">
        <f t="shared" si="20"/>
        <v>-1.2240871513617693</v>
      </c>
      <c r="CB35">
        <f t="shared" si="21"/>
        <v>2.3737730894042519</v>
      </c>
      <c r="CC35">
        <f t="shared" si="22"/>
        <v>2.656646357599989</v>
      </c>
      <c r="CD35">
        <f t="shared" si="23"/>
        <v>1.8904094646814731</v>
      </c>
      <c r="CE35">
        <f t="shared" si="24"/>
        <v>0.42167333552192093</v>
      </c>
      <c r="CF35">
        <f t="shared" si="25"/>
        <v>3.0667663082888446</v>
      </c>
      <c r="CG35">
        <f t="shared" si="33"/>
        <v>0.42167333552192093</v>
      </c>
      <c r="CK35" t="str">
        <f t="shared" si="26"/>
        <v>Cluster 4</v>
      </c>
      <c r="CL35" t="str">
        <f t="shared" si="27"/>
        <v>A Super Bowl</v>
      </c>
      <c r="CM35" t="str">
        <f t="shared" si="37"/>
        <v>Super Bowl A</v>
      </c>
      <c r="CN35" t="str">
        <f t="shared" si="28"/>
        <v>Diff</v>
      </c>
    </row>
    <row r="36" spans="2:92">
      <c r="B36" s="66" t="s">
        <v>119</v>
      </c>
      <c r="C36" s="62"/>
      <c r="D36" s="63"/>
      <c r="E36" s="64"/>
      <c r="H36">
        <v>29</v>
      </c>
      <c r="I36">
        <v>12</v>
      </c>
      <c r="J36">
        <v>15</v>
      </c>
      <c r="K36">
        <v>18</v>
      </c>
      <c r="L36">
        <v>19</v>
      </c>
      <c r="M36">
        <v>20</v>
      </c>
      <c r="N36">
        <v>5</v>
      </c>
      <c r="O36">
        <v>8</v>
      </c>
      <c r="P36">
        <v>11</v>
      </c>
      <c r="Q36">
        <v>14</v>
      </c>
      <c r="R36">
        <v>17</v>
      </c>
      <c r="S36">
        <v>4</v>
      </c>
      <c r="T36">
        <v>7</v>
      </c>
      <c r="U36">
        <v>10</v>
      </c>
      <c r="V36">
        <v>13</v>
      </c>
      <c r="W36">
        <v>16</v>
      </c>
      <c r="X36">
        <v>1</v>
      </c>
      <c r="Y36">
        <v>2</v>
      </c>
      <c r="Z36">
        <v>3</v>
      </c>
      <c r="AA36">
        <v>6</v>
      </c>
      <c r="AB36">
        <v>9</v>
      </c>
      <c r="AD36">
        <f t="shared" ref="AD36:AH36" si="112">SUMIFS($I36:$AB36,$I$2:$AB$2,AD$7)</f>
        <v>22</v>
      </c>
      <c r="AE36">
        <f t="shared" si="112"/>
        <v>32</v>
      </c>
      <c r="AF36">
        <f t="shared" si="112"/>
        <v>42</v>
      </c>
      <c r="AG36">
        <f t="shared" si="112"/>
        <v>52</v>
      </c>
      <c r="AH36">
        <f t="shared" si="112"/>
        <v>62</v>
      </c>
      <c r="AI36">
        <f t="shared" si="87"/>
        <v>139</v>
      </c>
      <c r="AJ36">
        <f t="shared" si="87"/>
        <v>71</v>
      </c>
      <c r="AK36">
        <f t="shared" si="88"/>
        <v>76</v>
      </c>
      <c r="AL36">
        <f t="shared" si="88"/>
        <v>134</v>
      </c>
      <c r="AN36" s="67">
        <f t="shared" ref="AN36:AV36" si="113">((AD36-MIN($AD36:$AL36))/(MAX($AD36:$AL36)-MIN($AD36:$AL36)))</f>
        <v>0</v>
      </c>
      <c r="AO36" s="67">
        <f t="shared" si="113"/>
        <v>8.5470085470085472E-2</v>
      </c>
      <c r="AP36" s="67">
        <f t="shared" si="113"/>
        <v>0.17094017094017094</v>
      </c>
      <c r="AQ36" s="67">
        <f t="shared" si="113"/>
        <v>0.25641025641025639</v>
      </c>
      <c r="AR36" s="67">
        <f t="shared" si="113"/>
        <v>0.34188034188034189</v>
      </c>
      <c r="AS36" s="67">
        <f t="shared" si="113"/>
        <v>1</v>
      </c>
      <c r="AT36" s="67">
        <f t="shared" si="113"/>
        <v>0.41880341880341881</v>
      </c>
      <c r="AU36" s="67">
        <f t="shared" si="113"/>
        <v>0.46153846153846156</v>
      </c>
      <c r="AV36" s="67">
        <f t="shared" si="113"/>
        <v>0.95726495726495731</v>
      </c>
      <c r="AX36">
        <f t="shared" si="4"/>
        <v>0.34188034188034189</v>
      </c>
      <c r="AY36">
        <f t="shared" si="14"/>
        <v>0.58119658119658113</v>
      </c>
      <c r="AZ36">
        <f t="shared" si="5"/>
        <v>0.49572649572649574</v>
      </c>
      <c r="BB36">
        <f t="shared" ref="BB36:BD36" si="114">AX36/SUM($AX36:$AZ36)</f>
        <v>0.24096385542168677</v>
      </c>
      <c r="BC36">
        <f t="shared" si="114"/>
        <v>0.40963855421686746</v>
      </c>
      <c r="BD36">
        <f t="shared" si="114"/>
        <v>0.34939759036144585</v>
      </c>
      <c r="BF36" t="str">
        <f t="shared" si="7"/>
        <v xml:space="preserve">Brand </v>
      </c>
      <c r="BG36" t="str">
        <f t="shared" si="8"/>
        <v>Tennis</v>
      </c>
      <c r="BI36">
        <f t="shared" si="9"/>
        <v>3.5</v>
      </c>
      <c r="BJ36" t="str">
        <f t="shared" si="10"/>
        <v>Tennis</v>
      </c>
      <c r="BK36" t="str">
        <f t="shared" si="11"/>
        <v>B</v>
      </c>
      <c r="BS36">
        <f t="shared" si="32"/>
        <v>0.34188034188034189</v>
      </c>
      <c r="BT36">
        <f t="shared" si="16"/>
        <v>0.58119658119658113</v>
      </c>
      <c r="BU36">
        <f t="shared" si="17"/>
        <v>0.49572649572649574</v>
      </c>
      <c r="BW36">
        <f t="shared" si="18"/>
        <v>-0.53986808224257044</v>
      </c>
      <c r="BX36">
        <f t="shared" si="19"/>
        <v>1.2787850036679462</v>
      </c>
      <c r="BY36">
        <f t="shared" si="20"/>
        <v>1.0305100313811875</v>
      </c>
      <c r="CB36">
        <f t="shared" si="21"/>
        <v>2.4260824259108422</v>
      </c>
      <c r="CC36">
        <f t="shared" si="22"/>
        <v>2.7572059760959253</v>
      </c>
      <c r="CD36">
        <f t="shared" si="23"/>
        <v>2.2299392900829282</v>
      </c>
      <c r="CE36">
        <f t="shared" si="24"/>
        <v>3.2095853480938321</v>
      </c>
      <c r="CF36">
        <f t="shared" si="25"/>
        <v>0.1818276287519798</v>
      </c>
      <c r="CG36">
        <f t="shared" si="33"/>
        <v>0.1818276287519798</v>
      </c>
      <c r="CK36" t="str">
        <f t="shared" si="26"/>
        <v>Cluster 5</v>
      </c>
      <c r="CL36" t="str">
        <f t="shared" si="27"/>
        <v>B Tennis</v>
      </c>
      <c r="CM36" t="str">
        <f t="shared" si="37"/>
        <v>Tennis B</v>
      </c>
      <c r="CN36" t="str">
        <f t="shared" si="28"/>
        <v>Diff</v>
      </c>
    </row>
    <row r="37" spans="2:92">
      <c r="B37" s="65" t="s">
        <v>121</v>
      </c>
      <c r="C37" s="56"/>
      <c r="D37" s="57"/>
      <c r="E37" s="58"/>
      <c r="H37">
        <v>30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3</v>
      </c>
      <c r="O37">
        <v>6</v>
      </c>
      <c r="P37">
        <v>9</v>
      </c>
      <c r="Q37">
        <v>13</v>
      </c>
      <c r="R37">
        <v>16</v>
      </c>
      <c r="S37">
        <v>5</v>
      </c>
      <c r="T37">
        <v>8</v>
      </c>
      <c r="U37">
        <v>12</v>
      </c>
      <c r="V37">
        <v>15</v>
      </c>
      <c r="W37">
        <v>18</v>
      </c>
      <c r="X37">
        <v>1</v>
      </c>
      <c r="Y37">
        <v>2</v>
      </c>
      <c r="Z37">
        <v>4</v>
      </c>
      <c r="AA37">
        <v>7</v>
      </c>
      <c r="AB37">
        <v>10</v>
      </c>
      <c r="AD37">
        <f t="shared" ref="AD37:AH37" si="115">SUMIFS($I37:$AB37,$I$2:$AB$2,AD$7)</f>
        <v>20</v>
      </c>
      <c r="AE37">
        <f t="shared" si="115"/>
        <v>30</v>
      </c>
      <c r="AF37">
        <f t="shared" si="115"/>
        <v>42</v>
      </c>
      <c r="AG37">
        <f t="shared" si="115"/>
        <v>54</v>
      </c>
      <c r="AH37">
        <f t="shared" si="115"/>
        <v>64</v>
      </c>
      <c r="AI37">
        <f t="shared" si="87"/>
        <v>128</v>
      </c>
      <c r="AJ37">
        <f t="shared" si="87"/>
        <v>82</v>
      </c>
      <c r="AK37">
        <f t="shared" si="88"/>
        <v>71</v>
      </c>
      <c r="AL37">
        <f t="shared" si="88"/>
        <v>139</v>
      </c>
      <c r="AN37" s="67">
        <f t="shared" ref="AN37:AV37" si="116">((AD37-MIN($AD37:$AL37))/(MAX($AD37:$AL37)-MIN($AD37:$AL37)))</f>
        <v>0</v>
      </c>
      <c r="AO37" s="67">
        <f t="shared" si="116"/>
        <v>8.4033613445378158E-2</v>
      </c>
      <c r="AP37" s="67">
        <f t="shared" si="116"/>
        <v>0.18487394957983194</v>
      </c>
      <c r="AQ37" s="67">
        <f t="shared" si="116"/>
        <v>0.2857142857142857</v>
      </c>
      <c r="AR37" s="67">
        <f t="shared" si="116"/>
        <v>0.36974789915966388</v>
      </c>
      <c r="AS37" s="67">
        <f t="shared" si="116"/>
        <v>0.90756302521008403</v>
      </c>
      <c r="AT37" s="67">
        <f t="shared" si="116"/>
        <v>0.52100840336134457</v>
      </c>
      <c r="AU37" s="67">
        <f t="shared" si="116"/>
        <v>0.42857142857142855</v>
      </c>
      <c r="AV37" s="67">
        <f t="shared" si="116"/>
        <v>1</v>
      </c>
      <c r="AX37">
        <f t="shared" si="4"/>
        <v>0.36974789915966388</v>
      </c>
      <c r="AY37">
        <f t="shared" si="14"/>
        <v>0.38655462184873945</v>
      </c>
      <c r="AZ37">
        <f t="shared" si="5"/>
        <v>0.5714285714285714</v>
      </c>
      <c r="BB37">
        <f t="shared" ref="BB37:BD37" si="117">AX37/SUM($AX37:$AZ37)</f>
        <v>0.27848101265822789</v>
      </c>
      <c r="BC37">
        <f t="shared" si="117"/>
        <v>0.29113924050632911</v>
      </c>
      <c r="BD37">
        <f t="shared" si="117"/>
        <v>0.43037974683544306</v>
      </c>
      <c r="BF37" t="str">
        <f t="shared" si="7"/>
        <v>Theme</v>
      </c>
      <c r="BG37" t="str">
        <f t="shared" si="8"/>
        <v>B</v>
      </c>
      <c r="BI37">
        <f t="shared" si="9"/>
        <v>3.5</v>
      </c>
      <c r="BJ37" t="str">
        <f t="shared" si="10"/>
        <v>Tennis</v>
      </c>
      <c r="BK37" t="str">
        <f t="shared" si="11"/>
        <v>B</v>
      </c>
      <c r="BS37">
        <f t="shared" si="32"/>
        <v>0.36974789915966388</v>
      </c>
      <c r="BT37">
        <f t="shared" si="16"/>
        <v>0.38655462184873945</v>
      </c>
      <c r="BU37">
        <f t="shared" si="17"/>
        <v>0.5714285714285714</v>
      </c>
      <c r="BW37">
        <f t="shared" si="18"/>
        <v>-0.29438105456653607</v>
      </c>
      <c r="BX37">
        <f t="shared" si="19"/>
        <v>0.8531878274040513</v>
      </c>
      <c r="BY37">
        <f t="shared" si="20"/>
        <v>1.190447131301168</v>
      </c>
      <c r="CB37">
        <f t="shared" si="21"/>
        <v>2.025342057035409</v>
      </c>
      <c r="CC37">
        <f t="shared" si="22"/>
        <v>2.4772385181364762</v>
      </c>
      <c r="CD37">
        <f t="shared" si="23"/>
        <v>2.39227801585369</v>
      </c>
      <c r="CE37">
        <f t="shared" si="24"/>
        <v>3.0192780133248194</v>
      </c>
      <c r="CF37">
        <f t="shared" si="25"/>
        <v>0.35654737899181854</v>
      </c>
      <c r="CG37">
        <f t="shared" si="33"/>
        <v>0.35654737899181854</v>
      </c>
      <c r="CK37" t="str">
        <f t="shared" si="26"/>
        <v>Cluster 5</v>
      </c>
      <c r="CL37" t="str">
        <f t="shared" si="27"/>
        <v>B Tennis</v>
      </c>
      <c r="CM37" t="str">
        <f t="shared" si="37"/>
        <v>Tennis B</v>
      </c>
      <c r="CN37" t="str">
        <f t="shared" si="28"/>
        <v>Diff</v>
      </c>
    </row>
    <row r="38" spans="2:92">
      <c r="B38" s="66" t="s">
        <v>120</v>
      </c>
      <c r="C38" s="62"/>
      <c r="D38" s="63"/>
      <c r="E38" s="64"/>
      <c r="H38">
        <v>31</v>
      </c>
      <c r="I38">
        <v>12</v>
      </c>
      <c r="J38">
        <v>15</v>
      </c>
      <c r="K38">
        <v>18</v>
      </c>
      <c r="L38">
        <v>19</v>
      </c>
      <c r="M38">
        <v>20</v>
      </c>
      <c r="N38">
        <v>4</v>
      </c>
      <c r="O38">
        <v>7</v>
      </c>
      <c r="P38">
        <v>10</v>
      </c>
      <c r="Q38">
        <v>13</v>
      </c>
      <c r="R38">
        <v>16</v>
      </c>
      <c r="S38">
        <v>5</v>
      </c>
      <c r="T38">
        <v>8</v>
      </c>
      <c r="U38">
        <v>11</v>
      </c>
      <c r="V38">
        <v>14</v>
      </c>
      <c r="W38">
        <v>17</v>
      </c>
      <c r="X38">
        <v>1</v>
      </c>
      <c r="Y38">
        <v>2</v>
      </c>
      <c r="Z38">
        <v>3</v>
      </c>
      <c r="AA38">
        <v>6</v>
      </c>
      <c r="AB38">
        <v>9</v>
      </c>
      <c r="AD38">
        <f t="shared" ref="AD38:AH38" si="118">SUMIFS($I38:$AB38,$I$2:$AB$2,AD$7)</f>
        <v>22</v>
      </c>
      <c r="AE38">
        <f t="shared" si="118"/>
        <v>32</v>
      </c>
      <c r="AF38">
        <f t="shared" si="118"/>
        <v>42</v>
      </c>
      <c r="AG38">
        <f t="shared" si="118"/>
        <v>52</v>
      </c>
      <c r="AH38">
        <f t="shared" si="118"/>
        <v>62</v>
      </c>
      <c r="AI38">
        <f t="shared" si="87"/>
        <v>134</v>
      </c>
      <c r="AJ38">
        <f t="shared" si="87"/>
        <v>76</v>
      </c>
      <c r="AK38">
        <f t="shared" si="88"/>
        <v>71</v>
      </c>
      <c r="AL38">
        <f t="shared" si="88"/>
        <v>139</v>
      </c>
      <c r="AN38" s="67">
        <f t="shared" ref="AN38:AV38" si="119">((AD38-MIN($AD38:$AL38))/(MAX($AD38:$AL38)-MIN($AD38:$AL38)))</f>
        <v>0</v>
      </c>
      <c r="AO38" s="67">
        <f t="shared" si="119"/>
        <v>8.5470085470085472E-2</v>
      </c>
      <c r="AP38" s="67">
        <f t="shared" si="119"/>
        <v>0.17094017094017094</v>
      </c>
      <c r="AQ38" s="67">
        <f t="shared" si="119"/>
        <v>0.25641025641025639</v>
      </c>
      <c r="AR38" s="67">
        <f t="shared" si="119"/>
        <v>0.34188034188034189</v>
      </c>
      <c r="AS38" s="67">
        <f t="shared" si="119"/>
        <v>0.95726495726495731</v>
      </c>
      <c r="AT38" s="67">
        <f t="shared" si="119"/>
        <v>0.46153846153846156</v>
      </c>
      <c r="AU38" s="67">
        <f t="shared" si="119"/>
        <v>0.41880341880341881</v>
      </c>
      <c r="AV38" s="67">
        <f t="shared" si="119"/>
        <v>1</v>
      </c>
      <c r="AX38">
        <f t="shared" si="4"/>
        <v>0.34188034188034189</v>
      </c>
      <c r="AY38">
        <f t="shared" si="14"/>
        <v>0.49572649572649574</v>
      </c>
      <c r="AZ38">
        <f t="shared" si="5"/>
        <v>0.58119658119658113</v>
      </c>
      <c r="BB38">
        <f t="shared" ref="BB38:BD38" si="120">AX38/SUM($AX38:$AZ38)</f>
        <v>0.24096385542168677</v>
      </c>
      <c r="BC38">
        <f t="shared" si="120"/>
        <v>0.34939759036144585</v>
      </c>
      <c r="BD38">
        <f t="shared" si="120"/>
        <v>0.40963855421686746</v>
      </c>
      <c r="BF38" t="str">
        <f t="shared" si="7"/>
        <v>Theme</v>
      </c>
      <c r="BG38" t="str">
        <f t="shared" si="8"/>
        <v>B</v>
      </c>
      <c r="BI38">
        <f t="shared" si="9"/>
        <v>3.5</v>
      </c>
      <c r="BJ38" t="str">
        <f t="shared" si="10"/>
        <v>Tennis</v>
      </c>
      <c r="BK38" t="str">
        <f t="shared" si="11"/>
        <v>B</v>
      </c>
      <c r="BS38">
        <f t="shared" si="32"/>
        <v>0.34188034188034189</v>
      </c>
      <c r="BT38">
        <f t="shared" si="16"/>
        <v>0.49572649572649574</v>
      </c>
      <c r="BU38">
        <f t="shared" si="17"/>
        <v>0.58119658119658113</v>
      </c>
      <c r="BW38">
        <f t="shared" si="18"/>
        <v>-0.53986808224257044</v>
      </c>
      <c r="BX38">
        <f t="shared" si="19"/>
        <v>1.0918991587402582</v>
      </c>
      <c r="BY38">
        <f t="shared" si="20"/>
        <v>1.2110841764521332</v>
      </c>
      <c r="CB38">
        <f t="shared" si="21"/>
        <v>2.2404499393230286</v>
      </c>
      <c r="CC38">
        <f t="shared" si="22"/>
        <v>2.7630140008479001</v>
      </c>
      <c r="CD38">
        <f t="shared" si="23"/>
        <v>2.3984399897504991</v>
      </c>
      <c r="CE38">
        <f t="shared" si="24"/>
        <v>3.1940701834049778</v>
      </c>
      <c r="CF38">
        <f t="shared" si="25"/>
        <v>9.6668206824331415E-2</v>
      </c>
      <c r="CG38">
        <f t="shared" si="33"/>
        <v>9.6668206824331415E-2</v>
      </c>
      <c r="CK38" t="str">
        <f t="shared" si="26"/>
        <v>Cluster 5</v>
      </c>
      <c r="CL38" t="str">
        <f t="shared" si="27"/>
        <v>B Tennis</v>
      </c>
      <c r="CM38" t="str">
        <f t="shared" si="37"/>
        <v>Tennis B</v>
      </c>
      <c r="CN38" t="str">
        <f t="shared" si="28"/>
        <v>Diff</v>
      </c>
    </row>
    <row r="39" spans="2:92">
      <c r="H39">
        <v>32</v>
      </c>
      <c r="I39">
        <v>2</v>
      </c>
      <c r="J39">
        <v>6</v>
      </c>
      <c r="K39">
        <v>10</v>
      </c>
      <c r="L39">
        <v>14</v>
      </c>
      <c r="M39">
        <v>18</v>
      </c>
      <c r="N39">
        <v>4</v>
      </c>
      <c r="O39">
        <v>8</v>
      </c>
      <c r="P39">
        <v>12</v>
      </c>
      <c r="Q39">
        <v>16</v>
      </c>
      <c r="R39">
        <v>20</v>
      </c>
      <c r="S39">
        <v>2</v>
      </c>
      <c r="T39">
        <v>6</v>
      </c>
      <c r="U39">
        <v>10</v>
      </c>
      <c r="V39">
        <v>14</v>
      </c>
      <c r="W39">
        <v>18</v>
      </c>
      <c r="X39">
        <v>4</v>
      </c>
      <c r="Y39">
        <v>8</v>
      </c>
      <c r="Z39">
        <v>12</v>
      </c>
      <c r="AA39">
        <v>16</v>
      </c>
      <c r="AB39">
        <v>20</v>
      </c>
      <c r="AD39">
        <f t="shared" ref="AD39:AH39" si="121">SUMIFS($I39:$AB39,$I$2:$AB$2,AD$7)</f>
        <v>12</v>
      </c>
      <c r="AE39">
        <f t="shared" si="121"/>
        <v>28</v>
      </c>
      <c r="AF39">
        <f t="shared" si="121"/>
        <v>44</v>
      </c>
      <c r="AG39">
        <f t="shared" si="121"/>
        <v>60</v>
      </c>
      <c r="AH39">
        <f t="shared" si="121"/>
        <v>76</v>
      </c>
      <c r="AI39">
        <f t="shared" si="87"/>
        <v>110</v>
      </c>
      <c r="AJ39">
        <f t="shared" si="87"/>
        <v>110</v>
      </c>
      <c r="AK39">
        <f t="shared" si="88"/>
        <v>120</v>
      </c>
      <c r="AL39">
        <f t="shared" si="88"/>
        <v>100</v>
      </c>
      <c r="AN39" s="67">
        <f t="shared" ref="AN39:AV39" si="122">((AD39-MIN($AD39:$AL39))/(MAX($AD39:$AL39)-MIN($AD39:$AL39)))</f>
        <v>0</v>
      </c>
      <c r="AO39" s="67">
        <f t="shared" si="122"/>
        <v>0.14814814814814814</v>
      </c>
      <c r="AP39" s="67">
        <f t="shared" si="122"/>
        <v>0.29629629629629628</v>
      </c>
      <c r="AQ39" s="67">
        <f t="shared" si="122"/>
        <v>0.44444444444444442</v>
      </c>
      <c r="AR39" s="67">
        <f t="shared" si="122"/>
        <v>0.59259259259259256</v>
      </c>
      <c r="AS39" s="67">
        <f t="shared" si="122"/>
        <v>0.90740740740740744</v>
      </c>
      <c r="AT39" s="67">
        <f t="shared" si="122"/>
        <v>0.90740740740740744</v>
      </c>
      <c r="AU39" s="67">
        <f t="shared" si="122"/>
        <v>1</v>
      </c>
      <c r="AV39" s="67">
        <f t="shared" si="122"/>
        <v>0.81481481481481477</v>
      </c>
      <c r="AX39">
        <f t="shared" si="4"/>
        <v>0.59259259259259256</v>
      </c>
      <c r="AY39">
        <f t="shared" si="14"/>
        <v>0</v>
      </c>
      <c r="AZ39">
        <f t="shared" si="5"/>
        <v>0.18518518518518523</v>
      </c>
      <c r="BB39">
        <f t="shared" ref="BB39:BD39" si="123">AX39/SUM($AX39:$AZ39)</f>
        <v>0.76190476190476186</v>
      </c>
      <c r="BC39">
        <f t="shared" si="123"/>
        <v>0</v>
      </c>
      <c r="BD39">
        <f t="shared" si="123"/>
        <v>0.23809523809523814</v>
      </c>
      <c r="BF39" t="str">
        <f t="shared" si="7"/>
        <v>Price</v>
      </c>
      <c r="BG39">
        <f t="shared" si="8"/>
        <v>3.5</v>
      </c>
      <c r="BI39">
        <f t="shared" si="9"/>
        <v>3.5</v>
      </c>
      <c r="BJ39" t="str">
        <f t="shared" si="10"/>
        <v>Super Bowl</v>
      </c>
      <c r="BK39" t="str">
        <f t="shared" si="11"/>
        <v>A</v>
      </c>
      <c r="BS39">
        <f t="shared" si="32"/>
        <v>0.59259259259259256</v>
      </c>
      <c r="BT39">
        <f t="shared" si="16"/>
        <v>0</v>
      </c>
      <c r="BU39">
        <f t="shared" si="17"/>
        <v>-0.18518518518518523</v>
      </c>
      <c r="BW39">
        <f t="shared" si="18"/>
        <v>1.6686715688084861</v>
      </c>
      <c r="BX39">
        <f t="shared" si="19"/>
        <v>7.9612581596666537E-3</v>
      </c>
      <c r="BY39">
        <f t="shared" si="20"/>
        <v>-0.40806399101735069</v>
      </c>
      <c r="CB39">
        <f t="shared" si="21"/>
        <v>2.9735301007419594</v>
      </c>
      <c r="CC39">
        <f t="shared" si="22"/>
        <v>0.50057402705841503</v>
      </c>
      <c r="CD39">
        <f t="shared" si="23"/>
        <v>2.5167286281323902</v>
      </c>
      <c r="CE39">
        <f t="shared" si="24"/>
        <v>2.5296658873496298</v>
      </c>
      <c r="CF39">
        <f t="shared" si="25"/>
        <v>2.892007121753998</v>
      </c>
      <c r="CG39">
        <f t="shared" si="33"/>
        <v>0.50057402705841503</v>
      </c>
      <c r="CK39" t="str">
        <f t="shared" si="26"/>
        <v>Cluster 2</v>
      </c>
      <c r="CL39" t="str">
        <f t="shared" si="27"/>
        <v>Price Only</v>
      </c>
      <c r="CM39" t="str">
        <f t="shared" si="37"/>
        <v>Price Only</v>
      </c>
      <c r="CN39" t="str">
        <f t="shared" si="28"/>
        <v/>
      </c>
    </row>
    <row r="40" spans="2:92">
      <c r="H40">
        <v>33</v>
      </c>
      <c r="I40">
        <v>13</v>
      </c>
      <c r="J40">
        <v>16</v>
      </c>
      <c r="K40">
        <v>18</v>
      </c>
      <c r="L40">
        <v>19</v>
      </c>
      <c r="M40">
        <v>20</v>
      </c>
      <c r="N40">
        <v>4</v>
      </c>
      <c r="O40">
        <v>7</v>
      </c>
      <c r="P40">
        <v>10</v>
      </c>
      <c r="Q40">
        <v>12</v>
      </c>
      <c r="R40">
        <v>15</v>
      </c>
      <c r="S40">
        <v>6</v>
      </c>
      <c r="T40">
        <v>9</v>
      </c>
      <c r="U40">
        <v>11</v>
      </c>
      <c r="V40">
        <v>14</v>
      </c>
      <c r="W40">
        <v>17</v>
      </c>
      <c r="X40">
        <v>1</v>
      </c>
      <c r="Y40">
        <v>2</v>
      </c>
      <c r="Z40">
        <v>3</v>
      </c>
      <c r="AA40">
        <v>5</v>
      </c>
      <c r="AB40">
        <v>8</v>
      </c>
      <c r="AD40">
        <f t="shared" ref="AD40:AH40" si="124">SUMIFS($I40:$AB40,$I$2:$AB$2,AD$7)</f>
        <v>24</v>
      </c>
      <c r="AE40">
        <f t="shared" si="124"/>
        <v>34</v>
      </c>
      <c r="AF40">
        <f t="shared" si="124"/>
        <v>42</v>
      </c>
      <c r="AG40">
        <f t="shared" si="124"/>
        <v>50</v>
      </c>
      <c r="AH40">
        <f t="shared" si="124"/>
        <v>60</v>
      </c>
      <c r="AI40">
        <f t="shared" si="87"/>
        <v>134</v>
      </c>
      <c r="AJ40">
        <f t="shared" si="87"/>
        <v>76</v>
      </c>
      <c r="AK40">
        <f t="shared" si="88"/>
        <v>67</v>
      </c>
      <c r="AL40">
        <f t="shared" si="88"/>
        <v>143</v>
      </c>
      <c r="AN40" s="67">
        <f t="shared" ref="AN40:AV40" si="125">((AD40-MIN($AD40:$AL40))/(MAX($AD40:$AL40)-MIN($AD40:$AL40)))</f>
        <v>0</v>
      </c>
      <c r="AO40" s="67">
        <f t="shared" si="125"/>
        <v>8.4033613445378158E-2</v>
      </c>
      <c r="AP40" s="67">
        <f t="shared" si="125"/>
        <v>0.15126050420168066</v>
      </c>
      <c r="AQ40" s="67">
        <f t="shared" si="125"/>
        <v>0.21848739495798319</v>
      </c>
      <c r="AR40" s="67">
        <f t="shared" si="125"/>
        <v>0.30252100840336132</v>
      </c>
      <c r="AS40" s="67">
        <f t="shared" si="125"/>
        <v>0.92436974789915971</v>
      </c>
      <c r="AT40" s="67">
        <f t="shared" si="125"/>
        <v>0.43697478991596639</v>
      </c>
      <c r="AU40" s="67">
        <f t="shared" si="125"/>
        <v>0.36134453781512604</v>
      </c>
      <c r="AV40" s="67">
        <f t="shared" si="125"/>
        <v>1</v>
      </c>
      <c r="AX40">
        <f t="shared" si="4"/>
        <v>0.30252100840336132</v>
      </c>
      <c r="AY40">
        <f t="shared" si="14"/>
        <v>0.48739495798319332</v>
      </c>
      <c r="AZ40">
        <f t="shared" si="5"/>
        <v>0.6386554621848739</v>
      </c>
      <c r="BB40">
        <f t="shared" ref="BB40:BD40" si="126">AX40/SUM($AX40:$AZ40)</f>
        <v>0.21176470588235291</v>
      </c>
      <c r="BC40">
        <f t="shared" si="126"/>
        <v>0.3411764705882353</v>
      </c>
      <c r="BD40">
        <f t="shared" si="126"/>
        <v>0.44705882352941173</v>
      </c>
      <c r="BF40" t="str">
        <f t="shared" si="7"/>
        <v>Theme</v>
      </c>
      <c r="BG40" t="str">
        <f t="shared" si="8"/>
        <v>B</v>
      </c>
      <c r="BI40">
        <f t="shared" si="9"/>
        <v>3.5</v>
      </c>
      <c r="BJ40" t="str">
        <f t="shared" si="10"/>
        <v>Tennis</v>
      </c>
      <c r="BK40" t="str">
        <f t="shared" si="11"/>
        <v>B</v>
      </c>
      <c r="BS40">
        <f t="shared" si="32"/>
        <v>0.30252100840336132</v>
      </c>
      <c r="BT40">
        <f t="shared" si="16"/>
        <v>0.48739495798319332</v>
      </c>
      <c r="BU40">
        <f t="shared" si="17"/>
        <v>0.6386554621848739</v>
      </c>
      <c r="BW40">
        <f t="shared" si="18"/>
        <v>-0.88658687390872204</v>
      </c>
      <c r="BX40">
        <f t="shared" si="19"/>
        <v>1.0736817150330213</v>
      </c>
      <c r="BY40">
        <f t="shared" si="20"/>
        <v>1.3324785596931055</v>
      </c>
      <c r="CB40">
        <f t="shared" si="21"/>
        <v>2.2464182010020601</v>
      </c>
      <c r="CC40">
        <f t="shared" si="22"/>
        <v>3.105839265830372</v>
      </c>
      <c r="CD40">
        <f t="shared" si="23"/>
        <v>2.5500995180169297</v>
      </c>
      <c r="CE40">
        <f t="shared" si="24"/>
        <v>3.293192327500166</v>
      </c>
      <c r="CF40">
        <f t="shared" si="25"/>
        <v>0.42845849046232393</v>
      </c>
      <c r="CG40">
        <f t="shared" si="33"/>
        <v>0.42845849046232393</v>
      </c>
      <c r="CK40" t="str">
        <f t="shared" si="26"/>
        <v>Cluster 5</v>
      </c>
      <c r="CL40" t="str">
        <f t="shared" si="27"/>
        <v>B Tennis</v>
      </c>
      <c r="CM40" t="str">
        <f t="shared" si="37"/>
        <v>Tennis B</v>
      </c>
      <c r="CN40" t="str">
        <f t="shared" si="28"/>
        <v>Diff</v>
      </c>
    </row>
    <row r="41" spans="2:92">
      <c r="H41">
        <v>34</v>
      </c>
      <c r="I41">
        <v>1</v>
      </c>
      <c r="J41">
        <v>2</v>
      </c>
      <c r="K41">
        <v>3</v>
      </c>
      <c r="L41">
        <v>5</v>
      </c>
      <c r="M41">
        <v>8</v>
      </c>
      <c r="N41">
        <v>6</v>
      </c>
      <c r="O41">
        <v>9</v>
      </c>
      <c r="P41">
        <v>11</v>
      </c>
      <c r="Q41">
        <v>14</v>
      </c>
      <c r="R41">
        <v>17</v>
      </c>
      <c r="S41">
        <v>4</v>
      </c>
      <c r="T41">
        <v>7</v>
      </c>
      <c r="U41">
        <v>10</v>
      </c>
      <c r="V41">
        <v>12</v>
      </c>
      <c r="W41">
        <v>15</v>
      </c>
      <c r="X41">
        <v>13</v>
      </c>
      <c r="Y41">
        <v>16</v>
      </c>
      <c r="Z41">
        <v>18</v>
      </c>
      <c r="AA41">
        <v>19</v>
      </c>
      <c r="AB41">
        <v>20</v>
      </c>
      <c r="AD41">
        <f t="shared" ref="AD41:AH41" si="127">SUMIFS($I41:$AB41,$I$2:$AB$2,AD$7)</f>
        <v>24</v>
      </c>
      <c r="AE41">
        <f t="shared" si="127"/>
        <v>34</v>
      </c>
      <c r="AF41">
        <f t="shared" si="127"/>
        <v>42</v>
      </c>
      <c r="AG41">
        <f t="shared" si="127"/>
        <v>50</v>
      </c>
      <c r="AH41">
        <f t="shared" si="127"/>
        <v>60</v>
      </c>
      <c r="AI41">
        <f t="shared" si="87"/>
        <v>76</v>
      </c>
      <c r="AJ41">
        <f t="shared" si="87"/>
        <v>134</v>
      </c>
      <c r="AK41">
        <f t="shared" si="88"/>
        <v>143</v>
      </c>
      <c r="AL41">
        <f t="shared" si="88"/>
        <v>67</v>
      </c>
      <c r="AN41" s="67">
        <f t="shared" ref="AN41:AV41" si="128">((AD41-MIN($AD41:$AL41))/(MAX($AD41:$AL41)-MIN($AD41:$AL41)))</f>
        <v>0</v>
      </c>
      <c r="AO41" s="67">
        <f t="shared" si="128"/>
        <v>8.4033613445378158E-2</v>
      </c>
      <c r="AP41" s="67">
        <f t="shared" si="128"/>
        <v>0.15126050420168066</v>
      </c>
      <c r="AQ41" s="67">
        <f t="shared" si="128"/>
        <v>0.21848739495798319</v>
      </c>
      <c r="AR41" s="67">
        <f t="shared" si="128"/>
        <v>0.30252100840336132</v>
      </c>
      <c r="AS41" s="67">
        <f t="shared" si="128"/>
        <v>0.43697478991596639</v>
      </c>
      <c r="AT41" s="67">
        <f t="shared" si="128"/>
        <v>0.92436974789915971</v>
      </c>
      <c r="AU41" s="67">
        <f t="shared" si="128"/>
        <v>1</v>
      </c>
      <c r="AV41" s="67">
        <f t="shared" si="128"/>
        <v>0.36134453781512604</v>
      </c>
      <c r="AX41">
        <f t="shared" si="4"/>
        <v>0.30252100840336132</v>
      </c>
      <c r="AY41">
        <f t="shared" si="14"/>
        <v>0.48739495798319332</v>
      </c>
      <c r="AZ41">
        <f t="shared" si="5"/>
        <v>0.6386554621848739</v>
      </c>
      <c r="BB41">
        <f t="shared" ref="BB41:BD41" si="129">AX41/SUM($AX41:$AZ41)</f>
        <v>0.21176470588235291</v>
      </c>
      <c r="BC41">
        <f t="shared" si="129"/>
        <v>0.3411764705882353</v>
      </c>
      <c r="BD41">
        <f t="shared" si="129"/>
        <v>0.44705882352941173</v>
      </c>
      <c r="BF41" t="str">
        <f t="shared" si="7"/>
        <v>Theme</v>
      </c>
      <c r="BG41" t="str">
        <f t="shared" si="8"/>
        <v>A</v>
      </c>
      <c r="BI41">
        <f t="shared" si="9"/>
        <v>3.5</v>
      </c>
      <c r="BJ41" t="str">
        <f t="shared" si="10"/>
        <v>Super Bowl</v>
      </c>
      <c r="BK41" t="str">
        <f t="shared" si="11"/>
        <v>A</v>
      </c>
      <c r="BS41">
        <f t="shared" ref="BS41:BS72" si="130">AR41-AN41</f>
        <v>0.30252100840336132</v>
      </c>
      <c r="BT41">
        <f t="shared" ref="BT41:BT72" si="131">AS41-AT41</f>
        <v>-0.48739495798319332</v>
      </c>
      <c r="BU41">
        <f t="shared" ref="BU41:BU72" si="132">AV41-AU41</f>
        <v>-0.6386554621848739</v>
      </c>
      <c r="BW41">
        <f t="shared" ref="BW41:BW72" si="133">(BS41-$BW$4)/$BW$5</f>
        <v>-0.88658687390872204</v>
      </c>
      <c r="BX41">
        <f t="shared" ref="BX41:BX72" si="134">(BT41-$BX$4)/$BX$5</f>
        <v>-1.0577591987136883</v>
      </c>
      <c r="BY41">
        <f t="shared" ref="BY41:BY72" si="135">(BU41-$BY$4)/$BY$5</f>
        <v>-1.3661185797537068</v>
      </c>
      <c r="CB41">
        <f t="shared" ref="CB41:CB72" si="136">(($CB$3-BW41)^2+($CB$4-BX41)^2+($CB$5-BY41)^2)^(1/2)</f>
        <v>2.4902346097225885</v>
      </c>
      <c r="CC41">
        <f t="shared" ref="CC41:CC72" si="137">(($CC$3-BW41)^2+($CC$4-BX41)^2+($CC$5-BY41)^2)^(1/2)</f>
        <v>3.2827190207660486</v>
      </c>
      <c r="CD41">
        <f t="shared" ref="CD41:CD72" si="138">(($CD$3-BW41)^2+($CD$4-BX41)^2+($CD$5-BY41)^2)^(1/2)</f>
        <v>2.1451866894864131</v>
      </c>
      <c r="CE41">
        <f t="shared" ref="CE41:CE72" si="139">(($CE$3-BW41)^2+($CE$4-BX41)^2+($CE$5-BY41)^2)^(1/2)</f>
        <v>0.53346022069200494</v>
      </c>
      <c r="CF41">
        <f t="shared" ref="CF41:CF72" si="140">(($CF$3-BW41)^2+($CF$4-BX41)^2+($CF$5-BY41)^2)^(1/2)</f>
        <v>3.3306858796424912</v>
      </c>
      <c r="CG41">
        <f t="shared" si="33"/>
        <v>0.53346022069200494</v>
      </c>
      <c r="CK41" t="str">
        <f t="shared" si="26"/>
        <v>Cluster 4</v>
      </c>
      <c r="CL41" t="str">
        <f t="shared" ref="CL41:CL72" si="141">INDEX($CB$2:$CF$2,,MATCH(CK41,$CB$7:$CF$7,0))</f>
        <v>A Super Bowl</v>
      </c>
      <c r="CM41" t="str">
        <f t="shared" si="37"/>
        <v>Super Bowl A</v>
      </c>
      <c r="CN41" t="str">
        <f t="shared" ref="CN41:CN72" si="142">IF(CL41=CM41,"","Diff")</f>
        <v>Diff</v>
      </c>
    </row>
    <row r="42" spans="2:92">
      <c r="H42">
        <v>35</v>
      </c>
      <c r="I42">
        <v>1</v>
      </c>
      <c r="J42">
        <v>2</v>
      </c>
      <c r="K42">
        <v>4</v>
      </c>
      <c r="L42">
        <v>7</v>
      </c>
      <c r="M42">
        <v>10</v>
      </c>
      <c r="N42">
        <v>5</v>
      </c>
      <c r="O42">
        <v>8</v>
      </c>
      <c r="P42">
        <v>12</v>
      </c>
      <c r="Q42">
        <v>15</v>
      </c>
      <c r="R42">
        <v>18</v>
      </c>
      <c r="S42">
        <v>3</v>
      </c>
      <c r="T42">
        <v>6</v>
      </c>
      <c r="U42">
        <v>9</v>
      </c>
      <c r="V42">
        <v>13</v>
      </c>
      <c r="W42">
        <v>16</v>
      </c>
      <c r="X42">
        <v>11</v>
      </c>
      <c r="Y42">
        <v>14</v>
      </c>
      <c r="Z42">
        <v>17</v>
      </c>
      <c r="AA42">
        <v>19</v>
      </c>
      <c r="AB42">
        <v>20</v>
      </c>
      <c r="AD42">
        <f t="shared" ref="AD42:AH42" si="143">SUMIFS($I42:$AB42,$I$2:$AB$2,AD$7)</f>
        <v>20</v>
      </c>
      <c r="AE42">
        <f t="shared" si="143"/>
        <v>30</v>
      </c>
      <c r="AF42">
        <f t="shared" si="143"/>
        <v>42</v>
      </c>
      <c r="AG42">
        <f t="shared" si="143"/>
        <v>54</v>
      </c>
      <c r="AH42">
        <f t="shared" si="143"/>
        <v>64</v>
      </c>
      <c r="AI42">
        <f t="shared" si="87"/>
        <v>82</v>
      </c>
      <c r="AJ42">
        <f t="shared" si="87"/>
        <v>128</v>
      </c>
      <c r="AK42">
        <f t="shared" si="88"/>
        <v>139</v>
      </c>
      <c r="AL42">
        <f t="shared" si="88"/>
        <v>71</v>
      </c>
      <c r="AN42" s="67">
        <f t="shared" ref="AN42:AV42" si="144">((AD42-MIN($AD42:$AL42))/(MAX($AD42:$AL42)-MIN($AD42:$AL42)))</f>
        <v>0</v>
      </c>
      <c r="AO42" s="67">
        <f t="shared" si="144"/>
        <v>8.4033613445378158E-2</v>
      </c>
      <c r="AP42" s="67">
        <f t="shared" si="144"/>
        <v>0.18487394957983194</v>
      </c>
      <c r="AQ42" s="67">
        <f t="shared" si="144"/>
        <v>0.2857142857142857</v>
      </c>
      <c r="AR42" s="67">
        <f t="shared" si="144"/>
        <v>0.36974789915966388</v>
      </c>
      <c r="AS42" s="67">
        <f t="shared" si="144"/>
        <v>0.52100840336134457</v>
      </c>
      <c r="AT42" s="67">
        <f t="shared" si="144"/>
        <v>0.90756302521008403</v>
      </c>
      <c r="AU42" s="67">
        <f t="shared" si="144"/>
        <v>1</v>
      </c>
      <c r="AV42" s="67">
        <f t="shared" si="144"/>
        <v>0.42857142857142855</v>
      </c>
      <c r="AX42">
        <f t="shared" si="4"/>
        <v>0.36974789915966388</v>
      </c>
      <c r="AY42">
        <f t="shared" si="14"/>
        <v>0.38655462184873945</v>
      </c>
      <c r="AZ42">
        <f t="shared" si="5"/>
        <v>0.5714285714285714</v>
      </c>
      <c r="BB42">
        <f t="shared" ref="BB42:BD42" si="145">AX42/SUM($AX42:$AZ42)</f>
        <v>0.27848101265822789</v>
      </c>
      <c r="BC42">
        <f t="shared" si="145"/>
        <v>0.29113924050632911</v>
      </c>
      <c r="BD42">
        <f t="shared" si="145"/>
        <v>0.43037974683544306</v>
      </c>
      <c r="BF42" t="str">
        <f t="shared" si="7"/>
        <v>Theme</v>
      </c>
      <c r="BG42" t="str">
        <f t="shared" si="8"/>
        <v>A</v>
      </c>
      <c r="BI42">
        <f t="shared" si="9"/>
        <v>3.5</v>
      </c>
      <c r="BJ42" t="str">
        <f t="shared" si="10"/>
        <v>Super Bowl</v>
      </c>
      <c r="BK42" t="str">
        <f t="shared" si="11"/>
        <v>A</v>
      </c>
      <c r="BS42">
        <f t="shared" si="130"/>
        <v>0.36974789915966388</v>
      </c>
      <c r="BT42">
        <f t="shared" si="131"/>
        <v>-0.38655462184873945</v>
      </c>
      <c r="BU42">
        <f t="shared" si="132"/>
        <v>-0.5714285714285714</v>
      </c>
      <c r="BW42">
        <f t="shared" si="133"/>
        <v>-0.29438105456653607</v>
      </c>
      <c r="BX42">
        <f t="shared" si="134"/>
        <v>-0.83726531108471813</v>
      </c>
      <c r="BY42">
        <f t="shared" si="135"/>
        <v>-1.2240871513617693</v>
      </c>
      <c r="CB42">
        <f t="shared" si="136"/>
        <v>2.3737730894042519</v>
      </c>
      <c r="CC42">
        <f t="shared" si="137"/>
        <v>2.656646357599989</v>
      </c>
      <c r="CD42">
        <f t="shared" si="138"/>
        <v>1.8904094646814731</v>
      </c>
      <c r="CE42">
        <f t="shared" si="139"/>
        <v>0.42167333552192093</v>
      </c>
      <c r="CF42">
        <f t="shared" si="140"/>
        <v>3.0667663082888446</v>
      </c>
      <c r="CG42">
        <f t="shared" si="33"/>
        <v>0.42167333552192093</v>
      </c>
      <c r="CK42" t="str">
        <f t="shared" si="26"/>
        <v>Cluster 4</v>
      </c>
      <c r="CL42" t="str">
        <f t="shared" si="141"/>
        <v>A Super Bowl</v>
      </c>
      <c r="CM42" t="str">
        <f t="shared" si="37"/>
        <v>Super Bowl A</v>
      </c>
      <c r="CN42" t="str">
        <f t="shared" si="142"/>
        <v>Diff</v>
      </c>
    </row>
    <row r="43" spans="2:92">
      <c r="H43">
        <v>36</v>
      </c>
      <c r="I43">
        <v>11</v>
      </c>
      <c r="J43">
        <v>14</v>
      </c>
      <c r="K43">
        <v>17</v>
      </c>
      <c r="L43">
        <v>19</v>
      </c>
      <c r="M43">
        <v>20</v>
      </c>
      <c r="N43">
        <v>3</v>
      </c>
      <c r="O43">
        <v>6</v>
      </c>
      <c r="P43">
        <v>9</v>
      </c>
      <c r="Q43">
        <v>13</v>
      </c>
      <c r="R43">
        <v>16</v>
      </c>
      <c r="S43">
        <v>5</v>
      </c>
      <c r="T43">
        <v>8</v>
      </c>
      <c r="U43">
        <v>12</v>
      </c>
      <c r="V43">
        <v>15</v>
      </c>
      <c r="W43">
        <v>18</v>
      </c>
      <c r="X43">
        <v>1</v>
      </c>
      <c r="Y43">
        <v>2</v>
      </c>
      <c r="Z43">
        <v>4</v>
      </c>
      <c r="AA43">
        <v>7</v>
      </c>
      <c r="AB43">
        <v>10</v>
      </c>
      <c r="AD43">
        <f t="shared" ref="AD43:AH43" si="146">SUMIFS($I43:$AB43,$I$2:$AB$2,AD$7)</f>
        <v>20</v>
      </c>
      <c r="AE43">
        <f t="shared" si="146"/>
        <v>30</v>
      </c>
      <c r="AF43">
        <f t="shared" si="146"/>
        <v>42</v>
      </c>
      <c r="AG43">
        <f t="shared" si="146"/>
        <v>54</v>
      </c>
      <c r="AH43">
        <f t="shared" si="146"/>
        <v>64</v>
      </c>
      <c r="AI43">
        <f t="shared" si="87"/>
        <v>128</v>
      </c>
      <c r="AJ43">
        <f t="shared" si="87"/>
        <v>82</v>
      </c>
      <c r="AK43">
        <f t="shared" si="88"/>
        <v>71</v>
      </c>
      <c r="AL43">
        <f t="shared" si="88"/>
        <v>139</v>
      </c>
      <c r="AN43" s="67">
        <f t="shared" ref="AN43:AV43" si="147">((AD43-MIN($AD43:$AL43))/(MAX($AD43:$AL43)-MIN($AD43:$AL43)))</f>
        <v>0</v>
      </c>
      <c r="AO43" s="67">
        <f t="shared" si="147"/>
        <v>8.4033613445378158E-2</v>
      </c>
      <c r="AP43" s="67">
        <f t="shared" si="147"/>
        <v>0.18487394957983194</v>
      </c>
      <c r="AQ43" s="67">
        <f t="shared" si="147"/>
        <v>0.2857142857142857</v>
      </c>
      <c r="AR43" s="67">
        <f t="shared" si="147"/>
        <v>0.36974789915966388</v>
      </c>
      <c r="AS43" s="67">
        <f t="shared" si="147"/>
        <v>0.90756302521008403</v>
      </c>
      <c r="AT43" s="67">
        <f t="shared" si="147"/>
        <v>0.52100840336134457</v>
      </c>
      <c r="AU43" s="67">
        <f t="shared" si="147"/>
        <v>0.42857142857142855</v>
      </c>
      <c r="AV43" s="67">
        <f t="shared" si="147"/>
        <v>1</v>
      </c>
      <c r="AX43">
        <f t="shared" si="4"/>
        <v>0.36974789915966388</v>
      </c>
      <c r="AY43">
        <f t="shared" si="14"/>
        <v>0.38655462184873945</v>
      </c>
      <c r="AZ43">
        <f t="shared" si="5"/>
        <v>0.5714285714285714</v>
      </c>
      <c r="BB43">
        <f t="shared" ref="BB43:BD43" si="148">AX43/SUM($AX43:$AZ43)</f>
        <v>0.27848101265822789</v>
      </c>
      <c r="BC43">
        <f t="shared" si="148"/>
        <v>0.29113924050632911</v>
      </c>
      <c r="BD43">
        <f t="shared" si="148"/>
        <v>0.43037974683544306</v>
      </c>
      <c r="BF43" t="str">
        <f t="shared" si="7"/>
        <v>Theme</v>
      </c>
      <c r="BG43" t="str">
        <f t="shared" si="8"/>
        <v>B</v>
      </c>
      <c r="BI43">
        <f t="shared" si="9"/>
        <v>3.5</v>
      </c>
      <c r="BJ43" t="str">
        <f t="shared" si="10"/>
        <v>Tennis</v>
      </c>
      <c r="BK43" t="str">
        <f t="shared" si="11"/>
        <v>B</v>
      </c>
      <c r="BS43">
        <f t="shared" si="130"/>
        <v>0.36974789915966388</v>
      </c>
      <c r="BT43">
        <f t="shared" si="131"/>
        <v>0.38655462184873945</v>
      </c>
      <c r="BU43">
        <f t="shared" si="132"/>
        <v>0.5714285714285714</v>
      </c>
      <c r="BW43">
        <f t="shared" si="133"/>
        <v>-0.29438105456653607</v>
      </c>
      <c r="BX43">
        <f t="shared" si="134"/>
        <v>0.8531878274040513</v>
      </c>
      <c r="BY43">
        <f t="shared" si="135"/>
        <v>1.190447131301168</v>
      </c>
      <c r="CB43">
        <f t="shared" si="136"/>
        <v>2.025342057035409</v>
      </c>
      <c r="CC43">
        <f t="shared" si="137"/>
        <v>2.4772385181364762</v>
      </c>
      <c r="CD43">
        <f t="shared" si="138"/>
        <v>2.39227801585369</v>
      </c>
      <c r="CE43">
        <f t="shared" si="139"/>
        <v>3.0192780133248194</v>
      </c>
      <c r="CF43">
        <f t="shared" si="140"/>
        <v>0.35654737899181854</v>
      </c>
      <c r="CG43">
        <f t="shared" si="33"/>
        <v>0.35654737899181854</v>
      </c>
      <c r="CK43" t="str">
        <f t="shared" si="26"/>
        <v>Cluster 5</v>
      </c>
      <c r="CL43" t="str">
        <f t="shared" si="141"/>
        <v>B Tennis</v>
      </c>
      <c r="CM43" t="str">
        <f t="shared" ref="CM43:CM74" si="149">IF(BG43=3.5,"Price Only",BJ43&amp;" "&amp;BK43)</f>
        <v>Tennis B</v>
      </c>
      <c r="CN43" t="str">
        <f t="shared" si="142"/>
        <v>Diff</v>
      </c>
    </row>
    <row r="44" spans="2:92">
      <c r="H44">
        <v>37</v>
      </c>
      <c r="I44">
        <v>4</v>
      </c>
      <c r="J44">
        <v>7</v>
      </c>
      <c r="K44">
        <v>10</v>
      </c>
      <c r="L44">
        <v>13</v>
      </c>
      <c r="M44">
        <v>16</v>
      </c>
      <c r="N44">
        <v>1</v>
      </c>
      <c r="O44">
        <v>2</v>
      </c>
      <c r="P44">
        <v>4</v>
      </c>
      <c r="Q44">
        <v>7</v>
      </c>
      <c r="R44">
        <v>10</v>
      </c>
      <c r="S44">
        <v>13</v>
      </c>
      <c r="T44">
        <v>16</v>
      </c>
      <c r="U44">
        <v>18</v>
      </c>
      <c r="V44">
        <v>19</v>
      </c>
      <c r="W44">
        <v>20</v>
      </c>
      <c r="X44">
        <v>7</v>
      </c>
      <c r="Y44">
        <v>10</v>
      </c>
      <c r="Z44">
        <v>13</v>
      </c>
      <c r="AA44">
        <v>16</v>
      </c>
      <c r="AB44">
        <v>18</v>
      </c>
      <c r="AD44">
        <f t="shared" ref="AD44:AH44" si="150">SUMIFS($I44:$AB44,$I$2:$AB$2,AD$7)</f>
        <v>25</v>
      </c>
      <c r="AE44">
        <f t="shared" si="150"/>
        <v>35</v>
      </c>
      <c r="AF44">
        <f t="shared" si="150"/>
        <v>45</v>
      </c>
      <c r="AG44">
        <f t="shared" si="150"/>
        <v>55</v>
      </c>
      <c r="AH44">
        <f t="shared" si="150"/>
        <v>64</v>
      </c>
      <c r="AI44">
        <f t="shared" si="87"/>
        <v>74</v>
      </c>
      <c r="AJ44">
        <f t="shared" si="87"/>
        <v>150</v>
      </c>
      <c r="AK44">
        <f t="shared" si="88"/>
        <v>88</v>
      </c>
      <c r="AL44">
        <f t="shared" si="88"/>
        <v>136</v>
      </c>
      <c r="AN44" s="67">
        <f t="shared" ref="AN44:AV44" si="151">((AD44-MIN($AD44:$AL44))/(MAX($AD44:$AL44)-MIN($AD44:$AL44)))</f>
        <v>0</v>
      </c>
      <c r="AO44" s="67">
        <f t="shared" si="151"/>
        <v>0.08</v>
      </c>
      <c r="AP44" s="67">
        <f t="shared" si="151"/>
        <v>0.16</v>
      </c>
      <c r="AQ44" s="67">
        <f t="shared" si="151"/>
        <v>0.24</v>
      </c>
      <c r="AR44" s="67">
        <f t="shared" si="151"/>
        <v>0.312</v>
      </c>
      <c r="AS44" s="67">
        <f t="shared" si="151"/>
        <v>0.39200000000000002</v>
      </c>
      <c r="AT44" s="67">
        <f t="shared" si="151"/>
        <v>1</v>
      </c>
      <c r="AU44" s="67">
        <f t="shared" si="151"/>
        <v>0.504</v>
      </c>
      <c r="AV44" s="67">
        <f t="shared" si="151"/>
        <v>0.88800000000000001</v>
      </c>
      <c r="AX44">
        <f t="shared" si="4"/>
        <v>0.312</v>
      </c>
      <c r="AY44">
        <f t="shared" si="14"/>
        <v>0.60799999999999998</v>
      </c>
      <c r="AZ44">
        <f t="shared" si="5"/>
        <v>0.38400000000000001</v>
      </c>
      <c r="BB44">
        <f t="shared" ref="BB44:BD44" si="152">AX44/SUM($AX44:$AZ44)</f>
        <v>0.23926380368098163</v>
      </c>
      <c r="BC44">
        <f t="shared" si="152"/>
        <v>0.46625766871165647</v>
      </c>
      <c r="BD44">
        <f t="shared" si="152"/>
        <v>0.29447852760736198</v>
      </c>
      <c r="BF44" t="str">
        <f t="shared" si="7"/>
        <v xml:space="preserve">Brand </v>
      </c>
      <c r="BG44" t="str">
        <f t="shared" si="8"/>
        <v>Super Bowl</v>
      </c>
      <c r="BI44">
        <f t="shared" si="9"/>
        <v>3.5</v>
      </c>
      <c r="BJ44" t="str">
        <f t="shared" si="10"/>
        <v>Super Bowl</v>
      </c>
      <c r="BK44" t="str">
        <f t="shared" si="11"/>
        <v>B</v>
      </c>
      <c r="BS44">
        <f t="shared" si="130"/>
        <v>0.312</v>
      </c>
      <c r="BT44">
        <f t="shared" si="131"/>
        <v>-0.60799999999999998</v>
      </c>
      <c r="BU44">
        <f t="shared" si="132"/>
        <v>0.38400000000000001</v>
      </c>
      <c r="BW44">
        <f t="shared" si="133"/>
        <v>-0.80308585338147365</v>
      </c>
      <c r="BX44">
        <f t="shared" si="134"/>
        <v>-1.3214698883179361</v>
      </c>
      <c r="BY44">
        <f t="shared" si="135"/>
        <v>0.79446350894444651</v>
      </c>
      <c r="CB44">
        <f t="shared" si="136"/>
        <v>0.40581519795702442</v>
      </c>
      <c r="CC44">
        <f t="shared" si="137"/>
        <v>3.1173432423585128</v>
      </c>
      <c r="CD44">
        <f t="shared" si="138"/>
        <v>3.1001638344241833</v>
      </c>
      <c r="CE44">
        <f t="shared" si="139"/>
        <v>1.8716431547916048</v>
      </c>
      <c r="CF44">
        <f t="shared" si="140"/>
        <v>2.484128737368601</v>
      </c>
      <c r="CG44">
        <f t="shared" si="33"/>
        <v>0.40581519795702442</v>
      </c>
      <c r="CK44" t="str">
        <f t="shared" si="26"/>
        <v>Cluster 1</v>
      </c>
      <c r="CL44" t="str">
        <f t="shared" si="141"/>
        <v>B Super Bowl</v>
      </c>
      <c r="CM44" t="str">
        <f t="shared" si="149"/>
        <v>Super Bowl B</v>
      </c>
      <c r="CN44" t="str">
        <f t="shared" si="142"/>
        <v>Diff</v>
      </c>
    </row>
    <row r="45" spans="2:92">
      <c r="H45">
        <v>38</v>
      </c>
      <c r="I45">
        <v>12</v>
      </c>
      <c r="J45">
        <v>15</v>
      </c>
      <c r="K45">
        <v>18</v>
      </c>
      <c r="L45">
        <v>19</v>
      </c>
      <c r="M45">
        <v>20</v>
      </c>
      <c r="N45">
        <v>5</v>
      </c>
      <c r="O45">
        <v>8</v>
      </c>
      <c r="P45">
        <v>11</v>
      </c>
      <c r="Q45">
        <v>14</v>
      </c>
      <c r="R45">
        <v>17</v>
      </c>
      <c r="S45">
        <v>4</v>
      </c>
      <c r="T45">
        <v>7</v>
      </c>
      <c r="U45">
        <v>10</v>
      </c>
      <c r="V45">
        <v>13</v>
      </c>
      <c r="W45">
        <v>16</v>
      </c>
      <c r="X45">
        <v>1</v>
      </c>
      <c r="Y45">
        <v>2</v>
      </c>
      <c r="Z45">
        <v>3</v>
      </c>
      <c r="AA45">
        <v>6</v>
      </c>
      <c r="AB45">
        <v>9</v>
      </c>
      <c r="AD45">
        <f t="shared" ref="AD45:AH45" si="153">SUMIFS($I45:$AB45,$I$2:$AB$2,AD$7)</f>
        <v>22</v>
      </c>
      <c r="AE45">
        <f t="shared" si="153"/>
        <v>32</v>
      </c>
      <c r="AF45">
        <f t="shared" si="153"/>
        <v>42</v>
      </c>
      <c r="AG45">
        <f t="shared" si="153"/>
        <v>52</v>
      </c>
      <c r="AH45">
        <f t="shared" si="153"/>
        <v>62</v>
      </c>
      <c r="AI45">
        <f t="shared" si="87"/>
        <v>139</v>
      </c>
      <c r="AJ45">
        <f t="shared" si="87"/>
        <v>71</v>
      </c>
      <c r="AK45">
        <f t="shared" si="88"/>
        <v>76</v>
      </c>
      <c r="AL45">
        <f t="shared" si="88"/>
        <v>134</v>
      </c>
      <c r="AN45" s="67">
        <f t="shared" ref="AN45:AV45" si="154">((AD45-MIN($AD45:$AL45))/(MAX($AD45:$AL45)-MIN($AD45:$AL45)))</f>
        <v>0</v>
      </c>
      <c r="AO45" s="67">
        <f t="shared" si="154"/>
        <v>8.5470085470085472E-2</v>
      </c>
      <c r="AP45" s="67">
        <f t="shared" si="154"/>
        <v>0.17094017094017094</v>
      </c>
      <c r="AQ45" s="67">
        <f t="shared" si="154"/>
        <v>0.25641025641025639</v>
      </c>
      <c r="AR45" s="67">
        <f t="shared" si="154"/>
        <v>0.34188034188034189</v>
      </c>
      <c r="AS45" s="67">
        <f t="shared" si="154"/>
        <v>1</v>
      </c>
      <c r="AT45" s="67">
        <f t="shared" si="154"/>
        <v>0.41880341880341881</v>
      </c>
      <c r="AU45" s="67">
        <f t="shared" si="154"/>
        <v>0.46153846153846156</v>
      </c>
      <c r="AV45" s="67">
        <f t="shared" si="154"/>
        <v>0.95726495726495731</v>
      </c>
      <c r="AX45">
        <f t="shared" si="4"/>
        <v>0.34188034188034189</v>
      </c>
      <c r="AY45">
        <f t="shared" si="14"/>
        <v>0.58119658119658113</v>
      </c>
      <c r="AZ45">
        <f t="shared" si="5"/>
        <v>0.49572649572649574</v>
      </c>
      <c r="BB45">
        <f t="shared" ref="BB45:BD45" si="155">AX45/SUM($AX45:$AZ45)</f>
        <v>0.24096385542168677</v>
      </c>
      <c r="BC45">
        <f t="shared" si="155"/>
        <v>0.40963855421686746</v>
      </c>
      <c r="BD45">
        <f t="shared" si="155"/>
        <v>0.34939759036144585</v>
      </c>
      <c r="BF45" t="str">
        <f t="shared" si="7"/>
        <v xml:space="preserve">Brand </v>
      </c>
      <c r="BG45" t="str">
        <f t="shared" si="8"/>
        <v>Tennis</v>
      </c>
      <c r="BI45">
        <f t="shared" si="9"/>
        <v>3.5</v>
      </c>
      <c r="BJ45" t="str">
        <f t="shared" si="10"/>
        <v>Tennis</v>
      </c>
      <c r="BK45" t="str">
        <f t="shared" si="11"/>
        <v>B</v>
      </c>
      <c r="BS45">
        <f t="shared" si="130"/>
        <v>0.34188034188034189</v>
      </c>
      <c r="BT45">
        <f t="shared" si="131"/>
        <v>0.58119658119658113</v>
      </c>
      <c r="BU45">
        <f t="shared" si="132"/>
        <v>0.49572649572649574</v>
      </c>
      <c r="BW45">
        <f t="shared" si="133"/>
        <v>-0.53986808224257044</v>
      </c>
      <c r="BX45">
        <f t="shared" si="134"/>
        <v>1.2787850036679462</v>
      </c>
      <c r="BY45">
        <f t="shared" si="135"/>
        <v>1.0305100313811875</v>
      </c>
      <c r="CB45">
        <f t="shared" si="136"/>
        <v>2.4260824259108422</v>
      </c>
      <c r="CC45">
        <f t="shared" si="137"/>
        <v>2.7572059760959253</v>
      </c>
      <c r="CD45">
        <f t="shared" si="138"/>
        <v>2.2299392900829282</v>
      </c>
      <c r="CE45">
        <f t="shared" si="139"/>
        <v>3.2095853480938321</v>
      </c>
      <c r="CF45">
        <f t="shared" si="140"/>
        <v>0.1818276287519798</v>
      </c>
      <c r="CG45">
        <f t="shared" si="33"/>
        <v>0.1818276287519798</v>
      </c>
      <c r="CK45" t="str">
        <f t="shared" si="26"/>
        <v>Cluster 5</v>
      </c>
      <c r="CL45" t="str">
        <f t="shared" si="141"/>
        <v>B Tennis</v>
      </c>
      <c r="CM45" t="str">
        <f t="shared" si="149"/>
        <v>Tennis B</v>
      </c>
      <c r="CN45" t="str">
        <f t="shared" si="142"/>
        <v>Diff</v>
      </c>
    </row>
    <row r="46" spans="2:92">
      <c r="H46">
        <v>39</v>
      </c>
      <c r="I46">
        <v>11</v>
      </c>
      <c r="J46">
        <v>14</v>
      </c>
      <c r="K46">
        <v>17</v>
      </c>
      <c r="L46">
        <v>19</v>
      </c>
      <c r="M46">
        <v>20</v>
      </c>
      <c r="N46">
        <v>3</v>
      </c>
      <c r="O46">
        <v>6</v>
      </c>
      <c r="P46">
        <v>9</v>
      </c>
      <c r="Q46">
        <v>13</v>
      </c>
      <c r="R46">
        <v>16</v>
      </c>
      <c r="S46">
        <v>5</v>
      </c>
      <c r="T46">
        <v>8</v>
      </c>
      <c r="U46">
        <v>12</v>
      </c>
      <c r="V46">
        <v>15</v>
      </c>
      <c r="W46">
        <v>18</v>
      </c>
      <c r="X46">
        <v>1</v>
      </c>
      <c r="Y46">
        <v>2</v>
      </c>
      <c r="Z46">
        <v>4</v>
      </c>
      <c r="AA46">
        <v>7</v>
      </c>
      <c r="AB46">
        <v>10</v>
      </c>
      <c r="AD46">
        <f t="shared" ref="AD46:AH46" si="156">SUMIFS($I46:$AB46,$I$2:$AB$2,AD$7)</f>
        <v>20</v>
      </c>
      <c r="AE46">
        <f t="shared" si="156"/>
        <v>30</v>
      </c>
      <c r="AF46">
        <f t="shared" si="156"/>
        <v>42</v>
      </c>
      <c r="AG46">
        <f t="shared" si="156"/>
        <v>54</v>
      </c>
      <c r="AH46">
        <f t="shared" si="156"/>
        <v>64</v>
      </c>
      <c r="AI46">
        <f t="shared" si="87"/>
        <v>128</v>
      </c>
      <c r="AJ46">
        <f t="shared" si="87"/>
        <v>82</v>
      </c>
      <c r="AK46">
        <f t="shared" si="88"/>
        <v>71</v>
      </c>
      <c r="AL46">
        <f t="shared" si="88"/>
        <v>139</v>
      </c>
      <c r="AN46" s="67">
        <f t="shared" ref="AN46:AV46" si="157">((AD46-MIN($AD46:$AL46))/(MAX($AD46:$AL46)-MIN($AD46:$AL46)))</f>
        <v>0</v>
      </c>
      <c r="AO46" s="67">
        <f t="shared" si="157"/>
        <v>8.4033613445378158E-2</v>
      </c>
      <c r="AP46" s="67">
        <f t="shared" si="157"/>
        <v>0.18487394957983194</v>
      </c>
      <c r="AQ46" s="67">
        <f t="shared" si="157"/>
        <v>0.2857142857142857</v>
      </c>
      <c r="AR46" s="67">
        <f t="shared" si="157"/>
        <v>0.36974789915966388</v>
      </c>
      <c r="AS46" s="67">
        <f t="shared" si="157"/>
        <v>0.90756302521008403</v>
      </c>
      <c r="AT46" s="67">
        <f t="shared" si="157"/>
        <v>0.52100840336134457</v>
      </c>
      <c r="AU46" s="67">
        <f t="shared" si="157"/>
        <v>0.42857142857142855</v>
      </c>
      <c r="AV46" s="67">
        <f t="shared" si="157"/>
        <v>1</v>
      </c>
      <c r="AX46">
        <f t="shared" si="4"/>
        <v>0.36974789915966388</v>
      </c>
      <c r="AY46">
        <f t="shared" si="14"/>
        <v>0.38655462184873945</v>
      </c>
      <c r="AZ46">
        <f t="shared" si="5"/>
        <v>0.5714285714285714</v>
      </c>
      <c r="BB46">
        <f t="shared" ref="BB46:BD46" si="158">AX46/SUM($AX46:$AZ46)</f>
        <v>0.27848101265822789</v>
      </c>
      <c r="BC46">
        <f t="shared" si="158"/>
        <v>0.29113924050632911</v>
      </c>
      <c r="BD46">
        <f t="shared" si="158"/>
        <v>0.43037974683544306</v>
      </c>
      <c r="BF46" t="str">
        <f t="shared" si="7"/>
        <v>Theme</v>
      </c>
      <c r="BG46" t="str">
        <f t="shared" si="8"/>
        <v>B</v>
      </c>
      <c r="BI46">
        <f t="shared" si="9"/>
        <v>3.5</v>
      </c>
      <c r="BJ46" t="str">
        <f t="shared" si="10"/>
        <v>Tennis</v>
      </c>
      <c r="BK46" t="str">
        <f t="shared" si="11"/>
        <v>B</v>
      </c>
      <c r="BS46">
        <f t="shared" si="130"/>
        <v>0.36974789915966388</v>
      </c>
      <c r="BT46">
        <f t="shared" si="131"/>
        <v>0.38655462184873945</v>
      </c>
      <c r="BU46">
        <f t="shared" si="132"/>
        <v>0.5714285714285714</v>
      </c>
      <c r="BW46">
        <f t="shared" si="133"/>
        <v>-0.29438105456653607</v>
      </c>
      <c r="BX46">
        <f t="shared" si="134"/>
        <v>0.8531878274040513</v>
      </c>
      <c r="BY46">
        <f t="shared" si="135"/>
        <v>1.190447131301168</v>
      </c>
      <c r="CB46">
        <f t="shared" si="136"/>
        <v>2.025342057035409</v>
      </c>
      <c r="CC46">
        <f t="shared" si="137"/>
        <v>2.4772385181364762</v>
      </c>
      <c r="CD46">
        <f t="shared" si="138"/>
        <v>2.39227801585369</v>
      </c>
      <c r="CE46">
        <f t="shared" si="139"/>
        <v>3.0192780133248194</v>
      </c>
      <c r="CF46">
        <f t="shared" si="140"/>
        <v>0.35654737899181854</v>
      </c>
      <c r="CG46">
        <f t="shared" si="33"/>
        <v>0.35654737899181854</v>
      </c>
      <c r="CK46" t="str">
        <f t="shared" si="26"/>
        <v>Cluster 5</v>
      </c>
      <c r="CL46" t="str">
        <f t="shared" si="141"/>
        <v>B Tennis</v>
      </c>
      <c r="CM46" t="str">
        <f t="shared" si="149"/>
        <v>Tennis B</v>
      </c>
      <c r="CN46" t="str">
        <f t="shared" si="142"/>
        <v>Diff</v>
      </c>
    </row>
    <row r="47" spans="2:92">
      <c r="H47">
        <v>40</v>
      </c>
      <c r="I47">
        <v>12</v>
      </c>
      <c r="J47">
        <v>15</v>
      </c>
      <c r="K47">
        <v>18</v>
      </c>
      <c r="L47">
        <v>19</v>
      </c>
      <c r="M47">
        <v>20</v>
      </c>
      <c r="N47">
        <v>5</v>
      </c>
      <c r="O47">
        <v>8</v>
      </c>
      <c r="P47">
        <v>11</v>
      </c>
      <c r="Q47">
        <v>14</v>
      </c>
      <c r="R47">
        <v>17</v>
      </c>
      <c r="S47">
        <v>5</v>
      </c>
      <c r="T47">
        <v>8</v>
      </c>
      <c r="U47">
        <v>11</v>
      </c>
      <c r="V47">
        <v>14</v>
      </c>
      <c r="W47">
        <v>17</v>
      </c>
      <c r="X47">
        <v>1</v>
      </c>
      <c r="Y47">
        <v>2</v>
      </c>
      <c r="Z47">
        <v>3</v>
      </c>
      <c r="AA47">
        <v>6</v>
      </c>
      <c r="AB47">
        <v>9</v>
      </c>
      <c r="AD47">
        <f t="shared" ref="AD47:AH47" si="159">SUMIFS($I47:$AB47,$I$2:$AB$2,AD$7)</f>
        <v>23</v>
      </c>
      <c r="AE47">
        <f t="shared" si="159"/>
        <v>33</v>
      </c>
      <c r="AF47">
        <f t="shared" si="159"/>
        <v>43</v>
      </c>
      <c r="AG47">
        <f t="shared" si="159"/>
        <v>53</v>
      </c>
      <c r="AH47">
        <f t="shared" si="159"/>
        <v>63</v>
      </c>
      <c r="AI47">
        <f t="shared" si="87"/>
        <v>139</v>
      </c>
      <c r="AJ47">
        <f t="shared" si="87"/>
        <v>76</v>
      </c>
      <c r="AK47">
        <f t="shared" si="88"/>
        <v>76</v>
      </c>
      <c r="AL47">
        <f t="shared" si="88"/>
        <v>139</v>
      </c>
      <c r="AN47" s="67">
        <f t="shared" ref="AN47:AV47" si="160">((AD47-MIN($AD47:$AL47))/(MAX($AD47:$AL47)-MIN($AD47:$AL47)))</f>
        <v>0</v>
      </c>
      <c r="AO47" s="67">
        <f t="shared" si="160"/>
        <v>8.6206896551724144E-2</v>
      </c>
      <c r="AP47" s="67">
        <f t="shared" si="160"/>
        <v>0.17241379310344829</v>
      </c>
      <c r="AQ47" s="67">
        <f t="shared" si="160"/>
        <v>0.25862068965517243</v>
      </c>
      <c r="AR47" s="67">
        <f t="shared" si="160"/>
        <v>0.34482758620689657</v>
      </c>
      <c r="AS47" s="67">
        <f t="shared" si="160"/>
        <v>1</v>
      </c>
      <c r="AT47" s="67">
        <f t="shared" si="160"/>
        <v>0.45689655172413796</v>
      </c>
      <c r="AU47" s="67">
        <f t="shared" si="160"/>
        <v>0.45689655172413796</v>
      </c>
      <c r="AV47" s="67">
        <f t="shared" si="160"/>
        <v>1</v>
      </c>
      <c r="AX47">
        <f t="shared" si="4"/>
        <v>0.34482758620689657</v>
      </c>
      <c r="AY47">
        <f t="shared" si="14"/>
        <v>0.5431034482758621</v>
      </c>
      <c r="AZ47">
        <f t="shared" si="5"/>
        <v>0.5431034482758621</v>
      </c>
      <c r="BB47">
        <f t="shared" ref="BB47:BD47" si="161">AX47/SUM($AX47:$AZ47)</f>
        <v>0.24096385542168675</v>
      </c>
      <c r="BC47">
        <f t="shared" si="161"/>
        <v>0.37951807228915663</v>
      </c>
      <c r="BD47">
        <f t="shared" si="161"/>
        <v>0.37951807228915663</v>
      </c>
      <c r="BF47" t="str">
        <f t="shared" si="7"/>
        <v xml:space="preserve">Brand </v>
      </c>
      <c r="BG47" t="str">
        <f t="shared" si="8"/>
        <v>Tennis</v>
      </c>
      <c r="BI47">
        <f t="shared" si="9"/>
        <v>3.5</v>
      </c>
      <c r="BJ47" t="str">
        <f t="shared" si="10"/>
        <v>Tennis</v>
      </c>
      <c r="BK47" t="str">
        <f t="shared" si="11"/>
        <v>B</v>
      </c>
      <c r="BS47">
        <f t="shared" si="130"/>
        <v>0.34482758620689657</v>
      </c>
      <c r="BT47">
        <f t="shared" si="131"/>
        <v>0.5431034482758621</v>
      </c>
      <c r="BU47">
        <f t="shared" si="132"/>
        <v>0.5431034482758621</v>
      </c>
      <c r="BW47">
        <f t="shared" si="133"/>
        <v>-0.51390562552958763</v>
      </c>
      <c r="BX47">
        <f t="shared" si="134"/>
        <v>1.19549191588552</v>
      </c>
      <c r="BY47">
        <f t="shared" si="135"/>
        <v>1.13060414800241</v>
      </c>
      <c r="CB47">
        <f t="shared" si="136"/>
        <v>2.3426900492051086</v>
      </c>
      <c r="CC47">
        <f t="shared" si="137"/>
        <v>2.7426072602560088</v>
      </c>
      <c r="CD47">
        <f t="shared" si="138"/>
        <v>2.3220881776924989</v>
      </c>
      <c r="CE47">
        <f t="shared" si="139"/>
        <v>3.2129095079315779</v>
      </c>
      <c r="CF47">
        <f t="shared" si="140"/>
        <v>7.1864303448000474E-2</v>
      </c>
      <c r="CG47">
        <f t="shared" si="33"/>
        <v>7.1864303448000474E-2</v>
      </c>
      <c r="CK47" t="str">
        <f t="shared" si="26"/>
        <v>Cluster 5</v>
      </c>
      <c r="CL47" t="str">
        <f t="shared" si="141"/>
        <v>B Tennis</v>
      </c>
      <c r="CM47" t="str">
        <f t="shared" si="149"/>
        <v>Tennis B</v>
      </c>
      <c r="CN47" t="str">
        <f t="shared" si="142"/>
        <v>Diff</v>
      </c>
    </row>
    <row r="48" spans="2:92">
      <c r="H48">
        <v>41</v>
      </c>
      <c r="I48">
        <v>1</v>
      </c>
      <c r="J48">
        <v>5</v>
      </c>
      <c r="K48">
        <v>9</v>
      </c>
      <c r="L48">
        <v>13</v>
      </c>
      <c r="M48">
        <v>17</v>
      </c>
      <c r="N48">
        <v>2</v>
      </c>
      <c r="O48">
        <v>6</v>
      </c>
      <c r="P48">
        <v>10</v>
      </c>
      <c r="Q48">
        <v>14</v>
      </c>
      <c r="R48">
        <v>18</v>
      </c>
      <c r="S48">
        <v>3</v>
      </c>
      <c r="T48">
        <v>7</v>
      </c>
      <c r="U48">
        <v>11</v>
      </c>
      <c r="V48">
        <v>15</v>
      </c>
      <c r="W48">
        <v>19</v>
      </c>
      <c r="X48">
        <v>4</v>
      </c>
      <c r="Y48">
        <v>8</v>
      </c>
      <c r="Z48">
        <v>12</v>
      </c>
      <c r="AA48">
        <v>16</v>
      </c>
      <c r="AB48">
        <v>20</v>
      </c>
      <c r="AD48">
        <f t="shared" ref="AD48:AH48" si="162">SUMIFS($I48:$AB48,$I$2:$AB$2,AD$7)</f>
        <v>10</v>
      </c>
      <c r="AE48">
        <f t="shared" si="162"/>
        <v>26</v>
      </c>
      <c r="AF48">
        <f t="shared" si="162"/>
        <v>42</v>
      </c>
      <c r="AG48">
        <f t="shared" si="162"/>
        <v>58</v>
      </c>
      <c r="AH48">
        <f t="shared" si="162"/>
        <v>74</v>
      </c>
      <c r="AI48">
        <f t="shared" ref="AI48:AJ67" si="163">SUMIFS($I48:$AB48,$I$3:$AB$3,AI$7)</f>
        <v>95</v>
      </c>
      <c r="AJ48">
        <f t="shared" si="163"/>
        <v>115</v>
      </c>
      <c r="AK48">
        <f t="shared" ref="AK48:AL67" si="164">SUMIFS($I48:$AB48,$I$4:$AB$4,AK$7)</f>
        <v>110</v>
      </c>
      <c r="AL48">
        <f t="shared" si="164"/>
        <v>100</v>
      </c>
      <c r="AN48" s="67">
        <f t="shared" ref="AN48:AV48" si="165">((AD48-MIN($AD48:$AL48))/(MAX($AD48:$AL48)-MIN($AD48:$AL48)))</f>
        <v>0</v>
      </c>
      <c r="AO48" s="67">
        <f t="shared" si="165"/>
        <v>0.15238095238095239</v>
      </c>
      <c r="AP48" s="67">
        <f t="shared" si="165"/>
        <v>0.30476190476190479</v>
      </c>
      <c r="AQ48" s="67">
        <f t="shared" si="165"/>
        <v>0.45714285714285713</v>
      </c>
      <c r="AR48" s="67">
        <f t="shared" si="165"/>
        <v>0.60952380952380958</v>
      </c>
      <c r="AS48" s="67">
        <f t="shared" si="165"/>
        <v>0.80952380952380953</v>
      </c>
      <c r="AT48" s="67">
        <f t="shared" si="165"/>
        <v>1</v>
      </c>
      <c r="AU48" s="67">
        <f t="shared" si="165"/>
        <v>0.95238095238095233</v>
      </c>
      <c r="AV48" s="67">
        <f t="shared" si="165"/>
        <v>0.8571428571428571</v>
      </c>
      <c r="AX48">
        <f t="shared" si="4"/>
        <v>0.60952380952380958</v>
      </c>
      <c r="AY48">
        <f t="shared" si="14"/>
        <v>0.19047619047619047</v>
      </c>
      <c r="AZ48">
        <f t="shared" si="5"/>
        <v>9.5238095238095233E-2</v>
      </c>
      <c r="BB48">
        <f t="shared" ref="BB48:BD48" si="166">AX48/SUM($AX48:$AZ48)</f>
        <v>0.68085106382978722</v>
      </c>
      <c r="BC48">
        <f t="shared" si="166"/>
        <v>0.21276595744680848</v>
      </c>
      <c r="BD48">
        <f t="shared" si="166"/>
        <v>0.10638297872340424</v>
      </c>
      <c r="BF48" t="str">
        <f t="shared" si="7"/>
        <v>Price</v>
      </c>
      <c r="BG48">
        <f t="shared" si="8"/>
        <v>3.5</v>
      </c>
      <c r="BI48">
        <f t="shared" si="9"/>
        <v>3.5</v>
      </c>
      <c r="BJ48" t="str">
        <f t="shared" si="10"/>
        <v>Super Bowl</v>
      </c>
      <c r="BK48" t="str">
        <f t="shared" si="11"/>
        <v>A</v>
      </c>
      <c r="BS48">
        <f t="shared" si="130"/>
        <v>0.60952380952380958</v>
      </c>
      <c r="BT48">
        <f t="shared" si="131"/>
        <v>-0.19047619047619047</v>
      </c>
      <c r="BU48">
        <f t="shared" si="132"/>
        <v>-9.5238095238095233E-2</v>
      </c>
      <c r="BW48">
        <f t="shared" si="133"/>
        <v>1.8178197010872597</v>
      </c>
      <c r="BX48">
        <f t="shared" si="134"/>
        <v>-0.40852719625060985</v>
      </c>
      <c r="BY48">
        <f t="shared" si="135"/>
        <v>-0.21803120025221195</v>
      </c>
      <c r="CB48">
        <f t="shared" si="136"/>
        <v>2.8667929853850489</v>
      </c>
      <c r="CC48">
        <f t="shared" si="137"/>
        <v>0.67140800538236722</v>
      </c>
      <c r="CD48">
        <f t="shared" si="138"/>
        <v>2.892609408561075</v>
      </c>
      <c r="CE48">
        <f t="shared" si="139"/>
        <v>2.5555095415842377</v>
      </c>
      <c r="CF48">
        <f t="shared" si="140"/>
        <v>3.0975851000476342</v>
      </c>
      <c r="CG48">
        <f t="shared" si="33"/>
        <v>0.67140800538236722</v>
      </c>
      <c r="CK48" t="str">
        <f t="shared" si="26"/>
        <v>Cluster 2</v>
      </c>
      <c r="CL48" t="str">
        <f t="shared" si="141"/>
        <v>Price Only</v>
      </c>
      <c r="CM48" t="str">
        <f t="shared" si="149"/>
        <v>Price Only</v>
      </c>
      <c r="CN48" t="str">
        <f t="shared" si="142"/>
        <v/>
      </c>
    </row>
    <row r="49" spans="8:92">
      <c r="H49">
        <v>42</v>
      </c>
      <c r="I49">
        <v>1</v>
      </c>
      <c r="J49">
        <v>2</v>
      </c>
      <c r="K49">
        <v>3</v>
      </c>
      <c r="L49">
        <v>6</v>
      </c>
      <c r="M49">
        <v>9</v>
      </c>
      <c r="N49">
        <v>5</v>
      </c>
      <c r="O49">
        <v>8</v>
      </c>
      <c r="P49">
        <v>11</v>
      </c>
      <c r="Q49">
        <v>14</v>
      </c>
      <c r="R49">
        <v>17</v>
      </c>
      <c r="S49">
        <v>4</v>
      </c>
      <c r="T49">
        <v>7</v>
      </c>
      <c r="U49">
        <v>10</v>
      </c>
      <c r="V49">
        <v>13</v>
      </c>
      <c r="W49">
        <v>16</v>
      </c>
      <c r="X49">
        <v>12</v>
      </c>
      <c r="Y49">
        <v>15</v>
      </c>
      <c r="Z49">
        <v>18</v>
      </c>
      <c r="AA49">
        <v>19</v>
      </c>
      <c r="AB49">
        <v>20</v>
      </c>
      <c r="AD49">
        <f t="shared" ref="AD49:AH49" si="167">SUMIFS($I49:$AB49,$I$2:$AB$2,AD$7)</f>
        <v>22</v>
      </c>
      <c r="AE49">
        <f t="shared" si="167"/>
        <v>32</v>
      </c>
      <c r="AF49">
        <f t="shared" si="167"/>
        <v>42</v>
      </c>
      <c r="AG49">
        <f t="shared" si="167"/>
        <v>52</v>
      </c>
      <c r="AH49">
        <f t="shared" si="167"/>
        <v>62</v>
      </c>
      <c r="AI49">
        <f t="shared" si="163"/>
        <v>76</v>
      </c>
      <c r="AJ49">
        <f t="shared" si="163"/>
        <v>134</v>
      </c>
      <c r="AK49">
        <f t="shared" si="164"/>
        <v>139</v>
      </c>
      <c r="AL49">
        <f t="shared" si="164"/>
        <v>71</v>
      </c>
      <c r="AN49" s="67">
        <f t="shared" ref="AN49:AV49" si="168">((AD49-MIN($AD49:$AL49))/(MAX($AD49:$AL49)-MIN($AD49:$AL49)))</f>
        <v>0</v>
      </c>
      <c r="AO49" s="67">
        <f t="shared" si="168"/>
        <v>8.5470085470085472E-2</v>
      </c>
      <c r="AP49" s="67">
        <f t="shared" si="168"/>
        <v>0.17094017094017094</v>
      </c>
      <c r="AQ49" s="67">
        <f t="shared" si="168"/>
        <v>0.25641025641025639</v>
      </c>
      <c r="AR49" s="67">
        <f t="shared" si="168"/>
        <v>0.34188034188034189</v>
      </c>
      <c r="AS49" s="67">
        <f t="shared" si="168"/>
        <v>0.46153846153846156</v>
      </c>
      <c r="AT49" s="67">
        <f t="shared" si="168"/>
        <v>0.95726495726495731</v>
      </c>
      <c r="AU49" s="67">
        <f t="shared" si="168"/>
        <v>1</v>
      </c>
      <c r="AV49" s="67">
        <f t="shared" si="168"/>
        <v>0.41880341880341881</v>
      </c>
      <c r="AX49">
        <f t="shared" si="4"/>
        <v>0.34188034188034189</v>
      </c>
      <c r="AY49">
        <f t="shared" si="14"/>
        <v>0.49572649572649574</v>
      </c>
      <c r="AZ49">
        <f t="shared" si="5"/>
        <v>0.58119658119658113</v>
      </c>
      <c r="BB49">
        <f t="shared" ref="BB49:BD49" si="169">AX49/SUM($AX49:$AZ49)</f>
        <v>0.24096385542168677</v>
      </c>
      <c r="BC49">
        <f t="shared" si="169"/>
        <v>0.34939759036144585</v>
      </c>
      <c r="BD49">
        <f t="shared" si="169"/>
        <v>0.40963855421686746</v>
      </c>
      <c r="BF49" t="str">
        <f t="shared" si="7"/>
        <v>Theme</v>
      </c>
      <c r="BG49" t="str">
        <f t="shared" si="8"/>
        <v>A</v>
      </c>
      <c r="BI49">
        <f t="shared" si="9"/>
        <v>3.5</v>
      </c>
      <c r="BJ49" t="str">
        <f t="shared" si="10"/>
        <v>Super Bowl</v>
      </c>
      <c r="BK49" t="str">
        <f t="shared" si="11"/>
        <v>A</v>
      </c>
      <c r="BS49">
        <f t="shared" si="130"/>
        <v>0.34188034188034189</v>
      </c>
      <c r="BT49">
        <f t="shared" si="131"/>
        <v>-0.49572649572649574</v>
      </c>
      <c r="BU49">
        <f t="shared" si="132"/>
        <v>-0.58119658119658113</v>
      </c>
      <c r="BW49">
        <f t="shared" si="133"/>
        <v>-0.53986808224257044</v>
      </c>
      <c r="BX49">
        <f t="shared" si="134"/>
        <v>-1.0759766424209249</v>
      </c>
      <c r="BY49">
        <f t="shared" si="135"/>
        <v>-1.2447241965127345</v>
      </c>
      <c r="CB49">
        <f t="shared" si="136"/>
        <v>2.3546603796777257</v>
      </c>
      <c r="CC49">
        <f t="shared" si="137"/>
        <v>2.9592896111710933</v>
      </c>
      <c r="CD49">
        <f t="shared" si="138"/>
        <v>2.1200507601416403</v>
      </c>
      <c r="CE49">
        <f t="shared" si="139"/>
        <v>0.23176619278976343</v>
      </c>
      <c r="CF49">
        <f t="shared" si="140"/>
        <v>3.2321932354546554</v>
      </c>
      <c r="CG49">
        <f t="shared" si="33"/>
        <v>0.23176619278976343</v>
      </c>
      <c r="CK49" t="str">
        <f t="shared" ref="CK49:CK80" si="170">INDEX($CB$7:$CF$7,,MATCH(MIN(CB49:CF49),CB49:CF49,0))</f>
        <v>Cluster 4</v>
      </c>
      <c r="CL49" t="str">
        <f t="shared" si="141"/>
        <v>A Super Bowl</v>
      </c>
      <c r="CM49" t="str">
        <f t="shared" si="149"/>
        <v>Super Bowl A</v>
      </c>
      <c r="CN49" t="str">
        <f t="shared" si="142"/>
        <v>Diff</v>
      </c>
    </row>
    <row r="50" spans="8:92">
      <c r="H50">
        <v>43</v>
      </c>
      <c r="I50">
        <v>4</v>
      </c>
      <c r="J50">
        <v>8</v>
      </c>
      <c r="K50">
        <v>12</v>
      </c>
      <c r="L50">
        <v>16</v>
      </c>
      <c r="M50">
        <v>20</v>
      </c>
      <c r="N50">
        <v>3</v>
      </c>
      <c r="O50">
        <v>7</v>
      </c>
      <c r="P50">
        <v>11</v>
      </c>
      <c r="Q50">
        <v>15</v>
      </c>
      <c r="R50">
        <v>19</v>
      </c>
      <c r="S50">
        <v>2</v>
      </c>
      <c r="T50">
        <v>6</v>
      </c>
      <c r="U50">
        <v>10</v>
      </c>
      <c r="V50">
        <v>14</v>
      </c>
      <c r="W50">
        <v>18</v>
      </c>
      <c r="X50">
        <v>1</v>
      </c>
      <c r="Y50">
        <v>5</v>
      </c>
      <c r="Z50">
        <v>9</v>
      </c>
      <c r="AA50">
        <v>13</v>
      </c>
      <c r="AB50">
        <v>17</v>
      </c>
      <c r="AD50">
        <f t="shared" ref="AD50:AH50" si="171">SUMIFS($I50:$AB50,$I$2:$AB$2,AD$7)</f>
        <v>10</v>
      </c>
      <c r="AE50">
        <f t="shared" si="171"/>
        <v>26</v>
      </c>
      <c r="AF50">
        <f t="shared" si="171"/>
        <v>42</v>
      </c>
      <c r="AG50">
        <f t="shared" si="171"/>
        <v>58</v>
      </c>
      <c r="AH50">
        <f t="shared" si="171"/>
        <v>74</v>
      </c>
      <c r="AI50">
        <f t="shared" si="163"/>
        <v>115</v>
      </c>
      <c r="AJ50">
        <f t="shared" si="163"/>
        <v>95</v>
      </c>
      <c r="AK50">
        <f t="shared" si="164"/>
        <v>100</v>
      </c>
      <c r="AL50">
        <f t="shared" si="164"/>
        <v>110</v>
      </c>
      <c r="AN50" s="67">
        <f t="shared" ref="AN50:AV50" si="172">((AD50-MIN($AD50:$AL50))/(MAX($AD50:$AL50)-MIN($AD50:$AL50)))</f>
        <v>0</v>
      </c>
      <c r="AO50" s="67">
        <f t="shared" si="172"/>
        <v>0.15238095238095239</v>
      </c>
      <c r="AP50" s="67">
        <f t="shared" si="172"/>
        <v>0.30476190476190479</v>
      </c>
      <c r="AQ50" s="67">
        <f t="shared" si="172"/>
        <v>0.45714285714285713</v>
      </c>
      <c r="AR50" s="67">
        <f t="shared" si="172"/>
        <v>0.60952380952380958</v>
      </c>
      <c r="AS50" s="67">
        <f t="shared" si="172"/>
        <v>1</v>
      </c>
      <c r="AT50" s="67">
        <f t="shared" si="172"/>
        <v>0.80952380952380953</v>
      </c>
      <c r="AU50" s="67">
        <f t="shared" si="172"/>
        <v>0.8571428571428571</v>
      </c>
      <c r="AV50" s="67">
        <f t="shared" si="172"/>
        <v>0.95238095238095233</v>
      </c>
      <c r="AX50">
        <f t="shared" si="4"/>
        <v>0.60952380952380958</v>
      </c>
      <c r="AY50">
        <f t="shared" si="14"/>
        <v>0.19047619047619047</v>
      </c>
      <c r="AZ50">
        <f t="shared" si="5"/>
        <v>9.5238095238095233E-2</v>
      </c>
      <c r="BB50">
        <f t="shared" ref="BB50:BD50" si="173">AX50/SUM($AX50:$AZ50)</f>
        <v>0.68085106382978722</v>
      </c>
      <c r="BC50">
        <f t="shared" si="173"/>
        <v>0.21276595744680848</v>
      </c>
      <c r="BD50">
        <f t="shared" si="173"/>
        <v>0.10638297872340424</v>
      </c>
      <c r="BF50" t="str">
        <f t="shared" si="7"/>
        <v>Price</v>
      </c>
      <c r="BG50">
        <f t="shared" si="8"/>
        <v>3.5</v>
      </c>
      <c r="BI50">
        <f t="shared" si="9"/>
        <v>3.5</v>
      </c>
      <c r="BJ50" t="str">
        <f t="shared" si="10"/>
        <v>Tennis</v>
      </c>
      <c r="BK50" t="str">
        <f t="shared" si="11"/>
        <v>B</v>
      </c>
      <c r="BS50">
        <f t="shared" si="130"/>
        <v>0.60952380952380958</v>
      </c>
      <c r="BT50">
        <f t="shared" si="131"/>
        <v>0.19047619047619047</v>
      </c>
      <c r="BU50">
        <f t="shared" si="132"/>
        <v>9.5238095238095233E-2</v>
      </c>
      <c r="BW50">
        <f t="shared" si="133"/>
        <v>1.8178197010872597</v>
      </c>
      <c r="BX50">
        <f t="shared" si="134"/>
        <v>0.42444971256994318</v>
      </c>
      <c r="BY50">
        <f t="shared" si="135"/>
        <v>0.18439118019161094</v>
      </c>
      <c r="CB50">
        <f t="shared" si="136"/>
        <v>3.0387556747186748</v>
      </c>
      <c r="CC50">
        <f t="shared" si="137"/>
        <v>0.26127112978457395</v>
      </c>
      <c r="CD50">
        <f t="shared" si="138"/>
        <v>2.7540294742593474</v>
      </c>
      <c r="CE50">
        <f t="shared" si="139"/>
        <v>3.0528355709459638</v>
      </c>
      <c r="CF50">
        <f t="shared" si="140"/>
        <v>2.6111766219359862</v>
      </c>
      <c r="CG50">
        <f t="shared" si="33"/>
        <v>0.26127112978457395</v>
      </c>
      <c r="CK50" t="str">
        <f t="shared" si="170"/>
        <v>Cluster 2</v>
      </c>
      <c r="CL50" t="str">
        <f t="shared" si="141"/>
        <v>Price Only</v>
      </c>
      <c r="CM50" t="str">
        <f t="shared" si="149"/>
        <v>Price Only</v>
      </c>
      <c r="CN50" t="str">
        <f t="shared" si="142"/>
        <v/>
      </c>
    </row>
    <row r="51" spans="8:92">
      <c r="H51">
        <v>44</v>
      </c>
      <c r="I51">
        <v>1</v>
      </c>
      <c r="J51">
        <v>2</v>
      </c>
      <c r="K51">
        <v>4</v>
      </c>
      <c r="L51">
        <v>7</v>
      </c>
      <c r="M51">
        <v>10</v>
      </c>
      <c r="N51">
        <v>3</v>
      </c>
      <c r="O51">
        <v>6</v>
      </c>
      <c r="P51">
        <v>9</v>
      </c>
      <c r="Q51">
        <v>13</v>
      </c>
      <c r="R51">
        <v>16</v>
      </c>
      <c r="S51">
        <v>5</v>
      </c>
      <c r="T51">
        <v>8</v>
      </c>
      <c r="U51">
        <v>12</v>
      </c>
      <c r="V51">
        <v>15</v>
      </c>
      <c r="W51">
        <v>18</v>
      </c>
      <c r="X51">
        <v>11</v>
      </c>
      <c r="Y51">
        <v>14</v>
      </c>
      <c r="Z51">
        <v>17</v>
      </c>
      <c r="AA51">
        <v>19</v>
      </c>
      <c r="AB51">
        <v>20</v>
      </c>
      <c r="AD51">
        <f t="shared" ref="AD51:AH51" si="174">SUMIFS($I51:$AB51,$I$2:$AB$2,AD$7)</f>
        <v>20</v>
      </c>
      <c r="AE51">
        <f t="shared" si="174"/>
        <v>30</v>
      </c>
      <c r="AF51">
        <f t="shared" si="174"/>
        <v>42</v>
      </c>
      <c r="AG51">
        <f t="shared" si="174"/>
        <v>54</v>
      </c>
      <c r="AH51">
        <f t="shared" si="174"/>
        <v>64</v>
      </c>
      <c r="AI51">
        <f t="shared" si="163"/>
        <v>71</v>
      </c>
      <c r="AJ51">
        <f t="shared" si="163"/>
        <v>139</v>
      </c>
      <c r="AK51">
        <f t="shared" si="164"/>
        <v>128</v>
      </c>
      <c r="AL51">
        <f t="shared" si="164"/>
        <v>82</v>
      </c>
      <c r="AN51" s="67">
        <f t="shared" ref="AN51:AV51" si="175">((AD51-MIN($AD51:$AL51))/(MAX($AD51:$AL51)-MIN($AD51:$AL51)))</f>
        <v>0</v>
      </c>
      <c r="AO51" s="67">
        <f t="shared" si="175"/>
        <v>8.4033613445378158E-2</v>
      </c>
      <c r="AP51" s="67">
        <f t="shared" si="175"/>
        <v>0.18487394957983194</v>
      </c>
      <c r="AQ51" s="67">
        <f t="shared" si="175"/>
        <v>0.2857142857142857</v>
      </c>
      <c r="AR51" s="67">
        <f t="shared" si="175"/>
        <v>0.36974789915966388</v>
      </c>
      <c r="AS51" s="67">
        <f t="shared" si="175"/>
        <v>0.42857142857142855</v>
      </c>
      <c r="AT51" s="67">
        <f t="shared" si="175"/>
        <v>1</v>
      </c>
      <c r="AU51" s="67">
        <f t="shared" si="175"/>
        <v>0.90756302521008403</v>
      </c>
      <c r="AV51" s="67">
        <f t="shared" si="175"/>
        <v>0.52100840336134457</v>
      </c>
      <c r="AX51">
        <f t="shared" si="4"/>
        <v>0.36974789915966388</v>
      </c>
      <c r="AY51">
        <f t="shared" si="14"/>
        <v>0.5714285714285714</v>
      </c>
      <c r="AZ51">
        <f t="shared" si="5"/>
        <v>0.38655462184873945</v>
      </c>
      <c r="BB51">
        <f t="shared" ref="BB51:BD51" si="176">AX51/SUM($AX51:$AZ51)</f>
        <v>0.27848101265822789</v>
      </c>
      <c r="BC51">
        <f t="shared" si="176"/>
        <v>0.43037974683544306</v>
      </c>
      <c r="BD51">
        <f t="shared" si="176"/>
        <v>0.29113924050632911</v>
      </c>
      <c r="BF51" t="str">
        <f t="shared" si="7"/>
        <v xml:space="preserve">Brand </v>
      </c>
      <c r="BG51" t="str">
        <f t="shared" si="8"/>
        <v>Super Bowl</v>
      </c>
      <c r="BI51">
        <f t="shared" si="9"/>
        <v>3.5</v>
      </c>
      <c r="BJ51" t="str">
        <f t="shared" si="10"/>
        <v>Super Bowl</v>
      </c>
      <c r="BK51" t="str">
        <f t="shared" si="11"/>
        <v>A</v>
      </c>
      <c r="BS51">
        <f t="shared" si="130"/>
        <v>0.36974789915966388</v>
      </c>
      <c r="BT51">
        <f t="shared" si="131"/>
        <v>-0.5714285714285714</v>
      </c>
      <c r="BU51">
        <f t="shared" si="132"/>
        <v>-0.38655462184873945</v>
      </c>
      <c r="BW51">
        <f t="shared" si="133"/>
        <v>-0.29438105456653607</v>
      </c>
      <c r="BX51">
        <f t="shared" si="134"/>
        <v>-1.2415041050711628</v>
      </c>
      <c r="BY51">
        <f t="shared" si="135"/>
        <v>-0.83350072328394098</v>
      </c>
      <c r="CB51">
        <f t="shared" si="136"/>
        <v>1.9698974649062282</v>
      </c>
      <c r="CC51">
        <f t="shared" si="137"/>
        <v>2.6919434314263833</v>
      </c>
      <c r="CD51">
        <f t="shared" si="138"/>
        <v>2.3194824322008385</v>
      </c>
      <c r="CE51">
        <f t="shared" si="139"/>
        <v>0.28695516638593749</v>
      </c>
      <c r="CF51">
        <f t="shared" si="140"/>
        <v>3.0778556953729268</v>
      </c>
      <c r="CG51">
        <f t="shared" si="33"/>
        <v>0.28695516638593749</v>
      </c>
      <c r="CK51" t="str">
        <f t="shared" si="170"/>
        <v>Cluster 4</v>
      </c>
      <c r="CL51" t="str">
        <f t="shared" si="141"/>
        <v>A Super Bowl</v>
      </c>
      <c r="CM51" t="str">
        <f t="shared" si="149"/>
        <v>Super Bowl A</v>
      </c>
      <c r="CN51" t="str">
        <f t="shared" si="142"/>
        <v>Diff</v>
      </c>
    </row>
    <row r="52" spans="8:92">
      <c r="H52">
        <v>45</v>
      </c>
      <c r="I52">
        <v>3</v>
      </c>
      <c r="J52">
        <v>6</v>
      </c>
      <c r="K52">
        <v>10</v>
      </c>
      <c r="L52">
        <v>14</v>
      </c>
      <c r="M52">
        <v>17</v>
      </c>
      <c r="N52">
        <v>1</v>
      </c>
      <c r="O52">
        <v>2</v>
      </c>
      <c r="P52">
        <v>5</v>
      </c>
      <c r="Q52">
        <v>8</v>
      </c>
      <c r="R52">
        <v>12</v>
      </c>
      <c r="S52">
        <v>9</v>
      </c>
      <c r="T52">
        <v>13</v>
      </c>
      <c r="U52">
        <v>16</v>
      </c>
      <c r="V52">
        <v>19</v>
      </c>
      <c r="W52">
        <v>20</v>
      </c>
      <c r="X52">
        <v>4</v>
      </c>
      <c r="Y52">
        <v>7</v>
      </c>
      <c r="Z52">
        <v>11</v>
      </c>
      <c r="AA52">
        <v>15</v>
      </c>
      <c r="AB52">
        <v>18</v>
      </c>
      <c r="AD52">
        <f t="shared" ref="AD52:AH52" si="177">SUMIFS($I52:$AB52,$I$2:$AB$2,AD$7)</f>
        <v>17</v>
      </c>
      <c r="AE52">
        <f t="shared" si="177"/>
        <v>28</v>
      </c>
      <c r="AF52">
        <f t="shared" si="177"/>
        <v>42</v>
      </c>
      <c r="AG52">
        <f t="shared" si="177"/>
        <v>56</v>
      </c>
      <c r="AH52">
        <f t="shared" si="177"/>
        <v>67</v>
      </c>
      <c r="AI52">
        <f t="shared" si="163"/>
        <v>78</v>
      </c>
      <c r="AJ52">
        <f t="shared" si="163"/>
        <v>132</v>
      </c>
      <c r="AK52">
        <f t="shared" si="164"/>
        <v>83</v>
      </c>
      <c r="AL52">
        <f t="shared" si="164"/>
        <v>127</v>
      </c>
      <c r="AN52" s="67">
        <f t="shared" ref="AN52:AV52" si="178">((AD52-MIN($AD52:$AL52))/(MAX($AD52:$AL52)-MIN($AD52:$AL52)))</f>
        <v>0</v>
      </c>
      <c r="AO52" s="67">
        <f t="shared" si="178"/>
        <v>9.5652173913043481E-2</v>
      </c>
      <c r="AP52" s="67">
        <f t="shared" si="178"/>
        <v>0.21739130434782608</v>
      </c>
      <c r="AQ52" s="67">
        <f t="shared" si="178"/>
        <v>0.33913043478260868</v>
      </c>
      <c r="AR52" s="67">
        <f t="shared" si="178"/>
        <v>0.43478260869565216</v>
      </c>
      <c r="AS52" s="67">
        <f t="shared" si="178"/>
        <v>0.5304347826086957</v>
      </c>
      <c r="AT52" s="67">
        <f t="shared" si="178"/>
        <v>1</v>
      </c>
      <c r="AU52" s="67">
        <f t="shared" si="178"/>
        <v>0.57391304347826089</v>
      </c>
      <c r="AV52" s="67">
        <f t="shared" si="178"/>
        <v>0.95652173913043481</v>
      </c>
      <c r="AX52">
        <f t="shared" si="4"/>
        <v>0.43478260869565216</v>
      </c>
      <c r="AY52">
        <f t="shared" si="14"/>
        <v>0.4695652173913043</v>
      </c>
      <c r="AZ52">
        <f t="shared" si="5"/>
        <v>0.38260869565217392</v>
      </c>
      <c r="BB52">
        <f t="shared" ref="BB52:BD52" si="179">AX52/SUM($AX52:$AZ52)</f>
        <v>0.33783783783783783</v>
      </c>
      <c r="BC52">
        <f t="shared" si="179"/>
        <v>0.36486486486486486</v>
      </c>
      <c r="BD52">
        <f t="shared" si="179"/>
        <v>0.29729729729729731</v>
      </c>
      <c r="BF52" t="str">
        <f t="shared" si="7"/>
        <v xml:space="preserve">Brand </v>
      </c>
      <c r="BG52" t="str">
        <f t="shared" si="8"/>
        <v>Super Bowl</v>
      </c>
      <c r="BI52">
        <f t="shared" si="9"/>
        <v>3.5</v>
      </c>
      <c r="BJ52" t="str">
        <f t="shared" si="10"/>
        <v>Super Bowl</v>
      </c>
      <c r="BK52" t="str">
        <f t="shared" si="11"/>
        <v>B</v>
      </c>
      <c r="BS52">
        <f t="shared" si="130"/>
        <v>0.43478260869565216</v>
      </c>
      <c r="BT52">
        <f t="shared" si="131"/>
        <v>-0.4695652173913043</v>
      </c>
      <c r="BU52">
        <f t="shared" si="132"/>
        <v>0.38260869565217392</v>
      </c>
      <c r="BW52">
        <f t="shared" si="133"/>
        <v>0.27851370544927367</v>
      </c>
      <c r="BX52">
        <f t="shared" si="134"/>
        <v>-1.0187733229300151</v>
      </c>
      <c r="BY52">
        <f t="shared" si="135"/>
        <v>0.79152407590468299</v>
      </c>
      <c r="CB52">
        <f t="shared" si="136"/>
        <v>0.95617022008792774</v>
      </c>
      <c r="CC52">
        <f t="shared" si="137"/>
        <v>2.1015447970083003</v>
      </c>
      <c r="CD52">
        <f t="shared" si="138"/>
        <v>2.9582486620449835</v>
      </c>
      <c r="CE52">
        <f t="shared" si="139"/>
        <v>1.9896820730309122</v>
      </c>
      <c r="CF52">
        <f t="shared" si="140"/>
        <v>2.3093824790061213</v>
      </c>
      <c r="CG52">
        <f t="shared" si="33"/>
        <v>0.95617022008792774</v>
      </c>
      <c r="CK52" t="str">
        <f t="shared" si="170"/>
        <v>Cluster 1</v>
      </c>
      <c r="CL52" t="str">
        <f t="shared" si="141"/>
        <v>B Super Bowl</v>
      </c>
      <c r="CM52" t="str">
        <f t="shared" si="149"/>
        <v>Super Bowl B</v>
      </c>
      <c r="CN52" t="str">
        <f t="shared" si="142"/>
        <v>Diff</v>
      </c>
    </row>
    <row r="53" spans="8:92">
      <c r="H53">
        <v>46</v>
      </c>
      <c r="I53">
        <v>4</v>
      </c>
      <c r="J53">
        <v>7</v>
      </c>
      <c r="K53">
        <v>10</v>
      </c>
      <c r="L53">
        <v>12</v>
      </c>
      <c r="M53">
        <v>15</v>
      </c>
      <c r="N53">
        <v>1</v>
      </c>
      <c r="O53">
        <v>2</v>
      </c>
      <c r="P53">
        <v>3</v>
      </c>
      <c r="Q53">
        <v>5</v>
      </c>
      <c r="R53">
        <v>8</v>
      </c>
      <c r="S53">
        <v>13</v>
      </c>
      <c r="T53">
        <v>16</v>
      </c>
      <c r="U53">
        <v>18</v>
      </c>
      <c r="V53">
        <v>19</v>
      </c>
      <c r="W53">
        <v>20</v>
      </c>
      <c r="X53">
        <v>6</v>
      </c>
      <c r="Y53">
        <v>9</v>
      </c>
      <c r="Z53">
        <v>11</v>
      </c>
      <c r="AA53">
        <v>14</v>
      </c>
      <c r="AB53">
        <v>17</v>
      </c>
      <c r="AD53">
        <f t="shared" ref="AD53:AH53" si="180">SUMIFS($I53:$AB53,$I$2:$AB$2,AD$7)</f>
        <v>24</v>
      </c>
      <c r="AE53">
        <f t="shared" si="180"/>
        <v>34</v>
      </c>
      <c r="AF53">
        <f t="shared" si="180"/>
        <v>42</v>
      </c>
      <c r="AG53">
        <f t="shared" si="180"/>
        <v>50</v>
      </c>
      <c r="AH53">
        <f t="shared" si="180"/>
        <v>60</v>
      </c>
      <c r="AI53">
        <f t="shared" si="163"/>
        <v>67</v>
      </c>
      <c r="AJ53">
        <f t="shared" si="163"/>
        <v>143</v>
      </c>
      <c r="AK53">
        <f t="shared" si="164"/>
        <v>76</v>
      </c>
      <c r="AL53">
        <f t="shared" si="164"/>
        <v>134</v>
      </c>
      <c r="AN53" s="67">
        <f t="shared" ref="AN53:AV53" si="181">((AD53-MIN($AD53:$AL53))/(MAX($AD53:$AL53)-MIN($AD53:$AL53)))</f>
        <v>0</v>
      </c>
      <c r="AO53" s="67">
        <f t="shared" si="181"/>
        <v>8.4033613445378158E-2</v>
      </c>
      <c r="AP53" s="67">
        <f t="shared" si="181"/>
        <v>0.15126050420168066</v>
      </c>
      <c r="AQ53" s="67">
        <f t="shared" si="181"/>
        <v>0.21848739495798319</v>
      </c>
      <c r="AR53" s="67">
        <f t="shared" si="181"/>
        <v>0.30252100840336132</v>
      </c>
      <c r="AS53" s="67">
        <f t="shared" si="181"/>
        <v>0.36134453781512604</v>
      </c>
      <c r="AT53" s="67">
        <f t="shared" si="181"/>
        <v>1</v>
      </c>
      <c r="AU53" s="67">
        <f t="shared" si="181"/>
        <v>0.43697478991596639</v>
      </c>
      <c r="AV53" s="67">
        <f t="shared" si="181"/>
        <v>0.92436974789915971</v>
      </c>
      <c r="AX53">
        <f t="shared" si="4"/>
        <v>0.30252100840336132</v>
      </c>
      <c r="AY53">
        <f t="shared" si="14"/>
        <v>0.6386554621848739</v>
      </c>
      <c r="AZ53">
        <f t="shared" si="5"/>
        <v>0.48739495798319332</v>
      </c>
      <c r="BB53">
        <f t="shared" ref="BB53:BD53" si="182">AX53/SUM($AX53:$AZ53)</f>
        <v>0.21176470588235291</v>
      </c>
      <c r="BC53">
        <f t="shared" si="182"/>
        <v>0.44705882352941173</v>
      </c>
      <c r="BD53">
        <f t="shared" si="182"/>
        <v>0.3411764705882353</v>
      </c>
      <c r="BF53" t="str">
        <f t="shared" si="7"/>
        <v xml:space="preserve">Brand </v>
      </c>
      <c r="BG53" t="str">
        <f t="shared" si="8"/>
        <v>Super Bowl</v>
      </c>
      <c r="BI53">
        <f t="shared" si="9"/>
        <v>3.5</v>
      </c>
      <c r="BJ53" t="str">
        <f t="shared" si="10"/>
        <v>Super Bowl</v>
      </c>
      <c r="BK53" t="str">
        <f t="shared" si="11"/>
        <v>B</v>
      </c>
      <c r="BS53">
        <f t="shared" si="130"/>
        <v>0.30252100840336132</v>
      </c>
      <c r="BT53">
        <f t="shared" si="131"/>
        <v>-0.6386554621848739</v>
      </c>
      <c r="BU53">
        <f t="shared" si="132"/>
        <v>0.48739495798319332</v>
      </c>
      <c r="BW53">
        <f t="shared" si="133"/>
        <v>-0.88658687390872204</v>
      </c>
      <c r="BX53">
        <f t="shared" si="134"/>
        <v>-1.3885000301571429</v>
      </c>
      <c r="BY53">
        <f t="shared" si="135"/>
        <v>1.0129078458112464</v>
      </c>
      <c r="CB53">
        <f t="shared" si="136"/>
        <v>0.37694681774291966</v>
      </c>
      <c r="CC53">
        <f t="shared" si="137"/>
        <v>3.2790554830938303</v>
      </c>
      <c r="CD53">
        <f t="shared" si="138"/>
        <v>3.3022555562946891</v>
      </c>
      <c r="CE53">
        <f t="shared" si="139"/>
        <v>2.1069695730499789</v>
      </c>
      <c r="CF53">
        <f t="shared" si="140"/>
        <v>2.5421018910864563</v>
      </c>
      <c r="CG53">
        <f t="shared" si="33"/>
        <v>0.37694681774291966</v>
      </c>
      <c r="CK53" t="str">
        <f t="shared" si="170"/>
        <v>Cluster 1</v>
      </c>
      <c r="CL53" t="str">
        <f t="shared" si="141"/>
        <v>B Super Bowl</v>
      </c>
      <c r="CM53" t="str">
        <f t="shared" si="149"/>
        <v>Super Bowl B</v>
      </c>
      <c r="CN53" t="str">
        <f t="shared" si="142"/>
        <v>Diff</v>
      </c>
    </row>
    <row r="54" spans="8:92">
      <c r="H54">
        <v>47</v>
      </c>
      <c r="I54">
        <v>3</v>
      </c>
      <c r="J54">
        <v>6</v>
      </c>
      <c r="K54">
        <v>9</v>
      </c>
      <c r="L54">
        <v>13</v>
      </c>
      <c r="M54">
        <v>16</v>
      </c>
      <c r="N54">
        <v>1</v>
      </c>
      <c r="O54">
        <v>2</v>
      </c>
      <c r="P54">
        <v>4</v>
      </c>
      <c r="Q54">
        <v>7</v>
      </c>
      <c r="R54">
        <v>10</v>
      </c>
      <c r="S54">
        <v>11</v>
      </c>
      <c r="T54">
        <v>14</v>
      </c>
      <c r="U54">
        <v>17</v>
      </c>
      <c r="V54">
        <v>19</v>
      </c>
      <c r="W54">
        <v>20</v>
      </c>
      <c r="X54">
        <v>5</v>
      </c>
      <c r="Y54">
        <v>8</v>
      </c>
      <c r="Z54">
        <v>12</v>
      </c>
      <c r="AA54">
        <v>15</v>
      </c>
      <c r="AB54">
        <v>18</v>
      </c>
      <c r="AD54">
        <f t="shared" ref="AD54:AH54" si="183">SUMIFS($I54:$AB54,$I$2:$AB$2,AD$7)</f>
        <v>20</v>
      </c>
      <c r="AE54">
        <f t="shared" si="183"/>
        <v>30</v>
      </c>
      <c r="AF54">
        <f t="shared" si="183"/>
        <v>42</v>
      </c>
      <c r="AG54">
        <f t="shared" si="183"/>
        <v>54</v>
      </c>
      <c r="AH54">
        <f t="shared" si="183"/>
        <v>64</v>
      </c>
      <c r="AI54">
        <f t="shared" si="163"/>
        <v>71</v>
      </c>
      <c r="AJ54">
        <f t="shared" si="163"/>
        <v>139</v>
      </c>
      <c r="AK54">
        <f t="shared" si="164"/>
        <v>82</v>
      </c>
      <c r="AL54">
        <f t="shared" si="164"/>
        <v>128</v>
      </c>
      <c r="AN54" s="67">
        <f t="shared" ref="AN54:AV54" si="184">((AD54-MIN($AD54:$AL54))/(MAX($AD54:$AL54)-MIN($AD54:$AL54)))</f>
        <v>0</v>
      </c>
      <c r="AO54" s="67">
        <f t="shared" si="184"/>
        <v>8.4033613445378158E-2</v>
      </c>
      <c r="AP54" s="67">
        <f t="shared" si="184"/>
        <v>0.18487394957983194</v>
      </c>
      <c r="AQ54" s="67">
        <f t="shared" si="184"/>
        <v>0.2857142857142857</v>
      </c>
      <c r="AR54" s="67">
        <f t="shared" si="184"/>
        <v>0.36974789915966388</v>
      </c>
      <c r="AS54" s="67">
        <f t="shared" si="184"/>
        <v>0.42857142857142855</v>
      </c>
      <c r="AT54" s="67">
        <f t="shared" si="184"/>
        <v>1</v>
      </c>
      <c r="AU54" s="67">
        <f t="shared" si="184"/>
        <v>0.52100840336134457</v>
      </c>
      <c r="AV54" s="67">
        <f t="shared" si="184"/>
        <v>0.90756302521008403</v>
      </c>
      <c r="AX54">
        <f t="shared" si="4"/>
        <v>0.36974789915966388</v>
      </c>
      <c r="AY54">
        <f t="shared" si="14"/>
        <v>0.5714285714285714</v>
      </c>
      <c r="AZ54">
        <f t="shared" si="5"/>
        <v>0.38655462184873945</v>
      </c>
      <c r="BB54">
        <f t="shared" ref="BB54:BD54" si="185">AX54/SUM($AX54:$AZ54)</f>
        <v>0.27848101265822789</v>
      </c>
      <c r="BC54">
        <f t="shared" si="185"/>
        <v>0.43037974683544306</v>
      </c>
      <c r="BD54">
        <f t="shared" si="185"/>
        <v>0.29113924050632911</v>
      </c>
      <c r="BF54" t="str">
        <f t="shared" si="7"/>
        <v xml:space="preserve">Brand </v>
      </c>
      <c r="BG54" t="str">
        <f t="shared" si="8"/>
        <v>Super Bowl</v>
      </c>
      <c r="BI54">
        <f t="shared" si="9"/>
        <v>3.5</v>
      </c>
      <c r="BJ54" t="str">
        <f t="shared" si="10"/>
        <v>Super Bowl</v>
      </c>
      <c r="BK54" t="str">
        <f t="shared" si="11"/>
        <v>B</v>
      </c>
      <c r="BS54">
        <f t="shared" si="130"/>
        <v>0.36974789915966388</v>
      </c>
      <c r="BT54">
        <f t="shared" si="131"/>
        <v>-0.5714285714285714</v>
      </c>
      <c r="BU54">
        <f t="shared" si="132"/>
        <v>0.38655462184873945</v>
      </c>
      <c r="BW54">
        <f t="shared" si="133"/>
        <v>-0.29438105456653607</v>
      </c>
      <c r="BX54">
        <f t="shared" si="134"/>
        <v>-1.2415041050711628</v>
      </c>
      <c r="BY54">
        <f t="shared" si="135"/>
        <v>0.79986070322334002</v>
      </c>
      <c r="CB54">
        <f t="shared" si="136"/>
        <v>0.45487419026140324</v>
      </c>
      <c r="CC54">
        <f t="shared" si="137"/>
        <v>2.6643172521979359</v>
      </c>
      <c r="CD54">
        <f t="shared" si="138"/>
        <v>3.03322181562132</v>
      </c>
      <c r="CE54">
        <f t="shared" si="139"/>
        <v>1.8528434851622388</v>
      </c>
      <c r="CF54">
        <f t="shared" si="140"/>
        <v>2.3978257236792739</v>
      </c>
      <c r="CG54">
        <f t="shared" si="33"/>
        <v>0.45487419026140324</v>
      </c>
      <c r="CK54" t="str">
        <f t="shared" si="170"/>
        <v>Cluster 1</v>
      </c>
      <c r="CL54" t="str">
        <f t="shared" si="141"/>
        <v>B Super Bowl</v>
      </c>
      <c r="CM54" t="str">
        <f t="shared" si="149"/>
        <v>Super Bowl B</v>
      </c>
      <c r="CN54" t="str">
        <f t="shared" si="142"/>
        <v>Diff</v>
      </c>
    </row>
    <row r="55" spans="8:92">
      <c r="H55">
        <v>48</v>
      </c>
      <c r="I55">
        <v>3</v>
      </c>
      <c r="J55">
        <v>6</v>
      </c>
      <c r="K55">
        <v>9</v>
      </c>
      <c r="L55">
        <v>13</v>
      </c>
      <c r="M55">
        <v>16</v>
      </c>
      <c r="N55">
        <v>11</v>
      </c>
      <c r="O55">
        <v>14</v>
      </c>
      <c r="P55">
        <v>17</v>
      </c>
      <c r="Q55">
        <v>19</v>
      </c>
      <c r="R55">
        <v>20</v>
      </c>
      <c r="S55">
        <v>1</v>
      </c>
      <c r="T55">
        <v>2</v>
      </c>
      <c r="U55">
        <v>4</v>
      </c>
      <c r="V55">
        <v>7</v>
      </c>
      <c r="W55">
        <v>10</v>
      </c>
      <c r="X55">
        <v>5</v>
      </c>
      <c r="Y55">
        <v>8</v>
      </c>
      <c r="Z55">
        <v>12</v>
      </c>
      <c r="AA55">
        <v>15</v>
      </c>
      <c r="AB55">
        <v>18</v>
      </c>
      <c r="AD55">
        <f t="shared" ref="AD55:AH55" si="186">SUMIFS($I55:$AB55,$I$2:$AB$2,AD$7)</f>
        <v>20</v>
      </c>
      <c r="AE55">
        <f t="shared" si="186"/>
        <v>30</v>
      </c>
      <c r="AF55">
        <f t="shared" si="186"/>
        <v>42</v>
      </c>
      <c r="AG55">
        <f t="shared" si="186"/>
        <v>54</v>
      </c>
      <c r="AH55">
        <f t="shared" si="186"/>
        <v>64</v>
      </c>
      <c r="AI55">
        <f t="shared" si="163"/>
        <v>128</v>
      </c>
      <c r="AJ55">
        <f t="shared" si="163"/>
        <v>82</v>
      </c>
      <c r="AK55">
        <f t="shared" si="164"/>
        <v>139</v>
      </c>
      <c r="AL55">
        <f t="shared" si="164"/>
        <v>71</v>
      </c>
      <c r="AN55" s="67">
        <f t="shared" ref="AN55:AV55" si="187">((AD55-MIN($AD55:$AL55))/(MAX($AD55:$AL55)-MIN($AD55:$AL55)))</f>
        <v>0</v>
      </c>
      <c r="AO55" s="67">
        <f t="shared" si="187"/>
        <v>8.4033613445378158E-2</v>
      </c>
      <c r="AP55" s="67">
        <f t="shared" si="187"/>
        <v>0.18487394957983194</v>
      </c>
      <c r="AQ55" s="67">
        <f t="shared" si="187"/>
        <v>0.2857142857142857</v>
      </c>
      <c r="AR55" s="67">
        <f t="shared" si="187"/>
        <v>0.36974789915966388</v>
      </c>
      <c r="AS55" s="67">
        <f t="shared" si="187"/>
        <v>0.90756302521008403</v>
      </c>
      <c r="AT55" s="67">
        <f t="shared" si="187"/>
        <v>0.52100840336134457</v>
      </c>
      <c r="AU55" s="67">
        <f t="shared" si="187"/>
        <v>1</v>
      </c>
      <c r="AV55" s="67">
        <f t="shared" si="187"/>
        <v>0.42857142857142855</v>
      </c>
      <c r="AX55">
        <f t="shared" si="4"/>
        <v>0.36974789915966388</v>
      </c>
      <c r="AY55">
        <f t="shared" si="14"/>
        <v>0.38655462184873945</v>
      </c>
      <c r="AZ55">
        <f t="shared" si="5"/>
        <v>0.5714285714285714</v>
      </c>
      <c r="BB55">
        <f t="shared" ref="BB55:BD55" si="188">AX55/SUM($AX55:$AZ55)</f>
        <v>0.27848101265822789</v>
      </c>
      <c r="BC55">
        <f t="shared" si="188"/>
        <v>0.29113924050632911</v>
      </c>
      <c r="BD55">
        <f t="shared" si="188"/>
        <v>0.43037974683544306</v>
      </c>
      <c r="BF55" t="str">
        <f t="shared" si="7"/>
        <v>Theme</v>
      </c>
      <c r="BG55" t="str">
        <f t="shared" si="8"/>
        <v>A</v>
      </c>
      <c r="BI55">
        <f t="shared" si="9"/>
        <v>3.5</v>
      </c>
      <c r="BJ55" t="str">
        <f t="shared" si="10"/>
        <v>Tennis</v>
      </c>
      <c r="BK55" t="str">
        <f t="shared" si="11"/>
        <v>A</v>
      </c>
      <c r="BS55">
        <f t="shared" si="130"/>
        <v>0.36974789915966388</v>
      </c>
      <c r="BT55">
        <f t="shared" si="131"/>
        <v>0.38655462184873945</v>
      </c>
      <c r="BU55">
        <f t="shared" si="132"/>
        <v>-0.5714285714285714</v>
      </c>
      <c r="BW55">
        <f t="shared" si="133"/>
        <v>-0.29438105456653607</v>
      </c>
      <c r="BX55">
        <f t="shared" si="134"/>
        <v>0.8531878274040513</v>
      </c>
      <c r="BY55">
        <f t="shared" si="135"/>
        <v>-1.2240871513617693</v>
      </c>
      <c r="CB55">
        <f t="shared" si="136"/>
        <v>3.0874792523532451</v>
      </c>
      <c r="CC55">
        <f t="shared" si="137"/>
        <v>2.5210024588381184</v>
      </c>
      <c r="CD55">
        <f t="shared" si="138"/>
        <v>0.27457842912785946</v>
      </c>
      <c r="CE55">
        <f t="shared" si="139"/>
        <v>2.0403068754524458</v>
      </c>
      <c r="CF55">
        <f t="shared" si="140"/>
        <v>2.3731032068962441</v>
      </c>
      <c r="CG55">
        <f t="shared" si="33"/>
        <v>0.27457842912785946</v>
      </c>
      <c r="CK55" t="str">
        <f t="shared" si="170"/>
        <v>Cluster 3</v>
      </c>
      <c r="CL55" t="str">
        <f t="shared" si="141"/>
        <v>A Tennis</v>
      </c>
      <c r="CM55" t="str">
        <f t="shared" si="149"/>
        <v>Tennis A</v>
      </c>
      <c r="CN55" t="str">
        <f t="shared" si="142"/>
        <v>Diff</v>
      </c>
    </row>
    <row r="56" spans="8:92">
      <c r="H56">
        <v>49</v>
      </c>
      <c r="I56">
        <v>9</v>
      </c>
      <c r="J56">
        <v>13</v>
      </c>
      <c r="K56">
        <v>16</v>
      </c>
      <c r="L56">
        <v>19</v>
      </c>
      <c r="M56">
        <v>20</v>
      </c>
      <c r="N56">
        <v>3</v>
      </c>
      <c r="O56">
        <v>6</v>
      </c>
      <c r="P56">
        <v>10</v>
      </c>
      <c r="Q56">
        <v>14</v>
      </c>
      <c r="R56">
        <v>17</v>
      </c>
      <c r="S56">
        <v>4</v>
      </c>
      <c r="T56">
        <v>7</v>
      </c>
      <c r="U56">
        <v>11</v>
      </c>
      <c r="V56">
        <v>15</v>
      </c>
      <c r="W56">
        <v>18</v>
      </c>
      <c r="X56">
        <v>1</v>
      </c>
      <c r="Y56">
        <v>2</v>
      </c>
      <c r="Z56">
        <v>5</v>
      </c>
      <c r="AA56">
        <v>8</v>
      </c>
      <c r="AB56">
        <v>12</v>
      </c>
      <c r="AD56">
        <f t="shared" ref="AD56:AH56" si="189">SUMIFS($I56:$AB56,$I$2:$AB$2,AD$7)</f>
        <v>17</v>
      </c>
      <c r="AE56">
        <f t="shared" si="189"/>
        <v>28</v>
      </c>
      <c r="AF56">
        <f t="shared" si="189"/>
        <v>42</v>
      </c>
      <c r="AG56">
        <f t="shared" si="189"/>
        <v>56</v>
      </c>
      <c r="AH56">
        <f t="shared" si="189"/>
        <v>67</v>
      </c>
      <c r="AI56">
        <f t="shared" si="163"/>
        <v>127</v>
      </c>
      <c r="AJ56">
        <f t="shared" si="163"/>
        <v>83</v>
      </c>
      <c r="AK56">
        <f t="shared" si="164"/>
        <v>78</v>
      </c>
      <c r="AL56">
        <f t="shared" si="164"/>
        <v>132</v>
      </c>
      <c r="AN56" s="67">
        <f t="shared" ref="AN56:AV56" si="190">((AD56-MIN($AD56:$AL56))/(MAX($AD56:$AL56)-MIN($AD56:$AL56)))</f>
        <v>0</v>
      </c>
      <c r="AO56" s="67">
        <f t="shared" si="190"/>
        <v>9.5652173913043481E-2</v>
      </c>
      <c r="AP56" s="67">
        <f t="shared" si="190"/>
        <v>0.21739130434782608</v>
      </c>
      <c r="AQ56" s="67">
        <f t="shared" si="190"/>
        <v>0.33913043478260868</v>
      </c>
      <c r="AR56" s="67">
        <f t="shared" si="190"/>
        <v>0.43478260869565216</v>
      </c>
      <c r="AS56" s="67">
        <f t="shared" si="190"/>
        <v>0.95652173913043481</v>
      </c>
      <c r="AT56" s="67">
        <f t="shared" si="190"/>
        <v>0.57391304347826089</v>
      </c>
      <c r="AU56" s="67">
        <f t="shared" si="190"/>
        <v>0.5304347826086957</v>
      </c>
      <c r="AV56" s="67">
        <f t="shared" si="190"/>
        <v>1</v>
      </c>
      <c r="AX56">
        <f t="shared" si="4"/>
        <v>0.43478260869565216</v>
      </c>
      <c r="AY56">
        <f t="shared" si="14"/>
        <v>0.38260869565217392</v>
      </c>
      <c r="AZ56">
        <f t="shared" si="5"/>
        <v>0.4695652173913043</v>
      </c>
      <c r="BB56">
        <f t="shared" ref="BB56:BD56" si="191">AX56/SUM($AX56:$AZ56)</f>
        <v>0.33783783783783783</v>
      </c>
      <c r="BC56">
        <f t="shared" si="191"/>
        <v>0.29729729729729731</v>
      </c>
      <c r="BD56">
        <f t="shared" si="191"/>
        <v>0.36486486486486486</v>
      </c>
      <c r="BF56" t="str">
        <f t="shared" si="7"/>
        <v>Theme</v>
      </c>
      <c r="BG56" t="str">
        <f t="shared" si="8"/>
        <v>B</v>
      </c>
      <c r="BI56">
        <f t="shared" si="9"/>
        <v>3.5</v>
      </c>
      <c r="BJ56" t="str">
        <f t="shared" si="10"/>
        <v>Tennis</v>
      </c>
      <c r="BK56" t="str">
        <f t="shared" si="11"/>
        <v>B</v>
      </c>
      <c r="BS56">
        <f t="shared" si="130"/>
        <v>0.43478260869565216</v>
      </c>
      <c r="BT56">
        <f t="shared" si="131"/>
        <v>0.38260869565217392</v>
      </c>
      <c r="BU56">
        <f t="shared" si="132"/>
        <v>0.4695652173913043</v>
      </c>
      <c r="BW56">
        <f t="shared" si="133"/>
        <v>0.27851370544927367</v>
      </c>
      <c r="BX56">
        <f t="shared" si="134"/>
        <v>0.84455980571422218</v>
      </c>
      <c r="BY56">
        <f t="shared" si="135"/>
        <v>0.97523864088990631</v>
      </c>
      <c r="CB56">
        <f t="shared" si="136"/>
        <v>2.1849227655775278</v>
      </c>
      <c r="CC56">
        <f t="shared" si="137"/>
        <v>1.8979407856179351</v>
      </c>
      <c r="CD56">
        <f t="shared" si="138"/>
        <v>2.302477295221355</v>
      </c>
      <c r="CE56">
        <f t="shared" si="139"/>
        <v>2.950384563093059</v>
      </c>
      <c r="CF56">
        <f t="shared" si="140"/>
        <v>0.85531312960045391</v>
      </c>
      <c r="CG56">
        <f t="shared" si="33"/>
        <v>0.85531312960045391</v>
      </c>
      <c r="CK56" t="str">
        <f t="shared" si="170"/>
        <v>Cluster 5</v>
      </c>
      <c r="CL56" t="str">
        <f t="shared" si="141"/>
        <v>B Tennis</v>
      </c>
      <c r="CM56" t="str">
        <f t="shared" si="149"/>
        <v>Tennis B</v>
      </c>
      <c r="CN56" t="str">
        <f t="shared" si="142"/>
        <v>Diff</v>
      </c>
    </row>
    <row r="57" spans="8:92">
      <c r="H57">
        <v>50</v>
      </c>
      <c r="I57">
        <v>4</v>
      </c>
      <c r="J57">
        <v>7</v>
      </c>
      <c r="K57">
        <v>10</v>
      </c>
      <c r="L57">
        <v>12</v>
      </c>
      <c r="M57">
        <v>15</v>
      </c>
      <c r="N57">
        <v>1</v>
      </c>
      <c r="O57">
        <v>2</v>
      </c>
      <c r="P57">
        <v>3</v>
      </c>
      <c r="Q57">
        <v>5</v>
      </c>
      <c r="R57">
        <v>8</v>
      </c>
      <c r="S57">
        <v>13</v>
      </c>
      <c r="T57">
        <v>16</v>
      </c>
      <c r="U57">
        <v>18</v>
      </c>
      <c r="V57">
        <v>19</v>
      </c>
      <c r="W57">
        <v>20</v>
      </c>
      <c r="X57">
        <v>6</v>
      </c>
      <c r="Y57">
        <v>9</v>
      </c>
      <c r="Z57">
        <v>11</v>
      </c>
      <c r="AA57">
        <v>14</v>
      </c>
      <c r="AB57">
        <v>17</v>
      </c>
      <c r="AD57">
        <f t="shared" ref="AD57:AH57" si="192">SUMIFS($I57:$AB57,$I$2:$AB$2,AD$7)</f>
        <v>24</v>
      </c>
      <c r="AE57">
        <f t="shared" si="192"/>
        <v>34</v>
      </c>
      <c r="AF57">
        <f t="shared" si="192"/>
        <v>42</v>
      </c>
      <c r="AG57">
        <f t="shared" si="192"/>
        <v>50</v>
      </c>
      <c r="AH57">
        <f t="shared" si="192"/>
        <v>60</v>
      </c>
      <c r="AI57">
        <f t="shared" si="163"/>
        <v>67</v>
      </c>
      <c r="AJ57">
        <f t="shared" si="163"/>
        <v>143</v>
      </c>
      <c r="AK57">
        <f t="shared" si="164"/>
        <v>76</v>
      </c>
      <c r="AL57">
        <f t="shared" si="164"/>
        <v>134</v>
      </c>
      <c r="AN57" s="67">
        <f t="shared" ref="AN57:AV57" si="193">((AD57-MIN($AD57:$AL57))/(MAX($AD57:$AL57)-MIN($AD57:$AL57)))</f>
        <v>0</v>
      </c>
      <c r="AO57" s="67">
        <f t="shared" si="193"/>
        <v>8.4033613445378158E-2</v>
      </c>
      <c r="AP57" s="67">
        <f t="shared" si="193"/>
        <v>0.15126050420168066</v>
      </c>
      <c r="AQ57" s="67">
        <f t="shared" si="193"/>
        <v>0.21848739495798319</v>
      </c>
      <c r="AR57" s="67">
        <f t="shared" si="193"/>
        <v>0.30252100840336132</v>
      </c>
      <c r="AS57" s="67">
        <f t="shared" si="193"/>
        <v>0.36134453781512604</v>
      </c>
      <c r="AT57" s="67">
        <f t="shared" si="193"/>
        <v>1</v>
      </c>
      <c r="AU57" s="67">
        <f t="shared" si="193"/>
        <v>0.43697478991596639</v>
      </c>
      <c r="AV57" s="67">
        <f t="shared" si="193"/>
        <v>0.92436974789915971</v>
      </c>
      <c r="AX57">
        <f t="shared" si="4"/>
        <v>0.30252100840336132</v>
      </c>
      <c r="AY57">
        <f t="shared" si="14"/>
        <v>0.6386554621848739</v>
      </c>
      <c r="AZ57">
        <f t="shared" si="5"/>
        <v>0.48739495798319332</v>
      </c>
      <c r="BB57">
        <f t="shared" ref="BB57:BD57" si="194">AX57/SUM($AX57:$AZ57)</f>
        <v>0.21176470588235291</v>
      </c>
      <c r="BC57">
        <f t="shared" si="194"/>
        <v>0.44705882352941173</v>
      </c>
      <c r="BD57">
        <f t="shared" si="194"/>
        <v>0.3411764705882353</v>
      </c>
      <c r="BF57" t="str">
        <f t="shared" si="7"/>
        <v xml:space="preserve">Brand </v>
      </c>
      <c r="BG57" t="str">
        <f t="shared" si="8"/>
        <v>Super Bowl</v>
      </c>
      <c r="BI57">
        <f t="shared" si="9"/>
        <v>3.5</v>
      </c>
      <c r="BJ57" t="str">
        <f t="shared" si="10"/>
        <v>Super Bowl</v>
      </c>
      <c r="BK57" t="str">
        <f t="shared" si="11"/>
        <v>B</v>
      </c>
      <c r="BS57">
        <f t="shared" si="130"/>
        <v>0.30252100840336132</v>
      </c>
      <c r="BT57">
        <f t="shared" si="131"/>
        <v>-0.6386554621848739</v>
      </c>
      <c r="BU57">
        <f t="shared" si="132"/>
        <v>0.48739495798319332</v>
      </c>
      <c r="BW57">
        <f t="shared" si="133"/>
        <v>-0.88658687390872204</v>
      </c>
      <c r="BX57">
        <f t="shared" si="134"/>
        <v>-1.3885000301571429</v>
      </c>
      <c r="BY57">
        <f t="shared" si="135"/>
        <v>1.0129078458112464</v>
      </c>
      <c r="CB57">
        <f t="shared" si="136"/>
        <v>0.37694681774291966</v>
      </c>
      <c r="CC57">
        <f t="shared" si="137"/>
        <v>3.2790554830938303</v>
      </c>
      <c r="CD57">
        <f t="shared" si="138"/>
        <v>3.3022555562946891</v>
      </c>
      <c r="CE57">
        <f t="shared" si="139"/>
        <v>2.1069695730499789</v>
      </c>
      <c r="CF57">
        <f t="shared" si="140"/>
        <v>2.5421018910864563</v>
      </c>
      <c r="CG57">
        <f t="shared" si="33"/>
        <v>0.37694681774291966</v>
      </c>
      <c r="CK57" t="str">
        <f t="shared" si="170"/>
        <v>Cluster 1</v>
      </c>
      <c r="CL57" t="str">
        <f t="shared" si="141"/>
        <v>B Super Bowl</v>
      </c>
      <c r="CM57" t="str">
        <f t="shared" si="149"/>
        <v>Super Bowl B</v>
      </c>
      <c r="CN57" t="str">
        <f t="shared" si="142"/>
        <v>Diff</v>
      </c>
    </row>
    <row r="58" spans="8:92">
      <c r="H58">
        <v>51</v>
      </c>
      <c r="I58">
        <v>4</v>
      </c>
      <c r="J58">
        <v>8</v>
      </c>
      <c r="K58">
        <v>12</v>
      </c>
      <c r="L58">
        <v>16</v>
      </c>
      <c r="M58">
        <v>20</v>
      </c>
      <c r="N58">
        <v>2</v>
      </c>
      <c r="O58">
        <v>6</v>
      </c>
      <c r="P58">
        <v>10</v>
      </c>
      <c r="Q58">
        <v>14</v>
      </c>
      <c r="R58">
        <v>18</v>
      </c>
      <c r="S58">
        <v>3</v>
      </c>
      <c r="T58">
        <v>7</v>
      </c>
      <c r="U58">
        <v>11</v>
      </c>
      <c r="V58">
        <v>15</v>
      </c>
      <c r="W58">
        <v>19</v>
      </c>
      <c r="X58">
        <v>1</v>
      </c>
      <c r="Y58">
        <v>5</v>
      </c>
      <c r="Z58">
        <v>9</v>
      </c>
      <c r="AA58">
        <v>13</v>
      </c>
      <c r="AB58">
        <v>17</v>
      </c>
      <c r="AD58">
        <f t="shared" ref="AD58:AH58" si="195">SUMIFS($I58:$AB58,$I$2:$AB$2,AD$7)</f>
        <v>10</v>
      </c>
      <c r="AE58">
        <f t="shared" si="195"/>
        <v>26</v>
      </c>
      <c r="AF58">
        <f t="shared" si="195"/>
        <v>42</v>
      </c>
      <c r="AG58">
        <f t="shared" si="195"/>
        <v>58</v>
      </c>
      <c r="AH58">
        <f t="shared" si="195"/>
        <v>74</v>
      </c>
      <c r="AI58">
        <f t="shared" si="163"/>
        <v>110</v>
      </c>
      <c r="AJ58">
        <f t="shared" si="163"/>
        <v>100</v>
      </c>
      <c r="AK58">
        <f t="shared" si="164"/>
        <v>95</v>
      </c>
      <c r="AL58">
        <f t="shared" si="164"/>
        <v>115</v>
      </c>
      <c r="AN58" s="67">
        <f t="shared" ref="AN58:AV58" si="196">((AD58-MIN($AD58:$AL58))/(MAX($AD58:$AL58)-MIN($AD58:$AL58)))</f>
        <v>0</v>
      </c>
      <c r="AO58" s="67">
        <f t="shared" si="196"/>
        <v>0.15238095238095239</v>
      </c>
      <c r="AP58" s="67">
        <f t="shared" si="196"/>
        <v>0.30476190476190479</v>
      </c>
      <c r="AQ58" s="67">
        <f t="shared" si="196"/>
        <v>0.45714285714285713</v>
      </c>
      <c r="AR58" s="67">
        <f t="shared" si="196"/>
        <v>0.60952380952380958</v>
      </c>
      <c r="AS58" s="67">
        <f t="shared" si="196"/>
        <v>0.95238095238095233</v>
      </c>
      <c r="AT58" s="67">
        <f t="shared" si="196"/>
        <v>0.8571428571428571</v>
      </c>
      <c r="AU58" s="67">
        <f t="shared" si="196"/>
        <v>0.80952380952380953</v>
      </c>
      <c r="AV58" s="67">
        <f t="shared" si="196"/>
        <v>1</v>
      </c>
      <c r="AX58">
        <f t="shared" si="4"/>
        <v>0.60952380952380958</v>
      </c>
      <c r="AY58">
        <f t="shared" si="14"/>
        <v>9.5238095238095233E-2</v>
      </c>
      <c r="AZ58">
        <f t="shared" si="5"/>
        <v>0.19047619047619047</v>
      </c>
      <c r="BB58">
        <f t="shared" ref="BB58:BD58" si="197">AX58/SUM($AX58:$AZ58)</f>
        <v>0.68085106382978722</v>
      </c>
      <c r="BC58">
        <f t="shared" si="197"/>
        <v>0.10638297872340424</v>
      </c>
      <c r="BD58">
        <f t="shared" si="197"/>
        <v>0.21276595744680848</v>
      </c>
      <c r="BF58" t="str">
        <f t="shared" si="7"/>
        <v>Price</v>
      </c>
      <c r="BG58">
        <f t="shared" si="8"/>
        <v>3.5</v>
      </c>
      <c r="BI58">
        <f t="shared" si="9"/>
        <v>3.5</v>
      </c>
      <c r="BJ58" t="str">
        <f t="shared" si="10"/>
        <v>Tennis</v>
      </c>
      <c r="BK58" t="str">
        <f t="shared" si="11"/>
        <v>B</v>
      </c>
      <c r="BS58">
        <f t="shared" si="130"/>
        <v>0.60952380952380958</v>
      </c>
      <c r="BT58">
        <f t="shared" si="131"/>
        <v>9.5238095238095233E-2</v>
      </c>
      <c r="BU58">
        <f t="shared" si="132"/>
        <v>0.19047619047619047</v>
      </c>
      <c r="BW58">
        <f t="shared" si="133"/>
        <v>1.8178197010872597</v>
      </c>
      <c r="BX58">
        <f t="shared" si="134"/>
        <v>0.21620548536480494</v>
      </c>
      <c r="BY58">
        <f t="shared" si="135"/>
        <v>0.38560237041352236</v>
      </c>
      <c r="CB58">
        <f t="shared" si="136"/>
        <v>2.879704618054391</v>
      </c>
      <c r="CC58">
        <f t="shared" si="137"/>
        <v>0.35764807334825383</v>
      </c>
      <c r="CD58">
        <f t="shared" si="138"/>
        <v>2.9116347659148465</v>
      </c>
      <c r="CE58">
        <f t="shared" si="139"/>
        <v>3.038588541311825</v>
      </c>
      <c r="CF58">
        <f t="shared" si="140"/>
        <v>2.6106972500267807</v>
      </c>
      <c r="CG58">
        <f t="shared" si="33"/>
        <v>0.35764807334825383</v>
      </c>
      <c r="CK58" t="str">
        <f t="shared" si="170"/>
        <v>Cluster 2</v>
      </c>
      <c r="CL58" t="str">
        <f t="shared" si="141"/>
        <v>Price Only</v>
      </c>
      <c r="CM58" t="str">
        <f t="shared" si="149"/>
        <v>Price Only</v>
      </c>
      <c r="CN58" t="str">
        <f t="shared" si="142"/>
        <v/>
      </c>
    </row>
    <row r="59" spans="8:92">
      <c r="H59">
        <v>52</v>
      </c>
      <c r="I59">
        <v>11</v>
      </c>
      <c r="J59">
        <v>14</v>
      </c>
      <c r="K59">
        <v>17</v>
      </c>
      <c r="L59">
        <v>19</v>
      </c>
      <c r="M59">
        <v>20</v>
      </c>
      <c r="N59">
        <v>5</v>
      </c>
      <c r="O59">
        <v>8</v>
      </c>
      <c r="P59">
        <v>12</v>
      </c>
      <c r="Q59">
        <v>15</v>
      </c>
      <c r="R59">
        <v>18</v>
      </c>
      <c r="S59">
        <v>3</v>
      </c>
      <c r="T59">
        <v>6</v>
      </c>
      <c r="U59">
        <v>9</v>
      </c>
      <c r="V59">
        <v>13</v>
      </c>
      <c r="W59">
        <v>16</v>
      </c>
      <c r="X59">
        <v>1</v>
      </c>
      <c r="Y59">
        <v>2</v>
      </c>
      <c r="Z59">
        <v>4</v>
      </c>
      <c r="AA59">
        <v>7</v>
      </c>
      <c r="AB59">
        <v>10</v>
      </c>
      <c r="AD59">
        <f t="shared" ref="AD59:AH59" si="198">SUMIFS($I59:$AB59,$I$2:$AB$2,AD$7)</f>
        <v>20</v>
      </c>
      <c r="AE59">
        <f t="shared" si="198"/>
        <v>30</v>
      </c>
      <c r="AF59">
        <f t="shared" si="198"/>
        <v>42</v>
      </c>
      <c r="AG59">
        <f t="shared" si="198"/>
        <v>54</v>
      </c>
      <c r="AH59">
        <f t="shared" si="198"/>
        <v>64</v>
      </c>
      <c r="AI59">
        <f t="shared" si="163"/>
        <v>139</v>
      </c>
      <c r="AJ59">
        <f t="shared" si="163"/>
        <v>71</v>
      </c>
      <c r="AK59">
        <f t="shared" si="164"/>
        <v>82</v>
      </c>
      <c r="AL59">
        <f t="shared" si="164"/>
        <v>128</v>
      </c>
      <c r="AN59" s="67">
        <f t="shared" ref="AN59:AV59" si="199">((AD59-MIN($AD59:$AL59))/(MAX($AD59:$AL59)-MIN($AD59:$AL59)))</f>
        <v>0</v>
      </c>
      <c r="AO59" s="67">
        <f t="shared" si="199"/>
        <v>8.4033613445378158E-2</v>
      </c>
      <c r="AP59" s="67">
        <f t="shared" si="199"/>
        <v>0.18487394957983194</v>
      </c>
      <c r="AQ59" s="67">
        <f t="shared" si="199"/>
        <v>0.2857142857142857</v>
      </c>
      <c r="AR59" s="67">
        <f t="shared" si="199"/>
        <v>0.36974789915966388</v>
      </c>
      <c r="AS59" s="67">
        <f t="shared" si="199"/>
        <v>1</v>
      </c>
      <c r="AT59" s="67">
        <f t="shared" si="199"/>
        <v>0.42857142857142855</v>
      </c>
      <c r="AU59" s="67">
        <f t="shared" si="199"/>
        <v>0.52100840336134457</v>
      </c>
      <c r="AV59" s="67">
        <f t="shared" si="199"/>
        <v>0.90756302521008403</v>
      </c>
      <c r="AX59">
        <f t="shared" si="4"/>
        <v>0.36974789915966388</v>
      </c>
      <c r="AY59">
        <f t="shared" si="14"/>
        <v>0.5714285714285714</v>
      </c>
      <c r="AZ59">
        <f t="shared" si="5"/>
        <v>0.38655462184873945</v>
      </c>
      <c r="BB59">
        <f t="shared" ref="BB59:BD59" si="200">AX59/SUM($AX59:$AZ59)</f>
        <v>0.27848101265822789</v>
      </c>
      <c r="BC59">
        <f t="shared" si="200"/>
        <v>0.43037974683544306</v>
      </c>
      <c r="BD59">
        <f t="shared" si="200"/>
        <v>0.29113924050632911</v>
      </c>
      <c r="BF59" t="str">
        <f t="shared" si="7"/>
        <v xml:space="preserve">Brand </v>
      </c>
      <c r="BG59" t="str">
        <f t="shared" si="8"/>
        <v>Tennis</v>
      </c>
      <c r="BI59">
        <f t="shared" si="9"/>
        <v>3.5</v>
      </c>
      <c r="BJ59" t="str">
        <f t="shared" si="10"/>
        <v>Tennis</v>
      </c>
      <c r="BK59" t="str">
        <f t="shared" si="11"/>
        <v>B</v>
      </c>
      <c r="BS59">
        <f t="shared" si="130"/>
        <v>0.36974789915966388</v>
      </c>
      <c r="BT59">
        <f t="shared" si="131"/>
        <v>0.5714285714285714</v>
      </c>
      <c r="BU59">
        <f t="shared" si="132"/>
        <v>0.38655462184873945</v>
      </c>
      <c r="BW59">
        <f t="shared" si="133"/>
        <v>-0.29438105456653607</v>
      </c>
      <c r="BX59">
        <f t="shared" si="134"/>
        <v>1.2574266213904963</v>
      </c>
      <c r="BY59">
        <f t="shared" si="135"/>
        <v>0.79986070322334002</v>
      </c>
      <c r="CB59">
        <f t="shared" si="136"/>
        <v>2.4431069277806312</v>
      </c>
      <c r="CC59">
        <f t="shared" si="137"/>
        <v>2.4617837967470075</v>
      </c>
      <c r="CD59">
        <f t="shared" si="138"/>
        <v>2.0072622277229542</v>
      </c>
      <c r="CE59">
        <f t="shared" si="139"/>
        <v>3.0535165319609359</v>
      </c>
      <c r="CF59">
        <f t="shared" si="140"/>
        <v>0.41405832490052752</v>
      </c>
      <c r="CG59">
        <f t="shared" si="33"/>
        <v>0.41405832490052752</v>
      </c>
      <c r="CK59" t="str">
        <f t="shared" si="170"/>
        <v>Cluster 5</v>
      </c>
      <c r="CL59" t="str">
        <f t="shared" si="141"/>
        <v>B Tennis</v>
      </c>
      <c r="CM59" t="str">
        <f t="shared" si="149"/>
        <v>Tennis B</v>
      </c>
      <c r="CN59" t="str">
        <f t="shared" si="142"/>
        <v>Diff</v>
      </c>
    </row>
    <row r="60" spans="8:92">
      <c r="H60">
        <v>53</v>
      </c>
      <c r="I60">
        <v>4</v>
      </c>
      <c r="J60">
        <v>8</v>
      </c>
      <c r="K60">
        <v>12</v>
      </c>
      <c r="L60">
        <v>16</v>
      </c>
      <c r="M60">
        <v>20</v>
      </c>
      <c r="N60">
        <v>3</v>
      </c>
      <c r="O60">
        <v>7</v>
      </c>
      <c r="P60">
        <v>11</v>
      </c>
      <c r="Q60">
        <v>15</v>
      </c>
      <c r="R60">
        <v>19</v>
      </c>
      <c r="S60">
        <v>2</v>
      </c>
      <c r="T60">
        <v>6</v>
      </c>
      <c r="U60">
        <v>10</v>
      </c>
      <c r="V60">
        <v>14</v>
      </c>
      <c r="W60">
        <v>18</v>
      </c>
      <c r="X60">
        <v>1</v>
      </c>
      <c r="Y60">
        <v>5</v>
      </c>
      <c r="Z60">
        <v>9</v>
      </c>
      <c r="AA60">
        <v>13</v>
      </c>
      <c r="AB60">
        <v>17</v>
      </c>
      <c r="AD60">
        <f t="shared" ref="AD60:AH60" si="201">SUMIFS($I60:$AB60,$I$2:$AB$2,AD$7)</f>
        <v>10</v>
      </c>
      <c r="AE60">
        <f t="shared" si="201"/>
        <v>26</v>
      </c>
      <c r="AF60">
        <f t="shared" si="201"/>
        <v>42</v>
      </c>
      <c r="AG60">
        <f t="shared" si="201"/>
        <v>58</v>
      </c>
      <c r="AH60">
        <f t="shared" si="201"/>
        <v>74</v>
      </c>
      <c r="AI60">
        <f t="shared" si="163"/>
        <v>115</v>
      </c>
      <c r="AJ60">
        <f t="shared" si="163"/>
        <v>95</v>
      </c>
      <c r="AK60">
        <f t="shared" si="164"/>
        <v>100</v>
      </c>
      <c r="AL60">
        <f t="shared" si="164"/>
        <v>110</v>
      </c>
      <c r="AN60" s="67">
        <f t="shared" ref="AN60:AV60" si="202">((AD60-MIN($AD60:$AL60))/(MAX($AD60:$AL60)-MIN($AD60:$AL60)))</f>
        <v>0</v>
      </c>
      <c r="AO60" s="67">
        <f t="shared" si="202"/>
        <v>0.15238095238095239</v>
      </c>
      <c r="AP60" s="67">
        <f t="shared" si="202"/>
        <v>0.30476190476190479</v>
      </c>
      <c r="AQ60" s="67">
        <f t="shared" si="202"/>
        <v>0.45714285714285713</v>
      </c>
      <c r="AR60" s="67">
        <f t="shared" si="202"/>
        <v>0.60952380952380958</v>
      </c>
      <c r="AS60" s="67">
        <f t="shared" si="202"/>
        <v>1</v>
      </c>
      <c r="AT60" s="67">
        <f t="shared" si="202"/>
        <v>0.80952380952380953</v>
      </c>
      <c r="AU60" s="67">
        <f t="shared" si="202"/>
        <v>0.8571428571428571</v>
      </c>
      <c r="AV60" s="67">
        <f t="shared" si="202"/>
        <v>0.95238095238095233</v>
      </c>
      <c r="AX60">
        <f t="shared" si="4"/>
        <v>0.60952380952380958</v>
      </c>
      <c r="AY60">
        <f t="shared" si="14"/>
        <v>0.19047619047619047</v>
      </c>
      <c r="AZ60">
        <f t="shared" si="5"/>
        <v>9.5238095238095233E-2</v>
      </c>
      <c r="BB60">
        <f t="shared" ref="BB60:BD60" si="203">AX60/SUM($AX60:$AZ60)</f>
        <v>0.68085106382978722</v>
      </c>
      <c r="BC60">
        <f t="shared" si="203"/>
        <v>0.21276595744680848</v>
      </c>
      <c r="BD60">
        <f t="shared" si="203"/>
        <v>0.10638297872340424</v>
      </c>
      <c r="BF60" t="str">
        <f t="shared" si="7"/>
        <v>Price</v>
      </c>
      <c r="BG60">
        <f t="shared" si="8"/>
        <v>3.5</v>
      </c>
      <c r="BI60">
        <f t="shared" si="9"/>
        <v>3.5</v>
      </c>
      <c r="BJ60" t="str">
        <f t="shared" si="10"/>
        <v>Tennis</v>
      </c>
      <c r="BK60" t="str">
        <f t="shared" si="11"/>
        <v>B</v>
      </c>
      <c r="BS60">
        <f t="shared" si="130"/>
        <v>0.60952380952380958</v>
      </c>
      <c r="BT60">
        <f t="shared" si="131"/>
        <v>0.19047619047619047</v>
      </c>
      <c r="BU60">
        <f t="shared" si="132"/>
        <v>9.5238095238095233E-2</v>
      </c>
      <c r="BW60">
        <f t="shared" si="133"/>
        <v>1.8178197010872597</v>
      </c>
      <c r="BX60">
        <f t="shared" si="134"/>
        <v>0.42444971256994318</v>
      </c>
      <c r="BY60">
        <f t="shared" si="135"/>
        <v>0.18439118019161094</v>
      </c>
      <c r="CB60">
        <f t="shared" si="136"/>
        <v>3.0387556747186748</v>
      </c>
      <c r="CC60">
        <f t="shared" si="137"/>
        <v>0.26127112978457395</v>
      </c>
      <c r="CD60">
        <f t="shared" si="138"/>
        <v>2.7540294742593474</v>
      </c>
      <c r="CE60">
        <f t="shared" si="139"/>
        <v>3.0528355709459638</v>
      </c>
      <c r="CF60">
        <f t="shared" si="140"/>
        <v>2.6111766219359862</v>
      </c>
      <c r="CG60">
        <f t="shared" si="33"/>
        <v>0.26127112978457395</v>
      </c>
      <c r="CK60" t="str">
        <f t="shared" si="170"/>
        <v>Cluster 2</v>
      </c>
      <c r="CL60" t="str">
        <f t="shared" si="141"/>
        <v>Price Only</v>
      </c>
      <c r="CM60" t="str">
        <f t="shared" si="149"/>
        <v>Price Only</v>
      </c>
      <c r="CN60" t="str">
        <f t="shared" si="142"/>
        <v/>
      </c>
    </row>
    <row r="61" spans="8:92">
      <c r="H61">
        <v>54</v>
      </c>
      <c r="I61">
        <v>4</v>
      </c>
      <c r="J61">
        <v>7</v>
      </c>
      <c r="K61">
        <v>10</v>
      </c>
      <c r="L61">
        <v>12</v>
      </c>
      <c r="M61">
        <v>15</v>
      </c>
      <c r="N61">
        <v>1</v>
      </c>
      <c r="O61">
        <v>2</v>
      </c>
      <c r="P61">
        <v>3</v>
      </c>
      <c r="Q61">
        <v>5</v>
      </c>
      <c r="R61">
        <v>8</v>
      </c>
      <c r="S61">
        <v>13</v>
      </c>
      <c r="T61">
        <v>16</v>
      </c>
      <c r="U61">
        <v>18</v>
      </c>
      <c r="V61">
        <v>19</v>
      </c>
      <c r="W61">
        <v>20</v>
      </c>
      <c r="X61">
        <v>6</v>
      </c>
      <c r="Y61">
        <v>9</v>
      </c>
      <c r="Z61">
        <v>11</v>
      </c>
      <c r="AA61">
        <v>14</v>
      </c>
      <c r="AB61">
        <v>17</v>
      </c>
      <c r="AD61">
        <f t="shared" ref="AD61:AH61" si="204">SUMIFS($I61:$AB61,$I$2:$AB$2,AD$7)</f>
        <v>24</v>
      </c>
      <c r="AE61">
        <f t="shared" si="204"/>
        <v>34</v>
      </c>
      <c r="AF61">
        <f t="shared" si="204"/>
        <v>42</v>
      </c>
      <c r="AG61">
        <f t="shared" si="204"/>
        <v>50</v>
      </c>
      <c r="AH61">
        <f t="shared" si="204"/>
        <v>60</v>
      </c>
      <c r="AI61">
        <f t="shared" si="163"/>
        <v>67</v>
      </c>
      <c r="AJ61">
        <f t="shared" si="163"/>
        <v>143</v>
      </c>
      <c r="AK61">
        <f t="shared" si="164"/>
        <v>76</v>
      </c>
      <c r="AL61">
        <f t="shared" si="164"/>
        <v>134</v>
      </c>
      <c r="AN61" s="67">
        <f t="shared" ref="AN61:AV61" si="205">((AD61-MIN($AD61:$AL61))/(MAX($AD61:$AL61)-MIN($AD61:$AL61)))</f>
        <v>0</v>
      </c>
      <c r="AO61" s="67">
        <f t="shared" si="205"/>
        <v>8.4033613445378158E-2</v>
      </c>
      <c r="AP61" s="67">
        <f t="shared" si="205"/>
        <v>0.15126050420168066</v>
      </c>
      <c r="AQ61" s="67">
        <f t="shared" si="205"/>
        <v>0.21848739495798319</v>
      </c>
      <c r="AR61" s="67">
        <f t="shared" si="205"/>
        <v>0.30252100840336132</v>
      </c>
      <c r="AS61" s="67">
        <f t="shared" si="205"/>
        <v>0.36134453781512604</v>
      </c>
      <c r="AT61" s="67">
        <f t="shared" si="205"/>
        <v>1</v>
      </c>
      <c r="AU61" s="67">
        <f t="shared" si="205"/>
        <v>0.43697478991596639</v>
      </c>
      <c r="AV61" s="67">
        <f t="shared" si="205"/>
        <v>0.92436974789915971</v>
      </c>
      <c r="AX61">
        <f t="shared" si="4"/>
        <v>0.30252100840336132</v>
      </c>
      <c r="AY61">
        <f t="shared" si="14"/>
        <v>0.6386554621848739</v>
      </c>
      <c r="AZ61">
        <f t="shared" si="5"/>
        <v>0.48739495798319332</v>
      </c>
      <c r="BB61">
        <f t="shared" ref="BB61:BD61" si="206">AX61/SUM($AX61:$AZ61)</f>
        <v>0.21176470588235291</v>
      </c>
      <c r="BC61">
        <f t="shared" si="206"/>
        <v>0.44705882352941173</v>
      </c>
      <c r="BD61">
        <f t="shared" si="206"/>
        <v>0.3411764705882353</v>
      </c>
      <c r="BF61" t="str">
        <f t="shared" si="7"/>
        <v xml:space="preserve">Brand </v>
      </c>
      <c r="BG61" t="str">
        <f t="shared" si="8"/>
        <v>Super Bowl</v>
      </c>
      <c r="BI61">
        <f t="shared" si="9"/>
        <v>3.5</v>
      </c>
      <c r="BJ61" t="str">
        <f t="shared" si="10"/>
        <v>Super Bowl</v>
      </c>
      <c r="BK61" t="str">
        <f t="shared" si="11"/>
        <v>B</v>
      </c>
      <c r="BS61">
        <f t="shared" si="130"/>
        <v>0.30252100840336132</v>
      </c>
      <c r="BT61">
        <f t="shared" si="131"/>
        <v>-0.6386554621848739</v>
      </c>
      <c r="BU61">
        <f t="shared" si="132"/>
        <v>0.48739495798319332</v>
      </c>
      <c r="BW61">
        <f t="shared" si="133"/>
        <v>-0.88658687390872204</v>
      </c>
      <c r="BX61">
        <f t="shared" si="134"/>
        <v>-1.3885000301571429</v>
      </c>
      <c r="BY61">
        <f t="shared" si="135"/>
        <v>1.0129078458112464</v>
      </c>
      <c r="CB61">
        <f t="shared" si="136"/>
        <v>0.37694681774291966</v>
      </c>
      <c r="CC61">
        <f t="shared" si="137"/>
        <v>3.2790554830938303</v>
      </c>
      <c r="CD61">
        <f t="shared" si="138"/>
        <v>3.3022555562946891</v>
      </c>
      <c r="CE61">
        <f t="shared" si="139"/>
        <v>2.1069695730499789</v>
      </c>
      <c r="CF61">
        <f t="shared" si="140"/>
        <v>2.5421018910864563</v>
      </c>
      <c r="CG61">
        <f t="shared" si="33"/>
        <v>0.37694681774291966</v>
      </c>
      <c r="CK61" t="str">
        <f t="shared" si="170"/>
        <v>Cluster 1</v>
      </c>
      <c r="CL61" t="str">
        <f t="shared" si="141"/>
        <v>B Super Bowl</v>
      </c>
      <c r="CM61" t="str">
        <f t="shared" si="149"/>
        <v>Super Bowl B</v>
      </c>
      <c r="CN61" t="str">
        <f t="shared" si="142"/>
        <v>Diff</v>
      </c>
    </row>
    <row r="62" spans="8:92">
      <c r="H62">
        <v>55</v>
      </c>
      <c r="I62">
        <v>6</v>
      </c>
      <c r="J62">
        <v>9</v>
      </c>
      <c r="K62">
        <v>11</v>
      </c>
      <c r="L62">
        <v>13</v>
      </c>
      <c r="M62">
        <v>16</v>
      </c>
      <c r="N62">
        <v>1</v>
      </c>
      <c r="O62">
        <v>2</v>
      </c>
      <c r="P62">
        <v>3</v>
      </c>
      <c r="Q62">
        <v>4</v>
      </c>
      <c r="R62">
        <v>7</v>
      </c>
      <c r="S62">
        <v>14</v>
      </c>
      <c r="T62">
        <v>17</v>
      </c>
      <c r="U62">
        <v>18</v>
      </c>
      <c r="V62">
        <v>19</v>
      </c>
      <c r="W62">
        <v>20</v>
      </c>
      <c r="X62">
        <v>5</v>
      </c>
      <c r="Y62">
        <v>8</v>
      </c>
      <c r="Z62">
        <v>10</v>
      </c>
      <c r="AA62">
        <v>12</v>
      </c>
      <c r="AB62">
        <v>15</v>
      </c>
      <c r="AD62">
        <f t="shared" ref="AD62:AH62" si="207">SUMIFS($I62:$AB62,$I$2:$AB$2,AD$7)</f>
        <v>26</v>
      </c>
      <c r="AE62">
        <f t="shared" si="207"/>
        <v>36</v>
      </c>
      <c r="AF62">
        <f t="shared" si="207"/>
        <v>42</v>
      </c>
      <c r="AG62">
        <f t="shared" si="207"/>
        <v>48</v>
      </c>
      <c r="AH62">
        <f t="shared" si="207"/>
        <v>58</v>
      </c>
      <c r="AI62">
        <f t="shared" si="163"/>
        <v>72</v>
      </c>
      <c r="AJ62">
        <f t="shared" si="163"/>
        <v>138</v>
      </c>
      <c r="AK62">
        <f t="shared" si="164"/>
        <v>67</v>
      </c>
      <c r="AL62">
        <f t="shared" si="164"/>
        <v>143</v>
      </c>
      <c r="AN62" s="67">
        <f t="shared" ref="AN62:AV62" si="208">((AD62-MIN($AD62:$AL62))/(MAX($AD62:$AL62)-MIN($AD62:$AL62)))</f>
        <v>0</v>
      </c>
      <c r="AO62" s="67">
        <f t="shared" si="208"/>
        <v>8.5470085470085472E-2</v>
      </c>
      <c r="AP62" s="67">
        <f t="shared" si="208"/>
        <v>0.13675213675213677</v>
      </c>
      <c r="AQ62" s="67">
        <f t="shared" si="208"/>
        <v>0.18803418803418803</v>
      </c>
      <c r="AR62" s="67">
        <f t="shared" si="208"/>
        <v>0.27350427350427353</v>
      </c>
      <c r="AS62" s="67">
        <f t="shared" si="208"/>
        <v>0.39316239316239315</v>
      </c>
      <c r="AT62" s="67">
        <f t="shared" si="208"/>
        <v>0.95726495726495731</v>
      </c>
      <c r="AU62" s="67">
        <f t="shared" si="208"/>
        <v>0.3504273504273504</v>
      </c>
      <c r="AV62" s="67">
        <f t="shared" si="208"/>
        <v>1</v>
      </c>
      <c r="AX62">
        <f t="shared" si="4"/>
        <v>0.27350427350427353</v>
      </c>
      <c r="AY62">
        <f t="shared" si="14"/>
        <v>0.5641025641025641</v>
      </c>
      <c r="AZ62">
        <f t="shared" si="5"/>
        <v>0.6495726495726496</v>
      </c>
      <c r="BB62">
        <f t="shared" ref="BB62:BD62" si="209">AX62/SUM($AX62:$AZ62)</f>
        <v>0.18390804597701152</v>
      </c>
      <c r="BC62">
        <f t="shared" si="209"/>
        <v>0.37931034482758619</v>
      </c>
      <c r="BD62">
        <f t="shared" si="209"/>
        <v>0.43678160919540232</v>
      </c>
      <c r="BF62" t="str">
        <f t="shared" si="7"/>
        <v>Theme</v>
      </c>
      <c r="BG62" t="str">
        <f t="shared" si="8"/>
        <v>B</v>
      </c>
      <c r="BI62">
        <f t="shared" si="9"/>
        <v>3.5</v>
      </c>
      <c r="BJ62" t="str">
        <f t="shared" si="10"/>
        <v>Super Bowl</v>
      </c>
      <c r="BK62" t="str">
        <f t="shared" si="11"/>
        <v>B</v>
      </c>
      <c r="BS62">
        <f t="shared" si="130"/>
        <v>0.27350427350427353</v>
      </c>
      <c r="BT62">
        <f t="shared" si="131"/>
        <v>-0.5641025641025641</v>
      </c>
      <c r="BU62">
        <f t="shared" si="132"/>
        <v>0.6495726495726496</v>
      </c>
      <c r="BW62">
        <f t="shared" si="133"/>
        <v>-1.1421970779837676</v>
      </c>
      <c r="BX62">
        <f t="shared" si="134"/>
        <v>-1.2254853183630754</v>
      </c>
      <c r="BY62">
        <f t="shared" si="135"/>
        <v>1.3555434925088903</v>
      </c>
      <c r="CB62">
        <f t="shared" si="136"/>
        <v>0.58808345683579133</v>
      </c>
      <c r="CC62">
        <f t="shared" si="137"/>
        <v>3.5335212086633896</v>
      </c>
      <c r="CD62">
        <f t="shared" si="138"/>
        <v>3.4686663251550782</v>
      </c>
      <c r="CE62">
        <f t="shared" si="139"/>
        <v>2.4890030353039121</v>
      </c>
      <c r="CF62">
        <f t="shared" si="140"/>
        <v>2.4425989643630599</v>
      </c>
      <c r="CG62">
        <f t="shared" si="33"/>
        <v>0.58808345683579133</v>
      </c>
      <c r="CK62" t="str">
        <f t="shared" si="170"/>
        <v>Cluster 1</v>
      </c>
      <c r="CL62" t="str">
        <f t="shared" si="141"/>
        <v>B Super Bowl</v>
      </c>
      <c r="CM62" t="str">
        <f t="shared" si="149"/>
        <v>Super Bowl B</v>
      </c>
      <c r="CN62" t="str">
        <f t="shared" si="142"/>
        <v>Diff</v>
      </c>
    </row>
    <row r="63" spans="8:92">
      <c r="H63">
        <v>56</v>
      </c>
      <c r="I63">
        <v>6</v>
      </c>
      <c r="J63">
        <v>9</v>
      </c>
      <c r="K63">
        <v>11</v>
      </c>
      <c r="L63">
        <v>14</v>
      </c>
      <c r="M63">
        <v>17</v>
      </c>
      <c r="N63">
        <v>13</v>
      </c>
      <c r="O63">
        <v>16</v>
      </c>
      <c r="P63">
        <v>18</v>
      </c>
      <c r="Q63">
        <v>19</v>
      </c>
      <c r="R63">
        <v>20</v>
      </c>
      <c r="S63">
        <v>1</v>
      </c>
      <c r="T63">
        <v>2</v>
      </c>
      <c r="U63">
        <v>3</v>
      </c>
      <c r="V63">
        <v>5</v>
      </c>
      <c r="W63">
        <v>8</v>
      </c>
      <c r="X63">
        <v>4</v>
      </c>
      <c r="Y63">
        <v>7</v>
      </c>
      <c r="Z63">
        <v>10</v>
      </c>
      <c r="AA63">
        <v>12</v>
      </c>
      <c r="AB63">
        <v>15</v>
      </c>
      <c r="AD63">
        <f t="shared" ref="AD63:AH63" si="210">SUMIFS($I63:$AB63,$I$2:$AB$2,AD$7)</f>
        <v>24</v>
      </c>
      <c r="AE63">
        <f t="shared" si="210"/>
        <v>34</v>
      </c>
      <c r="AF63">
        <f t="shared" si="210"/>
        <v>42</v>
      </c>
      <c r="AG63">
        <f t="shared" si="210"/>
        <v>50</v>
      </c>
      <c r="AH63">
        <f t="shared" si="210"/>
        <v>60</v>
      </c>
      <c r="AI63">
        <f t="shared" si="163"/>
        <v>143</v>
      </c>
      <c r="AJ63">
        <f t="shared" si="163"/>
        <v>67</v>
      </c>
      <c r="AK63">
        <f t="shared" si="164"/>
        <v>134</v>
      </c>
      <c r="AL63">
        <f t="shared" si="164"/>
        <v>76</v>
      </c>
      <c r="AN63" s="67">
        <f t="shared" ref="AN63:AV63" si="211">((AD63-MIN($AD63:$AL63))/(MAX($AD63:$AL63)-MIN($AD63:$AL63)))</f>
        <v>0</v>
      </c>
      <c r="AO63" s="67">
        <f t="shared" si="211"/>
        <v>8.4033613445378158E-2</v>
      </c>
      <c r="AP63" s="67">
        <f t="shared" si="211"/>
        <v>0.15126050420168066</v>
      </c>
      <c r="AQ63" s="67">
        <f t="shared" si="211"/>
        <v>0.21848739495798319</v>
      </c>
      <c r="AR63" s="67">
        <f t="shared" si="211"/>
        <v>0.30252100840336132</v>
      </c>
      <c r="AS63" s="67">
        <f t="shared" si="211"/>
        <v>1</v>
      </c>
      <c r="AT63" s="67">
        <f t="shared" si="211"/>
        <v>0.36134453781512604</v>
      </c>
      <c r="AU63" s="67">
        <f t="shared" si="211"/>
        <v>0.92436974789915971</v>
      </c>
      <c r="AV63" s="67">
        <f t="shared" si="211"/>
        <v>0.43697478991596639</v>
      </c>
      <c r="AX63">
        <f t="shared" si="4"/>
        <v>0.30252100840336132</v>
      </c>
      <c r="AY63">
        <f t="shared" si="14"/>
        <v>0.6386554621848739</v>
      </c>
      <c r="AZ63">
        <f t="shared" si="5"/>
        <v>0.48739495798319332</v>
      </c>
      <c r="BB63">
        <f t="shared" ref="BB63:BD63" si="212">AX63/SUM($AX63:$AZ63)</f>
        <v>0.21176470588235291</v>
      </c>
      <c r="BC63">
        <f t="shared" si="212"/>
        <v>0.44705882352941173</v>
      </c>
      <c r="BD63">
        <f t="shared" si="212"/>
        <v>0.3411764705882353</v>
      </c>
      <c r="BF63" t="str">
        <f t="shared" si="7"/>
        <v xml:space="preserve">Brand </v>
      </c>
      <c r="BG63" t="str">
        <f t="shared" si="8"/>
        <v>Tennis</v>
      </c>
      <c r="BI63">
        <f t="shared" si="9"/>
        <v>3.5</v>
      </c>
      <c r="BJ63" t="str">
        <f t="shared" si="10"/>
        <v>Tennis</v>
      </c>
      <c r="BK63" t="str">
        <f t="shared" si="11"/>
        <v>A</v>
      </c>
      <c r="BS63">
        <f t="shared" si="130"/>
        <v>0.30252100840336132</v>
      </c>
      <c r="BT63">
        <f t="shared" si="131"/>
        <v>0.6386554621848739</v>
      </c>
      <c r="BU63">
        <f t="shared" si="132"/>
        <v>-0.48739495798319332</v>
      </c>
      <c r="BW63">
        <f t="shared" si="133"/>
        <v>-0.88658687390872204</v>
      </c>
      <c r="BX63">
        <f t="shared" si="134"/>
        <v>1.4044225464764764</v>
      </c>
      <c r="BY63">
        <f t="shared" si="135"/>
        <v>-1.0465478658718474</v>
      </c>
      <c r="CB63">
        <f t="shared" si="136"/>
        <v>3.3486904859455158</v>
      </c>
      <c r="CC63">
        <f t="shared" si="137"/>
        <v>3.1270482218987632</v>
      </c>
      <c r="CD63">
        <f t="shared" si="138"/>
        <v>0.55506346869136325</v>
      </c>
      <c r="CE63">
        <f t="shared" si="139"/>
        <v>2.6073987919041648</v>
      </c>
      <c r="CF63">
        <f t="shared" si="140"/>
        <v>2.218764703849593</v>
      </c>
      <c r="CG63">
        <f t="shared" si="33"/>
        <v>0.55506346869136325</v>
      </c>
      <c r="CK63" t="str">
        <f t="shared" si="170"/>
        <v>Cluster 3</v>
      </c>
      <c r="CL63" t="str">
        <f t="shared" si="141"/>
        <v>A Tennis</v>
      </c>
      <c r="CM63" t="str">
        <f t="shared" si="149"/>
        <v>Tennis A</v>
      </c>
      <c r="CN63" t="str">
        <f t="shared" si="142"/>
        <v>Diff</v>
      </c>
    </row>
    <row r="64" spans="8:92">
      <c r="H64">
        <v>57</v>
      </c>
      <c r="I64">
        <v>4</v>
      </c>
      <c r="J64">
        <v>8</v>
      </c>
      <c r="K64">
        <v>12</v>
      </c>
      <c r="L64">
        <v>16</v>
      </c>
      <c r="M64">
        <v>20</v>
      </c>
      <c r="N64">
        <v>2</v>
      </c>
      <c r="O64">
        <v>6</v>
      </c>
      <c r="P64">
        <v>10</v>
      </c>
      <c r="Q64">
        <v>14</v>
      </c>
      <c r="R64">
        <v>18</v>
      </c>
      <c r="S64">
        <v>3</v>
      </c>
      <c r="T64">
        <v>7</v>
      </c>
      <c r="U64">
        <v>11</v>
      </c>
      <c r="V64">
        <v>15</v>
      </c>
      <c r="W64">
        <v>19</v>
      </c>
      <c r="X64">
        <v>1</v>
      </c>
      <c r="Y64">
        <v>5</v>
      </c>
      <c r="Z64">
        <v>9</v>
      </c>
      <c r="AA64">
        <v>13</v>
      </c>
      <c r="AB64">
        <v>17</v>
      </c>
      <c r="AD64">
        <f t="shared" ref="AD64:AH64" si="213">SUMIFS($I64:$AB64,$I$2:$AB$2,AD$7)</f>
        <v>10</v>
      </c>
      <c r="AE64">
        <f t="shared" si="213"/>
        <v>26</v>
      </c>
      <c r="AF64">
        <f t="shared" si="213"/>
        <v>42</v>
      </c>
      <c r="AG64">
        <f t="shared" si="213"/>
        <v>58</v>
      </c>
      <c r="AH64">
        <f t="shared" si="213"/>
        <v>74</v>
      </c>
      <c r="AI64">
        <f t="shared" si="163"/>
        <v>110</v>
      </c>
      <c r="AJ64">
        <f t="shared" si="163"/>
        <v>100</v>
      </c>
      <c r="AK64">
        <f t="shared" si="164"/>
        <v>95</v>
      </c>
      <c r="AL64">
        <f t="shared" si="164"/>
        <v>115</v>
      </c>
      <c r="AN64" s="67">
        <f t="shared" ref="AN64:AV64" si="214">((AD64-MIN($AD64:$AL64))/(MAX($AD64:$AL64)-MIN($AD64:$AL64)))</f>
        <v>0</v>
      </c>
      <c r="AO64" s="67">
        <f t="shared" si="214"/>
        <v>0.15238095238095239</v>
      </c>
      <c r="AP64" s="67">
        <f t="shared" si="214"/>
        <v>0.30476190476190479</v>
      </c>
      <c r="AQ64" s="67">
        <f t="shared" si="214"/>
        <v>0.45714285714285713</v>
      </c>
      <c r="AR64" s="67">
        <f t="shared" si="214"/>
        <v>0.60952380952380958</v>
      </c>
      <c r="AS64" s="67">
        <f t="shared" si="214"/>
        <v>0.95238095238095233</v>
      </c>
      <c r="AT64" s="67">
        <f t="shared" si="214"/>
        <v>0.8571428571428571</v>
      </c>
      <c r="AU64" s="67">
        <f t="shared" si="214"/>
        <v>0.80952380952380953</v>
      </c>
      <c r="AV64" s="67">
        <f t="shared" si="214"/>
        <v>1</v>
      </c>
      <c r="AX64">
        <f t="shared" si="4"/>
        <v>0.60952380952380958</v>
      </c>
      <c r="AY64">
        <f t="shared" si="14"/>
        <v>9.5238095238095233E-2</v>
      </c>
      <c r="AZ64">
        <f t="shared" si="5"/>
        <v>0.19047619047619047</v>
      </c>
      <c r="BB64">
        <f t="shared" ref="BB64:BD64" si="215">AX64/SUM($AX64:$AZ64)</f>
        <v>0.68085106382978722</v>
      </c>
      <c r="BC64">
        <f t="shared" si="215"/>
        <v>0.10638297872340424</v>
      </c>
      <c r="BD64">
        <f t="shared" si="215"/>
        <v>0.21276595744680848</v>
      </c>
      <c r="BF64" t="str">
        <f t="shared" si="7"/>
        <v>Price</v>
      </c>
      <c r="BG64">
        <f t="shared" si="8"/>
        <v>3.5</v>
      </c>
      <c r="BI64">
        <f t="shared" si="9"/>
        <v>3.5</v>
      </c>
      <c r="BJ64" t="str">
        <f t="shared" si="10"/>
        <v>Tennis</v>
      </c>
      <c r="BK64" t="str">
        <f t="shared" si="11"/>
        <v>B</v>
      </c>
      <c r="BS64">
        <f t="shared" si="130"/>
        <v>0.60952380952380958</v>
      </c>
      <c r="BT64">
        <f t="shared" si="131"/>
        <v>9.5238095238095233E-2</v>
      </c>
      <c r="BU64">
        <f t="shared" si="132"/>
        <v>0.19047619047619047</v>
      </c>
      <c r="BW64">
        <f t="shared" si="133"/>
        <v>1.8178197010872597</v>
      </c>
      <c r="BX64">
        <f t="shared" si="134"/>
        <v>0.21620548536480494</v>
      </c>
      <c r="BY64">
        <f t="shared" si="135"/>
        <v>0.38560237041352236</v>
      </c>
      <c r="CB64">
        <f t="shared" si="136"/>
        <v>2.879704618054391</v>
      </c>
      <c r="CC64">
        <f t="shared" si="137"/>
        <v>0.35764807334825383</v>
      </c>
      <c r="CD64">
        <f t="shared" si="138"/>
        <v>2.9116347659148465</v>
      </c>
      <c r="CE64">
        <f t="shared" si="139"/>
        <v>3.038588541311825</v>
      </c>
      <c r="CF64">
        <f t="shared" si="140"/>
        <v>2.6106972500267807</v>
      </c>
      <c r="CG64">
        <f t="shared" si="33"/>
        <v>0.35764807334825383</v>
      </c>
      <c r="CK64" t="str">
        <f t="shared" si="170"/>
        <v>Cluster 2</v>
      </c>
      <c r="CL64" t="str">
        <f t="shared" si="141"/>
        <v>Price Only</v>
      </c>
      <c r="CM64" t="str">
        <f t="shared" si="149"/>
        <v>Price Only</v>
      </c>
      <c r="CN64" t="str">
        <f t="shared" si="142"/>
        <v/>
      </c>
    </row>
    <row r="65" spans="8:92">
      <c r="H65">
        <v>58</v>
      </c>
      <c r="I65">
        <v>10</v>
      </c>
      <c r="J65">
        <v>14</v>
      </c>
      <c r="K65">
        <v>17</v>
      </c>
      <c r="L65">
        <v>19</v>
      </c>
      <c r="M65">
        <v>20</v>
      </c>
      <c r="N65">
        <v>5</v>
      </c>
      <c r="O65">
        <v>8</v>
      </c>
      <c r="P65">
        <v>12</v>
      </c>
      <c r="Q65">
        <v>15</v>
      </c>
      <c r="R65">
        <v>18</v>
      </c>
      <c r="S65">
        <v>3</v>
      </c>
      <c r="T65">
        <v>6</v>
      </c>
      <c r="U65">
        <v>9</v>
      </c>
      <c r="V65">
        <v>13</v>
      </c>
      <c r="W65">
        <v>16</v>
      </c>
      <c r="X65">
        <v>1</v>
      </c>
      <c r="Y65">
        <v>2</v>
      </c>
      <c r="Z65">
        <v>4</v>
      </c>
      <c r="AA65">
        <v>7</v>
      </c>
      <c r="AB65">
        <v>11</v>
      </c>
      <c r="AD65">
        <f t="shared" ref="AD65:AH65" si="216">SUMIFS($I65:$AB65,$I$2:$AB$2,AD$7)</f>
        <v>19</v>
      </c>
      <c r="AE65">
        <f t="shared" si="216"/>
        <v>30</v>
      </c>
      <c r="AF65">
        <f t="shared" si="216"/>
        <v>42</v>
      </c>
      <c r="AG65">
        <f t="shared" si="216"/>
        <v>54</v>
      </c>
      <c r="AH65">
        <f t="shared" si="216"/>
        <v>65</v>
      </c>
      <c r="AI65">
        <f t="shared" si="163"/>
        <v>138</v>
      </c>
      <c r="AJ65">
        <f t="shared" si="163"/>
        <v>72</v>
      </c>
      <c r="AK65">
        <f t="shared" si="164"/>
        <v>83</v>
      </c>
      <c r="AL65">
        <f t="shared" si="164"/>
        <v>127</v>
      </c>
      <c r="AN65" s="67">
        <f t="shared" ref="AN65:AV65" si="217">((AD65-MIN($AD65:$AL65))/(MAX($AD65:$AL65)-MIN($AD65:$AL65)))</f>
        <v>0</v>
      </c>
      <c r="AO65" s="67">
        <f t="shared" si="217"/>
        <v>9.2436974789915971E-2</v>
      </c>
      <c r="AP65" s="67">
        <f t="shared" si="217"/>
        <v>0.19327731092436976</v>
      </c>
      <c r="AQ65" s="67">
        <f t="shared" si="217"/>
        <v>0.29411764705882354</v>
      </c>
      <c r="AR65" s="67">
        <f t="shared" si="217"/>
        <v>0.38655462184873951</v>
      </c>
      <c r="AS65" s="67">
        <f t="shared" si="217"/>
        <v>1</v>
      </c>
      <c r="AT65" s="67">
        <f t="shared" si="217"/>
        <v>0.44537815126050423</v>
      </c>
      <c r="AU65" s="67">
        <f t="shared" si="217"/>
        <v>0.53781512605042014</v>
      </c>
      <c r="AV65" s="67">
        <f t="shared" si="217"/>
        <v>0.90756302521008403</v>
      </c>
      <c r="AX65">
        <f t="shared" si="4"/>
        <v>0.38655462184873951</v>
      </c>
      <c r="AY65">
        <f t="shared" si="14"/>
        <v>0.55462184873949583</v>
      </c>
      <c r="AZ65">
        <f t="shared" si="5"/>
        <v>0.36974789915966388</v>
      </c>
      <c r="BB65">
        <f t="shared" ref="BB65:BD65" si="218">AX65/SUM($AX65:$AZ65)</f>
        <v>0.29487179487179488</v>
      </c>
      <c r="BC65">
        <f t="shared" si="218"/>
        <v>0.42307692307692307</v>
      </c>
      <c r="BD65">
        <f t="shared" si="218"/>
        <v>0.28205128205128205</v>
      </c>
      <c r="BF65" t="str">
        <f t="shared" si="7"/>
        <v xml:space="preserve">Brand </v>
      </c>
      <c r="BG65" t="str">
        <f t="shared" si="8"/>
        <v>Tennis</v>
      </c>
      <c r="BI65">
        <f t="shared" si="9"/>
        <v>3.5</v>
      </c>
      <c r="BJ65" t="str">
        <f t="shared" si="10"/>
        <v>Tennis</v>
      </c>
      <c r="BK65" t="str">
        <f t="shared" si="11"/>
        <v>B</v>
      </c>
      <c r="BS65">
        <f t="shared" si="130"/>
        <v>0.38655462184873951</v>
      </c>
      <c r="BT65">
        <f t="shared" si="131"/>
        <v>0.55462184873949583</v>
      </c>
      <c r="BU65">
        <f t="shared" si="132"/>
        <v>0.36974789915966388</v>
      </c>
      <c r="BW65">
        <f t="shared" si="133"/>
        <v>-0.14632959973098972</v>
      </c>
      <c r="BX65">
        <f t="shared" si="134"/>
        <v>1.2206776401190014</v>
      </c>
      <c r="BY65">
        <f t="shared" si="135"/>
        <v>0.76435284612535581</v>
      </c>
      <c r="CB65">
        <f t="shared" si="136"/>
        <v>2.4358849228987105</v>
      </c>
      <c r="CC65">
        <f t="shared" si="137"/>
        <v>2.3095144974346336</v>
      </c>
      <c r="CD65">
        <f t="shared" si="138"/>
        <v>1.9886093448224906</v>
      </c>
      <c r="CE65">
        <f t="shared" si="139"/>
        <v>3.0155436080046267</v>
      </c>
      <c r="CF65">
        <f t="shared" si="140"/>
        <v>0.52422262667193553</v>
      </c>
      <c r="CG65">
        <f t="shared" si="33"/>
        <v>0.52422262667193553</v>
      </c>
      <c r="CK65" t="str">
        <f t="shared" si="170"/>
        <v>Cluster 5</v>
      </c>
      <c r="CL65" t="str">
        <f t="shared" si="141"/>
        <v>B Tennis</v>
      </c>
      <c r="CM65" t="str">
        <f t="shared" si="149"/>
        <v>Tennis B</v>
      </c>
      <c r="CN65" t="str">
        <f t="shared" si="142"/>
        <v>Diff</v>
      </c>
    </row>
    <row r="66" spans="8:92">
      <c r="H66">
        <v>59</v>
      </c>
      <c r="I66">
        <v>12</v>
      </c>
      <c r="J66">
        <v>15</v>
      </c>
      <c r="K66">
        <v>18</v>
      </c>
      <c r="L66">
        <v>19</v>
      </c>
      <c r="M66">
        <v>20</v>
      </c>
      <c r="N66">
        <v>5</v>
      </c>
      <c r="O66">
        <v>8</v>
      </c>
      <c r="P66">
        <v>11</v>
      </c>
      <c r="Q66">
        <v>14</v>
      </c>
      <c r="R66">
        <v>17</v>
      </c>
      <c r="S66">
        <v>4</v>
      </c>
      <c r="T66">
        <v>7</v>
      </c>
      <c r="U66">
        <v>10</v>
      </c>
      <c r="V66">
        <v>13</v>
      </c>
      <c r="W66">
        <v>16</v>
      </c>
      <c r="X66">
        <v>1</v>
      </c>
      <c r="Y66">
        <v>2</v>
      </c>
      <c r="Z66">
        <v>3</v>
      </c>
      <c r="AA66">
        <v>6</v>
      </c>
      <c r="AB66">
        <v>9</v>
      </c>
      <c r="AD66">
        <f t="shared" ref="AD66:AH66" si="219">SUMIFS($I66:$AB66,$I$2:$AB$2,AD$7)</f>
        <v>22</v>
      </c>
      <c r="AE66">
        <f t="shared" si="219"/>
        <v>32</v>
      </c>
      <c r="AF66">
        <f t="shared" si="219"/>
        <v>42</v>
      </c>
      <c r="AG66">
        <f t="shared" si="219"/>
        <v>52</v>
      </c>
      <c r="AH66">
        <f t="shared" si="219"/>
        <v>62</v>
      </c>
      <c r="AI66">
        <f t="shared" si="163"/>
        <v>139</v>
      </c>
      <c r="AJ66">
        <f t="shared" si="163"/>
        <v>71</v>
      </c>
      <c r="AK66">
        <f t="shared" si="164"/>
        <v>76</v>
      </c>
      <c r="AL66">
        <f t="shared" si="164"/>
        <v>134</v>
      </c>
      <c r="AN66" s="67">
        <f t="shared" ref="AN66:AV66" si="220">((AD66-MIN($AD66:$AL66))/(MAX($AD66:$AL66)-MIN($AD66:$AL66)))</f>
        <v>0</v>
      </c>
      <c r="AO66" s="67">
        <f t="shared" si="220"/>
        <v>8.5470085470085472E-2</v>
      </c>
      <c r="AP66" s="67">
        <f t="shared" si="220"/>
        <v>0.17094017094017094</v>
      </c>
      <c r="AQ66" s="67">
        <f t="shared" si="220"/>
        <v>0.25641025641025639</v>
      </c>
      <c r="AR66" s="67">
        <f t="shared" si="220"/>
        <v>0.34188034188034189</v>
      </c>
      <c r="AS66" s="67">
        <f t="shared" si="220"/>
        <v>1</v>
      </c>
      <c r="AT66" s="67">
        <f t="shared" si="220"/>
        <v>0.41880341880341881</v>
      </c>
      <c r="AU66" s="67">
        <f t="shared" si="220"/>
        <v>0.46153846153846156</v>
      </c>
      <c r="AV66" s="67">
        <f t="shared" si="220"/>
        <v>0.95726495726495731</v>
      </c>
      <c r="AX66">
        <f t="shared" si="4"/>
        <v>0.34188034188034189</v>
      </c>
      <c r="AY66">
        <f t="shared" si="14"/>
        <v>0.58119658119658113</v>
      </c>
      <c r="AZ66">
        <f t="shared" si="5"/>
        <v>0.49572649572649574</v>
      </c>
      <c r="BB66">
        <f t="shared" ref="BB66:BD66" si="221">AX66/SUM($AX66:$AZ66)</f>
        <v>0.24096385542168677</v>
      </c>
      <c r="BC66">
        <f t="shared" si="221"/>
        <v>0.40963855421686746</v>
      </c>
      <c r="BD66">
        <f t="shared" si="221"/>
        <v>0.34939759036144585</v>
      </c>
      <c r="BF66" t="str">
        <f t="shared" si="7"/>
        <v xml:space="preserve">Brand </v>
      </c>
      <c r="BG66" t="str">
        <f t="shared" si="8"/>
        <v>Tennis</v>
      </c>
      <c r="BI66">
        <f t="shared" si="9"/>
        <v>3.5</v>
      </c>
      <c r="BJ66" t="str">
        <f t="shared" si="10"/>
        <v>Tennis</v>
      </c>
      <c r="BK66" t="str">
        <f t="shared" si="11"/>
        <v>B</v>
      </c>
      <c r="BS66">
        <f t="shared" si="130"/>
        <v>0.34188034188034189</v>
      </c>
      <c r="BT66">
        <f t="shared" si="131"/>
        <v>0.58119658119658113</v>
      </c>
      <c r="BU66">
        <f t="shared" si="132"/>
        <v>0.49572649572649574</v>
      </c>
      <c r="BW66">
        <f t="shared" si="133"/>
        <v>-0.53986808224257044</v>
      </c>
      <c r="BX66">
        <f t="shared" si="134"/>
        <v>1.2787850036679462</v>
      </c>
      <c r="BY66">
        <f t="shared" si="135"/>
        <v>1.0305100313811875</v>
      </c>
      <c r="CB66">
        <f t="shared" si="136"/>
        <v>2.4260824259108422</v>
      </c>
      <c r="CC66">
        <f t="shared" si="137"/>
        <v>2.7572059760959253</v>
      </c>
      <c r="CD66">
        <f t="shared" si="138"/>
        <v>2.2299392900829282</v>
      </c>
      <c r="CE66">
        <f t="shared" si="139"/>
        <v>3.2095853480938321</v>
      </c>
      <c r="CF66">
        <f t="shared" si="140"/>
        <v>0.1818276287519798</v>
      </c>
      <c r="CG66">
        <f t="shared" si="33"/>
        <v>0.1818276287519798</v>
      </c>
      <c r="CK66" t="str">
        <f t="shared" si="170"/>
        <v>Cluster 5</v>
      </c>
      <c r="CL66" t="str">
        <f t="shared" si="141"/>
        <v>B Tennis</v>
      </c>
      <c r="CM66" t="str">
        <f t="shared" si="149"/>
        <v>Tennis B</v>
      </c>
      <c r="CN66" t="str">
        <f t="shared" si="142"/>
        <v>Diff</v>
      </c>
    </row>
    <row r="67" spans="8:92">
      <c r="H67">
        <v>60</v>
      </c>
      <c r="I67">
        <v>1</v>
      </c>
      <c r="J67">
        <v>5</v>
      </c>
      <c r="K67">
        <v>9</v>
      </c>
      <c r="L67">
        <v>13</v>
      </c>
      <c r="M67">
        <v>17</v>
      </c>
      <c r="N67">
        <v>3</v>
      </c>
      <c r="O67">
        <v>7</v>
      </c>
      <c r="P67">
        <v>11</v>
      </c>
      <c r="Q67">
        <v>15</v>
      </c>
      <c r="R67">
        <v>19</v>
      </c>
      <c r="S67">
        <v>2</v>
      </c>
      <c r="T67">
        <v>6</v>
      </c>
      <c r="U67">
        <v>10</v>
      </c>
      <c r="V67">
        <v>14</v>
      </c>
      <c r="W67">
        <v>18</v>
      </c>
      <c r="X67">
        <v>4</v>
      </c>
      <c r="Y67">
        <v>8</v>
      </c>
      <c r="Z67">
        <v>12</v>
      </c>
      <c r="AA67">
        <v>16</v>
      </c>
      <c r="AB67">
        <v>20</v>
      </c>
      <c r="AD67">
        <f t="shared" ref="AD67:AH67" si="222">SUMIFS($I67:$AB67,$I$2:$AB$2,AD$7)</f>
        <v>10</v>
      </c>
      <c r="AE67">
        <f t="shared" si="222"/>
        <v>26</v>
      </c>
      <c r="AF67">
        <f t="shared" si="222"/>
        <v>42</v>
      </c>
      <c r="AG67">
        <f t="shared" si="222"/>
        <v>58</v>
      </c>
      <c r="AH67">
        <f t="shared" si="222"/>
        <v>74</v>
      </c>
      <c r="AI67">
        <f t="shared" si="163"/>
        <v>100</v>
      </c>
      <c r="AJ67">
        <f t="shared" si="163"/>
        <v>110</v>
      </c>
      <c r="AK67">
        <f t="shared" si="164"/>
        <v>115</v>
      </c>
      <c r="AL67">
        <f t="shared" si="164"/>
        <v>95</v>
      </c>
      <c r="AN67" s="67">
        <f t="shared" ref="AN67:AV67" si="223">((AD67-MIN($AD67:$AL67))/(MAX($AD67:$AL67)-MIN($AD67:$AL67)))</f>
        <v>0</v>
      </c>
      <c r="AO67" s="67">
        <f t="shared" si="223"/>
        <v>0.15238095238095239</v>
      </c>
      <c r="AP67" s="67">
        <f t="shared" si="223"/>
        <v>0.30476190476190479</v>
      </c>
      <c r="AQ67" s="67">
        <f t="shared" si="223"/>
        <v>0.45714285714285713</v>
      </c>
      <c r="AR67" s="67">
        <f t="shared" si="223"/>
        <v>0.60952380952380958</v>
      </c>
      <c r="AS67" s="67">
        <f t="shared" si="223"/>
        <v>0.8571428571428571</v>
      </c>
      <c r="AT67" s="67">
        <f t="shared" si="223"/>
        <v>0.95238095238095233</v>
      </c>
      <c r="AU67" s="67">
        <f t="shared" si="223"/>
        <v>1</v>
      </c>
      <c r="AV67" s="67">
        <f t="shared" si="223"/>
        <v>0.80952380952380953</v>
      </c>
      <c r="AX67">
        <f t="shared" si="4"/>
        <v>0.60952380952380958</v>
      </c>
      <c r="AY67">
        <f t="shared" si="14"/>
        <v>9.5238095238095233E-2</v>
      </c>
      <c r="AZ67">
        <f t="shared" si="5"/>
        <v>0.19047619047619047</v>
      </c>
      <c r="BB67">
        <f t="shared" ref="BB67:BD67" si="224">AX67/SUM($AX67:$AZ67)</f>
        <v>0.68085106382978722</v>
      </c>
      <c r="BC67">
        <f t="shared" si="224"/>
        <v>0.10638297872340424</v>
      </c>
      <c r="BD67">
        <f t="shared" si="224"/>
        <v>0.21276595744680848</v>
      </c>
      <c r="BF67" t="str">
        <f t="shared" si="7"/>
        <v>Price</v>
      </c>
      <c r="BG67">
        <f t="shared" si="8"/>
        <v>3.5</v>
      </c>
      <c r="BI67">
        <f t="shared" si="9"/>
        <v>3.5</v>
      </c>
      <c r="BJ67" t="str">
        <f t="shared" si="10"/>
        <v>Super Bowl</v>
      </c>
      <c r="BK67" t="str">
        <f t="shared" si="11"/>
        <v>A</v>
      </c>
      <c r="BS67">
        <f t="shared" si="130"/>
        <v>0.60952380952380958</v>
      </c>
      <c r="BT67">
        <f t="shared" si="131"/>
        <v>-9.5238095238095233E-2</v>
      </c>
      <c r="BU67">
        <f t="shared" si="132"/>
        <v>-0.19047619047619047</v>
      </c>
      <c r="BW67">
        <f t="shared" si="133"/>
        <v>1.8178197010872597</v>
      </c>
      <c r="BX67">
        <f t="shared" si="134"/>
        <v>-0.2002829690454716</v>
      </c>
      <c r="BY67">
        <f t="shared" si="135"/>
        <v>-0.41924239047412343</v>
      </c>
      <c r="CB67">
        <f t="shared" si="136"/>
        <v>3.0236668291796973</v>
      </c>
      <c r="CC67">
        <f t="shared" si="137"/>
        <v>0.61144163909422833</v>
      </c>
      <c r="CD67">
        <f t="shared" si="138"/>
        <v>2.7307457287229773</v>
      </c>
      <c r="CE67">
        <f t="shared" si="139"/>
        <v>2.5690728729265433</v>
      </c>
      <c r="CF67">
        <f t="shared" si="140"/>
        <v>3.0951992474027037</v>
      </c>
      <c r="CG67">
        <f t="shared" si="33"/>
        <v>0.61144163909422833</v>
      </c>
      <c r="CK67" t="str">
        <f t="shared" si="170"/>
        <v>Cluster 2</v>
      </c>
      <c r="CL67" t="str">
        <f t="shared" si="141"/>
        <v>Price Only</v>
      </c>
      <c r="CM67" t="str">
        <f t="shared" si="149"/>
        <v>Price Only</v>
      </c>
      <c r="CN67" t="str">
        <f t="shared" si="142"/>
        <v/>
      </c>
    </row>
    <row r="68" spans="8:92">
      <c r="H68">
        <v>61</v>
      </c>
      <c r="I68">
        <v>4</v>
      </c>
      <c r="J68">
        <v>8</v>
      </c>
      <c r="K68">
        <v>12</v>
      </c>
      <c r="L68">
        <v>16</v>
      </c>
      <c r="M68">
        <v>20</v>
      </c>
      <c r="N68">
        <v>3</v>
      </c>
      <c r="O68">
        <v>7</v>
      </c>
      <c r="P68">
        <v>11</v>
      </c>
      <c r="Q68">
        <v>15</v>
      </c>
      <c r="R68">
        <v>19</v>
      </c>
      <c r="S68">
        <v>2</v>
      </c>
      <c r="T68">
        <v>6</v>
      </c>
      <c r="U68">
        <v>10</v>
      </c>
      <c r="V68">
        <v>14</v>
      </c>
      <c r="W68">
        <v>18</v>
      </c>
      <c r="X68">
        <v>1</v>
      </c>
      <c r="Y68">
        <v>5</v>
      </c>
      <c r="Z68">
        <v>9</v>
      </c>
      <c r="AA68">
        <v>13</v>
      </c>
      <c r="AB68">
        <v>17</v>
      </c>
      <c r="AD68">
        <f t="shared" ref="AD68:AH68" si="225">SUMIFS($I68:$AB68,$I$2:$AB$2,AD$7)</f>
        <v>10</v>
      </c>
      <c r="AE68">
        <f t="shared" si="225"/>
        <v>26</v>
      </c>
      <c r="AF68">
        <f t="shared" si="225"/>
        <v>42</v>
      </c>
      <c r="AG68">
        <f t="shared" si="225"/>
        <v>58</v>
      </c>
      <c r="AH68">
        <f t="shared" si="225"/>
        <v>74</v>
      </c>
      <c r="AI68">
        <f t="shared" ref="AI68:AJ87" si="226">SUMIFS($I68:$AB68,$I$3:$AB$3,AI$7)</f>
        <v>115</v>
      </c>
      <c r="AJ68">
        <f t="shared" si="226"/>
        <v>95</v>
      </c>
      <c r="AK68">
        <f t="shared" ref="AK68:AL87" si="227">SUMIFS($I68:$AB68,$I$4:$AB$4,AK$7)</f>
        <v>100</v>
      </c>
      <c r="AL68">
        <f t="shared" si="227"/>
        <v>110</v>
      </c>
      <c r="AN68" s="67">
        <f t="shared" ref="AN68:AV68" si="228">((AD68-MIN($AD68:$AL68))/(MAX($AD68:$AL68)-MIN($AD68:$AL68)))</f>
        <v>0</v>
      </c>
      <c r="AO68" s="67">
        <f t="shared" si="228"/>
        <v>0.15238095238095239</v>
      </c>
      <c r="AP68" s="67">
        <f t="shared" si="228"/>
        <v>0.30476190476190479</v>
      </c>
      <c r="AQ68" s="67">
        <f t="shared" si="228"/>
        <v>0.45714285714285713</v>
      </c>
      <c r="AR68" s="67">
        <f t="shared" si="228"/>
        <v>0.60952380952380958</v>
      </c>
      <c r="AS68" s="67">
        <f t="shared" si="228"/>
        <v>1</v>
      </c>
      <c r="AT68" s="67">
        <f t="shared" si="228"/>
        <v>0.80952380952380953</v>
      </c>
      <c r="AU68" s="67">
        <f t="shared" si="228"/>
        <v>0.8571428571428571</v>
      </c>
      <c r="AV68" s="67">
        <f t="shared" si="228"/>
        <v>0.95238095238095233</v>
      </c>
      <c r="AX68">
        <f t="shared" si="4"/>
        <v>0.60952380952380958</v>
      </c>
      <c r="AY68">
        <f t="shared" si="14"/>
        <v>0.19047619047619047</v>
      </c>
      <c r="AZ68">
        <f t="shared" si="5"/>
        <v>9.5238095238095233E-2</v>
      </c>
      <c r="BB68">
        <f t="shared" ref="BB68:BD68" si="229">AX68/SUM($AX68:$AZ68)</f>
        <v>0.68085106382978722</v>
      </c>
      <c r="BC68">
        <f t="shared" si="229"/>
        <v>0.21276595744680848</v>
      </c>
      <c r="BD68">
        <f t="shared" si="229"/>
        <v>0.10638297872340424</v>
      </c>
      <c r="BF68" t="str">
        <f t="shared" si="7"/>
        <v>Price</v>
      </c>
      <c r="BG68">
        <f t="shared" si="8"/>
        <v>3.5</v>
      </c>
      <c r="BI68">
        <f t="shared" si="9"/>
        <v>3.5</v>
      </c>
      <c r="BJ68" t="str">
        <f t="shared" si="10"/>
        <v>Tennis</v>
      </c>
      <c r="BK68" t="str">
        <f t="shared" si="11"/>
        <v>B</v>
      </c>
      <c r="BS68">
        <f t="shared" si="130"/>
        <v>0.60952380952380958</v>
      </c>
      <c r="BT68">
        <f t="shared" si="131"/>
        <v>0.19047619047619047</v>
      </c>
      <c r="BU68">
        <f t="shared" si="132"/>
        <v>9.5238095238095233E-2</v>
      </c>
      <c r="BW68">
        <f t="shared" si="133"/>
        <v>1.8178197010872597</v>
      </c>
      <c r="BX68">
        <f t="shared" si="134"/>
        <v>0.42444971256994318</v>
      </c>
      <c r="BY68">
        <f t="shared" si="135"/>
        <v>0.18439118019161094</v>
      </c>
      <c r="CB68">
        <f t="shared" si="136"/>
        <v>3.0387556747186748</v>
      </c>
      <c r="CC68">
        <f t="shared" si="137"/>
        <v>0.26127112978457395</v>
      </c>
      <c r="CD68">
        <f t="shared" si="138"/>
        <v>2.7540294742593474</v>
      </c>
      <c r="CE68">
        <f t="shared" si="139"/>
        <v>3.0528355709459638</v>
      </c>
      <c r="CF68">
        <f t="shared" si="140"/>
        <v>2.6111766219359862</v>
      </c>
      <c r="CG68">
        <f t="shared" si="33"/>
        <v>0.26127112978457395</v>
      </c>
      <c r="CK68" t="str">
        <f t="shared" si="170"/>
        <v>Cluster 2</v>
      </c>
      <c r="CL68" t="str">
        <f t="shared" si="141"/>
        <v>Price Only</v>
      </c>
      <c r="CM68" t="str">
        <f t="shared" si="149"/>
        <v>Price Only</v>
      </c>
      <c r="CN68" t="str">
        <f t="shared" si="142"/>
        <v/>
      </c>
    </row>
    <row r="69" spans="8:92">
      <c r="H69">
        <v>62</v>
      </c>
      <c r="I69">
        <v>4</v>
      </c>
      <c r="J69">
        <v>7</v>
      </c>
      <c r="K69">
        <v>10</v>
      </c>
      <c r="L69">
        <v>13</v>
      </c>
      <c r="M69">
        <v>16</v>
      </c>
      <c r="N69">
        <v>1</v>
      </c>
      <c r="O69">
        <v>2</v>
      </c>
      <c r="P69">
        <v>3</v>
      </c>
      <c r="Q69">
        <v>6</v>
      </c>
      <c r="R69">
        <v>9</v>
      </c>
      <c r="S69">
        <v>13</v>
      </c>
      <c r="T69">
        <v>16</v>
      </c>
      <c r="U69">
        <v>18</v>
      </c>
      <c r="V69">
        <v>19</v>
      </c>
      <c r="W69">
        <v>20</v>
      </c>
      <c r="X69">
        <v>6</v>
      </c>
      <c r="Y69">
        <v>9</v>
      </c>
      <c r="Z69">
        <v>11</v>
      </c>
      <c r="AA69">
        <v>14</v>
      </c>
      <c r="AB69">
        <v>17</v>
      </c>
      <c r="AD69">
        <f t="shared" ref="AD69:AH69" si="230">SUMIFS($I69:$AB69,$I$2:$AB$2,AD$7)</f>
        <v>24</v>
      </c>
      <c r="AE69">
        <f t="shared" si="230"/>
        <v>34</v>
      </c>
      <c r="AF69">
        <f t="shared" si="230"/>
        <v>42</v>
      </c>
      <c r="AG69">
        <f t="shared" si="230"/>
        <v>52</v>
      </c>
      <c r="AH69">
        <f t="shared" si="230"/>
        <v>62</v>
      </c>
      <c r="AI69">
        <f t="shared" si="226"/>
        <v>71</v>
      </c>
      <c r="AJ69">
        <f t="shared" si="226"/>
        <v>143</v>
      </c>
      <c r="AK69">
        <f t="shared" si="227"/>
        <v>78</v>
      </c>
      <c r="AL69">
        <f t="shared" si="227"/>
        <v>136</v>
      </c>
      <c r="AN69" s="67">
        <f t="shared" ref="AN69:AV69" si="231">((AD69-MIN($AD69:$AL69))/(MAX($AD69:$AL69)-MIN($AD69:$AL69)))</f>
        <v>0</v>
      </c>
      <c r="AO69" s="67">
        <f t="shared" si="231"/>
        <v>8.4033613445378158E-2</v>
      </c>
      <c r="AP69" s="67">
        <f t="shared" si="231"/>
        <v>0.15126050420168066</v>
      </c>
      <c r="AQ69" s="67">
        <f t="shared" si="231"/>
        <v>0.23529411764705882</v>
      </c>
      <c r="AR69" s="67">
        <f t="shared" si="231"/>
        <v>0.31932773109243695</v>
      </c>
      <c r="AS69" s="67">
        <f t="shared" si="231"/>
        <v>0.3949579831932773</v>
      </c>
      <c r="AT69" s="67">
        <f t="shared" si="231"/>
        <v>1</v>
      </c>
      <c r="AU69" s="67">
        <f t="shared" si="231"/>
        <v>0.45378151260504201</v>
      </c>
      <c r="AV69" s="67">
        <f t="shared" si="231"/>
        <v>0.94117647058823528</v>
      </c>
      <c r="AX69">
        <f t="shared" si="4"/>
        <v>0.31932773109243695</v>
      </c>
      <c r="AY69">
        <f t="shared" si="14"/>
        <v>0.60504201680672276</v>
      </c>
      <c r="AZ69">
        <f t="shared" si="5"/>
        <v>0.48739495798319327</v>
      </c>
      <c r="BB69">
        <f t="shared" ref="BB69:BD69" si="232">AX69/SUM($AX69:$AZ69)</f>
        <v>0.22619047619047616</v>
      </c>
      <c r="BC69">
        <f t="shared" si="232"/>
        <v>0.4285714285714286</v>
      </c>
      <c r="BD69">
        <f t="shared" si="232"/>
        <v>0.34523809523809523</v>
      </c>
      <c r="BF69" t="str">
        <f t="shared" si="7"/>
        <v xml:space="preserve">Brand </v>
      </c>
      <c r="BG69" t="str">
        <f t="shared" si="8"/>
        <v>Super Bowl</v>
      </c>
      <c r="BI69">
        <f t="shared" si="9"/>
        <v>3.5</v>
      </c>
      <c r="BJ69" t="str">
        <f t="shared" si="10"/>
        <v>Super Bowl</v>
      </c>
      <c r="BK69" t="str">
        <f t="shared" si="11"/>
        <v>B</v>
      </c>
      <c r="BS69">
        <f t="shared" si="130"/>
        <v>0.31932773109243695</v>
      </c>
      <c r="BT69">
        <f t="shared" si="131"/>
        <v>-0.60504201680672276</v>
      </c>
      <c r="BU69">
        <f t="shared" si="132"/>
        <v>0.48739495798319327</v>
      </c>
      <c r="BW69">
        <f t="shared" si="133"/>
        <v>-0.73853541907317566</v>
      </c>
      <c r="BX69">
        <f t="shared" si="134"/>
        <v>-1.3150020676141532</v>
      </c>
      <c r="BY69">
        <f t="shared" si="135"/>
        <v>1.0129078458112464</v>
      </c>
      <c r="CB69">
        <f t="shared" si="136"/>
        <v>0.23061870178648711</v>
      </c>
      <c r="CC69">
        <f t="shared" si="137"/>
        <v>3.122283707902866</v>
      </c>
      <c r="CD69">
        <f t="shared" si="138"/>
        <v>3.2337681021747029</v>
      </c>
      <c r="CE69">
        <f t="shared" si="139"/>
        <v>2.0769181413706477</v>
      </c>
      <c r="CF69">
        <f t="shared" si="140"/>
        <v>2.4516520874271261</v>
      </c>
      <c r="CG69">
        <f t="shared" si="33"/>
        <v>0.23061870178648711</v>
      </c>
      <c r="CK69" t="str">
        <f t="shared" si="170"/>
        <v>Cluster 1</v>
      </c>
      <c r="CL69" t="str">
        <f t="shared" si="141"/>
        <v>B Super Bowl</v>
      </c>
      <c r="CM69" t="str">
        <f t="shared" si="149"/>
        <v>Super Bowl B</v>
      </c>
      <c r="CN69" t="str">
        <f t="shared" si="142"/>
        <v>Diff</v>
      </c>
    </row>
    <row r="70" spans="8:92">
      <c r="H70">
        <v>63</v>
      </c>
      <c r="I70">
        <v>4</v>
      </c>
      <c r="J70">
        <v>8</v>
      </c>
      <c r="K70">
        <v>12</v>
      </c>
      <c r="L70">
        <v>16</v>
      </c>
      <c r="M70">
        <v>20</v>
      </c>
      <c r="N70">
        <v>3</v>
      </c>
      <c r="O70">
        <v>7</v>
      </c>
      <c r="P70">
        <v>11</v>
      </c>
      <c r="Q70">
        <v>15</v>
      </c>
      <c r="R70">
        <v>19</v>
      </c>
      <c r="S70">
        <v>2</v>
      </c>
      <c r="T70">
        <v>6</v>
      </c>
      <c r="U70">
        <v>10</v>
      </c>
      <c r="V70">
        <v>14</v>
      </c>
      <c r="W70">
        <v>18</v>
      </c>
      <c r="X70">
        <v>1</v>
      </c>
      <c r="Y70">
        <v>5</v>
      </c>
      <c r="Z70">
        <v>9</v>
      </c>
      <c r="AA70">
        <v>13</v>
      </c>
      <c r="AB70">
        <v>17</v>
      </c>
      <c r="AD70">
        <f t="shared" ref="AD70:AH70" si="233">SUMIFS($I70:$AB70,$I$2:$AB$2,AD$7)</f>
        <v>10</v>
      </c>
      <c r="AE70">
        <f t="shared" si="233"/>
        <v>26</v>
      </c>
      <c r="AF70">
        <f t="shared" si="233"/>
        <v>42</v>
      </c>
      <c r="AG70">
        <f t="shared" si="233"/>
        <v>58</v>
      </c>
      <c r="AH70">
        <f t="shared" si="233"/>
        <v>74</v>
      </c>
      <c r="AI70">
        <f t="shared" si="226"/>
        <v>115</v>
      </c>
      <c r="AJ70">
        <f t="shared" si="226"/>
        <v>95</v>
      </c>
      <c r="AK70">
        <f t="shared" si="227"/>
        <v>100</v>
      </c>
      <c r="AL70">
        <f t="shared" si="227"/>
        <v>110</v>
      </c>
      <c r="AN70" s="67">
        <f t="shared" ref="AN70:AV70" si="234">((AD70-MIN($AD70:$AL70))/(MAX($AD70:$AL70)-MIN($AD70:$AL70)))</f>
        <v>0</v>
      </c>
      <c r="AO70" s="67">
        <f t="shared" si="234"/>
        <v>0.15238095238095239</v>
      </c>
      <c r="AP70" s="67">
        <f t="shared" si="234"/>
        <v>0.30476190476190479</v>
      </c>
      <c r="AQ70" s="67">
        <f t="shared" si="234"/>
        <v>0.45714285714285713</v>
      </c>
      <c r="AR70" s="67">
        <f t="shared" si="234"/>
        <v>0.60952380952380958</v>
      </c>
      <c r="AS70" s="67">
        <f t="shared" si="234"/>
        <v>1</v>
      </c>
      <c r="AT70" s="67">
        <f t="shared" si="234"/>
        <v>0.80952380952380953</v>
      </c>
      <c r="AU70" s="67">
        <f t="shared" si="234"/>
        <v>0.8571428571428571</v>
      </c>
      <c r="AV70" s="67">
        <f t="shared" si="234"/>
        <v>0.95238095238095233</v>
      </c>
      <c r="AX70">
        <f t="shared" si="4"/>
        <v>0.60952380952380958</v>
      </c>
      <c r="AY70">
        <f t="shared" si="14"/>
        <v>0.19047619047619047</v>
      </c>
      <c r="AZ70">
        <f t="shared" si="5"/>
        <v>9.5238095238095233E-2</v>
      </c>
      <c r="BB70">
        <f t="shared" ref="BB70:BD70" si="235">AX70/SUM($AX70:$AZ70)</f>
        <v>0.68085106382978722</v>
      </c>
      <c r="BC70">
        <f t="shared" si="235"/>
        <v>0.21276595744680848</v>
      </c>
      <c r="BD70">
        <f t="shared" si="235"/>
        <v>0.10638297872340424</v>
      </c>
      <c r="BF70" t="str">
        <f t="shared" si="7"/>
        <v>Price</v>
      </c>
      <c r="BG70">
        <f t="shared" si="8"/>
        <v>3.5</v>
      </c>
      <c r="BI70">
        <f t="shared" si="9"/>
        <v>3.5</v>
      </c>
      <c r="BJ70" t="str">
        <f t="shared" si="10"/>
        <v>Tennis</v>
      </c>
      <c r="BK70" t="str">
        <f t="shared" si="11"/>
        <v>B</v>
      </c>
      <c r="BS70">
        <f t="shared" si="130"/>
        <v>0.60952380952380958</v>
      </c>
      <c r="BT70">
        <f t="shared" si="131"/>
        <v>0.19047619047619047</v>
      </c>
      <c r="BU70">
        <f t="shared" si="132"/>
        <v>9.5238095238095233E-2</v>
      </c>
      <c r="BW70">
        <f t="shared" si="133"/>
        <v>1.8178197010872597</v>
      </c>
      <c r="BX70">
        <f t="shared" si="134"/>
        <v>0.42444971256994318</v>
      </c>
      <c r="BY70">
        <f t="shared" si="135"/>
        <v>0.18439118019161094</v>
      </c>
      <c r="CB70">
        <f t="shared" si="136"/>
        <v>3.0387556747186748</v>
      </c>
      <c r="CC70">
        <f t="shared" si="137"/>
        <v>0.26127112978457395</v>
      </c>
      <c r="CD70">
        <f t="shared" si="138"/>
        <v>2.7540294742593474</v>
      </c>
      <c r="CE70">
        <f t="shared" si="139"/>
        <v>3.0528355709459638</v>
      </c>
      <c r="CF70">
        <f t="shared" si="140"/>
        <v>2.6111766219359862</v>
      </c>
      <c r="CG70">
        <f t="shared" si="33"/>
        <v>0.26127112978457395</v>
      </c>
      <c r="CK70" t="str">
        <f t="shared" si="170"/>
        <v>Cluster 2</v>
      </c>
      <c r="CL70" t="str">
        <f t="shared" si="141"/>
        <v>Price Only</v>
      </c>
      <c r="CM70" t="str">
        <f t="shared" si="149"/>
        <v>Price Only</v>
      </c>
      <c r="CN70" t="str">
        <f t="shared" si="142"/>
        <v/>
      </c>
    </row>
    <row r="71" spans="8:92">
      <c r="H71">
        <v>64</v>
      </c>
      <c r="I71">
        <v>5</v>
      </c>
      <c r="J71">
        <v>8</v>
      </c>
      <c r="K71">
        <v>11</v>
      </c>
      <c r="L71">
        <v>14</v>
      </c>
      <c r="M71">
        <v>17</v>
      </c>
      <c r="N71">
        <v>12</v>
      </c>
      <c r="O71">
        <v>15</v>
      </c>
      <c r="P71">
        <v>18</v>
      </c>
      <c r="Q71">
        <v>19</v>
      </c>
      <c r="R71">
        <v>20</v>
      </c>
      <c r="S71">
        <v>1</v>
      </c>
      <c r="T71">
        <v>2</v>
      </c>
      <c r="U71">
        <v>3</v>
      </c>
      <c r="V71">
        <v>6</v>
      </c>
      <c r="W71">
        <v>9</v>
      </c>
      <c r="X71">
        <v>4</v>
      </c>
      <c r="Y71">
        <v>7</v>
      </c>
      <c r="Z71">
        <v>10</v>
      </c>
      <c r="AA71">
        <v>13</v>
      </c>
      <c r="AB71">
        <v>16</v>
      </c>
      <c r="AD71">
        <f t="shared" ref="AD71:AH71" si="236">SUMIFS($I71:$AB71,$I$2:$AB$2,AD$7)</f>
        <v>22</v>
      </c>
      <c r="AE71">
        <f t="shared" si="236"/>
        <v>32</v>
      </c>
      <c r="AF71">
        <f t="shared" si="236"/>
        <v>42</v>
      </c>
      <c r="AG71">
        <f t="shared" si="236"/>
        <v>52</v>
      </c>
      <c r="AH71">
        <f t="shared" si="236"/>
        <v>62</v>
      </c>
      <c r="AI71">
        <f t="shared" si="226"/>
        <v>139</v>
      </c>
      <c r="AJ71">
        <f t="shared" si="226"/>
        <v>71</v>
      </c>
      <c r="AK71">
        <f t="shared" si="227"/>
        <v>134</v>
      </c>
      <c r="AL71">
        <f t="shared" si="227"/>
        <v>76</v>
      </c>
      <c r="AN71" s="67">
        <f t="shared" ref="AN71:AV71" si="237">((AD71-MIN($AD71:$AL71))/(MAX($AD71:$AL71)-MIN($AD71:$AL71)))</f>
        <v>0</v>
      </c>
      <c r="AO71" s="67">
        <f t="shared" si="237"/>
        <v>8.5470085470085472E-2</v>
      </c>
      <c r="AP71" s="67">
        <f t="shared" si="237"/>
        <v>0.17094017094017094</v>
      </c>
      <c r="AQ71" s="67">
        <f t="shared" si="237"/>
        <v>0.25641025641025639</v>
      </c>
      <c r="AR71" s="67">
        <f t="shared" si="237"/>
        <v>0.34188034188034189</v>
      </c>
      <c r="AS71" s="67">
        <f t="shared" si="237"/>
        <v>1</v>
      </c>
      <c r="AT71" s="67">
        <f t="shared" si="237"/>
        <v>0.41880341880341881</v>
      </c>
      <c r="AU71" s="67">
        <f t="shared" si="237"/>
        <v>0.95726495726495731</v>
      </c>
      <c r="AV71" s="67">
        <f t="shared" si="237"/>
        <v>0.46153846153846156</v>
      </c>
      <c r="AX71">
        <f t="shared" si="4"/>
        <v>0.34188034188034189</v>
      </c>
      <c r="AY71">
        <f t="shared" si="14"/>
        <v>0.58119658119658113</v>
      </c>
      <c r="AZ71">
        <f t="shared" si="5"/>
        <v>0.49572649572649574</v>
      </c>
      <c r="BB71">
        <f t="shared" ref="BB71:BD71" si="238">AX71/SUM($AX71:$AZ71)</f>
        <v>0.24096385542168677</v>
      </c>
      <c r="BC71">
        <f t="shared" si="238"/>
        <v>0.40963855421686746</v>
      </c>
      <c r="BD71">
        <f t="shared" si="238"/>
        <v>0.34939759036144585</v>
      </c>
      <c r="BF71" t="str">
        <f t="shared" si="7"/>
        <v xml:space="preserve">Brand </v>
      </c>
      <c r="BG71" t="str">
        <f t="shared" si="8"/>
        <v>Tennis</v>
      </c>
      <c r="BI71">
        <f t="shared" si="9"/>
        <v>3.5</v>
      </c>
      <c r="BJ71" t="str">
        <f t="shared" si="10"/>
        <v>Tennis</v>
      </c>
      <c r="BK71" t="str">
        <f t="shared" si="11"/>
        <v>A</v>
      </c>
      <c r="BS71">
        <f t="shared" si="130"/>
        <v>0.34188034188034189</v>
      </c>
      <c r="BT71">
        <f t="shared" si="131"/>
        <v>0.58119658119658113</v>
      </c>
      <c r="BU71">
        <f t="shared" si="132"/>
        <v>-0.49572649572649574</v>
      </c>
      <c r="BW71">
        <f t="shared" si="133"/>
        <v>-0.53986808224257044</v>
      </c>
      <c r="BX71">
        <f t="shared" si="134"/>
        <v>1.2787850036679462</v>
      </c>
      <c r="BY71">
        <f t="shared" si="135"/>
        <v>-1.0641500514417885</v>
      </c>
      <c r="CB71">
        <f t="shared" si="136"/>
        <v>3.255298153222554</v>
      </c>
      <c r="CC71">
        <f t="shared" si="137"/>
        <v>2.7914062369545261</v>
      </c>
      <c r="CD71">
        <f t="shared" si="138"/>
        <v>0.27058247483936959</v>
      </c>
      <c r="CE71">
        <f t="shared" si="139"/>
        <v>2.4503963041543044</v>
      </c>
      <c r="CF71">
        <f t="shared" si="140"/>
        <v>2.1927896400344826</v>
      </c>
      <c r="CG71">
        <f t="shared" si="33"/>
        <v>0.27058247483936959</v>
      </c>
      <c r="CK71" t="str">
        <f t="shared" si="170"/>
        <v>Cluster 3</v>
      </c>
      <c r="CL71" t="str">
        <f t="shared" si="141"/>
        <v>A Tennis</v>
      </c>
      <c r="CM71" t="str">
        <f t="shared" si="149"/>
        <v>Tennis A</v>
      </c>
      <c r="CN71" t="str">
        <f t="shared" si="142"/>
        <v>Diff</v>
      </c>
    </row>
    <row r="72" spans="8:92">
      <c r="H72">
        <v>65</v>
      </c>
      <c r="I72">
        <v>11</v>
      </c>
      <c r="J72">
        <v>14</v>
      </c>
      <c r="K72">
        <v>17</v>
      </c>
      <c r="L72">
        <v>19</v>
      </c>
      <c r="M72">
        <v>20</v>
      </c>
      <c r="N72">
        <v>5</v>
      </c>
      <c r="O72">
        <v>8</v>
      </c>
      <c r="P72">
        <v>12</v>
      </c>
      <c r="Q72">
        <v>15</v>
      </c>
      <c r="R72">
        <v>18</v>
      </c>
      <c r="S72">
        <v>3</v>
      </c>
      <c r="T72">
        <v>6</v>
      </c>
      <c r="U72">
        <v>9</v>
      </c>
      <c r="V72">
        <v>13</v>
      </c>
      <c r="W72">
        <v>16</v>
      </c>
      <c r="X72">
        <v>1</v>
      </c>
      <c r="Y72">
        <v>2</v>
      </c>
      <c r="Z72">
        <v>4</v>
      </c>
      <c r="AA72">
        <v>7</v>
      </c>
      <c r="AB72">
        <v>10</v>
      </c>
      <c r="AD72">
        <f t="shared" ref="AD72:AH72" si="239">SUMIFS($I72:$AB72,$I$2:$AB$2,AD$7)</f>
        <v>20</v>
      </c>
      <c r="AE72">
        <f t="shared" si="239"/>
        <v>30</v>
      </c>
      <c r="AF72">
        <f t="shared" si="239"/>
        <v>42</v>
      </c>
      <c r="AG72">
        <f t="shared" si="239"/>
        <v>54</v>
      </c>
      <c r="AH72">
        <f t="shared" si="239"/>
        <v>64</v>
      </c>
      <c r="AI72">
        <f t="shared" si="226"/>
        <v>139</v>
      </c>
      <c r="AJ72">
        <f t="shared" si="226"/>
        <v>71</v>
      </c>
      <c r="AK72">
        <f t="shared" si="227"/>
        <v>82</v>
      </c>
      <c r="AL72">
        <f t="shared" si="227"/>
        <v>128</v>
      </c>
      <c r="AN72" s="67">
        <f t="shared" ref="AN72:AV72" si="240">((AD72-MIN($AD72:$AL72))/(MAX($AD72:$AL72)-MIN($AD72:$AL72)))</f>
        <v>0</v>
      </c>
      <c r="AO72" s="67">
        <f t="shared" si="240"/>
        <v>8.4033613445378158E-2</v>
      </c>
      <c r="AP72" s="67">
        <f t="shared" si="240"/>
        <v>0.18487394957983194</v>
      </c>
      <c r="AQ72" s="67">
        <f t="shared" si="240"/>
        <v>0.2857142857142857</v>
      </c>
      <c r="AR72" s="67">
        <f t="shared" si="240"/>
        <v>0.36974789915966388</v>
      </c>
      <c r="AS72" s="67">
        <f t="shared" si="240"/>
        <v>1</v>
      </c>
      <c r="AT72" s="67">
        <f t="shared" si="240"/>
        <v>0.42857142857142855</v>
      </c>
      <c r="AU72" s="67">
        <f t="shared" si="240"/>
        <v>0.52100840336134457</v>
      </c>
      <c r="AV72" s="67">
        <f t="shared" si="240"/>
        <v>0.90756302521008403</v>
      </c>
      <c r="AX72">
        <f t="shared" ref="AX72:AX135" si="241">MAX($AN72:$AR72)-MIN($AN72:$AR72)</f>
        <v>0.36974789915966388</v>
      </c>
      <c r="AY72">
        <f t="shared" ref="AY72:AY135" si="242">MAX($AS72:$AT72)-MIN($AS72:$AT72)</f>
        <v>0.5714285714285714</v>
      </c>
      <c r="AZ72">
        <f t="shared" ref="AZ72:AZ135" si="243">MAX($AU72:$AV72)-MIN($AU72:$AV72)</f>
        <v>0.38655462184873945</v>
      </c>
      <c r="BB72">
        <f t="shared" ref="BB72:BD72" si="244">AX72/SUM($AX72:$AZ72)</f>
        <v>0.27848101265822789</v>
      </c>
      <c r="BC72">
        <f t="shared" si="244"/>
        <v>0.43037974683544306</v>
      </c>
      <c r="BD72">
        <f t="shared" si="244"/>
        <v>0.29113924050632911</v>
      </c>
      <c r="BF72" t="str">
        <f t="shared" ref="BF72:BF135" si="245">INDEX($BB$7:$BD$7,,MATCH(MAX(BB72:BD72),BB72:BD72,0))</f>
        <v xml:space="preserve">Brand </v>
      </c>
      <c r="BG72" t="str">
        <f t="shared" ref="BG72:BG135" si="246">INDEX(BI72:BK72,,MATCH(BF72,$BI$7:$BK$7,0))</f>
        <v>Tennis</v>
      </c>
      <c r="BI72">
        <f t="shared" ref="BI72:BI135" si="247">INDEX($AN$7:$AR$7,,MATCH(MIN(AN72:AR72),AN72:AR72,0))</f>
        <v>3.5</v>
      </c>
      <c r="BJ72" t="str">
        <f t="shared" ref="BJ72:BJ135" si="248">INDEX($AS$7:$AT$7,,MATCH(MIN(AS72:AT72),AS72:AT72,0))</f>
        <v>Tennis</v>
      </c>
      <c r="BK72" t="str">
        <f t="shared" ref="BK72:BK135" si="249">INDEX($AU$7:$AV$7,,MATCH(MIN(AU72:AV72),AU72:AV72,0))</f>
        <v>B</v>
      </c>
      <c r="BS72">
        <f t="shared" si="130"/>
        <v>0.36974789915966388</v>
      </c>
      <c r="BT72">
        <f t="shared" si="131"/>
        <v>0.5714285714285714</v>
      </c>
      <c r="BU72">
        <f t="shared" si="132"/>
        <v>0.38655462184873945</v>
      </c>
      <c r="BW72">
        <f t="shared" si="133"/>
        <v>-0.29438105456653607</v>
      </c>
      <c r="BX72">
        <f t="shared" si="134"/>
        <v>1.2574266213904963</v>
      </c>
      <c r="BY72">
        <f t="shared" si="135"/>
        <v>0.79986070322334002</v>
      </c>
      <c r="CB72">
        <f t="shared" si="136"/>
        <v>2.4431069277806312</v>
      </c>
      <c r="CC72">
        <f t="shared" si="137"/>
        <v>2.4617837967470075</v>
      </c>
      <c r="CD72">
        <f t="shared" si="138"/>
        <v>2.0072622277229542</v>
      </c>
      <c r="CE72">
        <f t="shared" si="139"/>
        <v>3.0535165319609359</v>
      </c>
      <c r="CF72">
        <f t="shared" si="140"/>
        <v>0.41405832490052752</v>
      </c>
      <c r="CG72">
        <f t="shared" si="33"/>
        <v>0.41405832490052752</v>
      </c>
      <c r="CK72" t="str">
        <f t="shared" si="170"/>
        <v>Cluster 5</v>
      </c>
      <c r="CL72" t="str">
        <f t="shared" si="141"/>
        <v>B Tennis</v>
      </c>
      <c r="CM72" t="str">
        <f t="shared" si="149"/>
        <v>Tennis B</v>
      </c>
      <c r="CN72" t="str">
        <f t="shared" si="142"/>
        <v>Diff</v>
      </c>
    </row>
    <row r="73" spans="8:92">
      <c r="H73">
        <v>66</v>
      </c>
      <c r="I73">
        <v>3</v>
      </c>
      <c r="J73">
        <v>6</v>
      </c>
      <c r="K73">
        <v>9</v>
      </c>
      <c r="L73">
        <v>13</v>
      </c>
      <c r="M73">
        <v>16</v>
      </c>
      <c r="N73">
        <v>10</v>
      </c>
      <c r="O73">
        <v>14</v>
      </c>
      <c r="P73">
        <v>17</v>
      </c>
      <c r="Q73">
        <v>19</v>
      </c>
      <c r="R73">
        <v>20</v>
      </c>
      <c r="S73">
        <v>1</v>
      </c>
      <c r="T73">
        <v>2</v>
      </c>
      <c r="U73">
        <v>4</v>
      </c>
      <c r="V73">
        <v>7</v>
      </c>
      <c r="W73">
        <v>11</v>
      </c>
      <c r="X73">
        <v>5</v>
      </c>
      <c r="Y73">
        <v>8</v>
      </c>
      <c r="Z73">
        <v>12</v>
      </c>
      <c r="AA73">
        <v>15</v>
      </c>
      <c r="AB73">
        <v>18</v>
      </c>
      <c r="AD73">
        <f t="shared" ref="AD73:AH73" si="250">SUMIFS($I73:$AB73,$I$2:$AB$2,AD$7)</f>
        <v>19</v>
      </c>
      <c r="AE73">
        <f t="shared" si="250"/>
        <v>30</v>
      </c>
      <c r="AF73">
        <f t="shared" si="250"/>
        <v>42</v>
      </c>
      <c r="AG73">
        <f t="shared" si="250"/>
        <v>54</v>
      </c>
      <c r="AH73">
        <f t="shared" si="250"/>
        <v>65</v>
      </c>
      <c r="AI73">
        <f t="shared" si="226"/>
        <v>127</v>
      </c>
      <c r="AJ73">
        <f t="shared" si="226"/>
        <v>83</v>
      </c>
      <c r="AK73">
        <f t="shared" si="227"/>
        <v>138</v>
      </c>
      <c r="AL73">
        <f t="shared" si="227"/>
        <v>72</v>
      </c>
      <c r="AN73" s="67">
        <f t="shared" ref="AN73:AV73" si="251">((AD73-MIN($AD73:$AL73))/(MAX($AD73:$AL73)-MIN($AD73:$AL73)))</f>
        <v>0</v>
      </c>
      <c r="AO73" s="67">
        <f t="shared" si="251"/>
        <v>9.2436974789915971E-2</v>
      </c>
      <c r="AP73" s="67">
        <f t="shared" si="251"/>
        <v>0.19327731092436976</v>
      </c>
      <c r="AQ73" s="67">
        <f t="shared" si="251"/>
        <v>0.29411764705882354</v>
      </c>
      <c r="AR73" s="67">
        <f t="shared" si="251"/>
        <v>0.38655462184873951</v>
      </c>
      <c r="AS73" s="67">
        <f t="shared" si="251"/>
        <v>0.90756302521008403</v>
      </c>
      <c r="AT73" s="67">
        <f t="shared" si="251"/>
        <v>0.53781512605042014</v>
      </c>
      <c r="AU73" s="67">
        <f t="shared" si="251"/>
        <v>1</v>
      </c>
      <c r="AV73" s="67">
        <f t="shared" si="251"/>
        <v>0.44537815126050423</v>
      </c>
      <c r="AX73">
        <f t="shared" si="241"/>
        <v>0.38655462184873951</v>
      </c>
      <c r="AY73">
        <f t="shared" si="242"/>
        <v>0.36974789915966388</v>
      </c>
      <c r="AZ73">
        <f t="shared" si="243"/>
        <v>0.55462184873949583</v>
      </c>
      <c r="BB73">
        <f t="shared" ref="BB73:BD73" si="252">AX73/SUM($AX73:$AZ73)</f>
        <v>0.29487179487179488</v>
      </c>
      <c r="BC73">
        <f t="shared" si="252"/>
        <v>0.28205128205128205</v>
      </c>
      <c r="BD73">
        <f t="shared" si="252"/>
        <v>0.42307692307692307</v>
      </c>
      <c r="BF73" t="str">
        <f t="shared" si="245"/>
        <v>Theme</v>
      </c>
      <c r="BG73" t="str">
        <f t="shared" si="246"/>
        <v>A</v>
      </c>
      <c r="BI73">
        <f t="shared" si="247"/>
        <v>3.5</v>
      </c>
      <c r="BJ73" t="str">
        <f t="shared" si="248"/>
        <v>Tennis</v>
      </c>
      <c r="BK73" t="str">
        <f t="shared" si="249"/>
        <v>A</v>
      </c>
      <c r="BS73">
        <f t="shared" ref="BS73:BS104" si="253">AR73-AN73</f>
        <v>0.38655462184873951</v>
      </c>
      <c r="BT73">
        <f t="shared" ref="BT73:BT104" si="254">AS73-AT73</f>
        <v>0.36974789915966388</v>
      </c>
      <c r="BU73">
        <f t="shared" ref="BU73:BU104" si="255">AV73-AU73</f>
        <v>-0.55462184873949583</v>
      </c>
      <c r="BW73">
        <f t="shared" ref="BW73:BW104" si="256">(BS73-$BW$4)/$BW$5</f>
        <v>-0.14632959973098972</v>
      </c>
      <c r="BX73">
        <f t="shared" ref="BX73:BX104" si="257">(BT73-$BX$4)/$BX$5</f>
        <v>0.81643884613255646</v>
      </c>
      <c r="BY73">
        <f t="shared" ref="BY73:BY104" si="258">(BU73-$BY$4)/$BY$5</f>
        <v>-1.1885792942637849</v>
      </c>
      <c r="CB73">
        <f t="shared" ref="CB73:CB104" si="259">(($CB$3-BW73)^2+($CB$4-BX73)^2+($CB$5-BY73)^2)^(1/2)</f>
        <v>3.0560667328999123</v>
      </c>
      <c r="CC73">
        <f t="shared" ref="CC73:CC104" si="260">(($CC$3-BW73)^2+($CC$4-BX73)^2+($CC$5-BY73)^2)^(1/2)</f>
        <v>2.3715966127344466</v>
      </c>
      <c r="CD73">
        <f t="shared" ref="CD73:CD104" si="261">(($CD$3-BW73)^2+($CD$4-BX73)^2+($CD$5-BY73)^2)^(1/2)</f>
        <v>0.41102025307426532</v>
      </c>
      <c r="CE73">
        <f t="shared" ref="CE73:CE104" si="262">(($CE$3-BW73)^2+($CE$4-BX73)^2+($CE$5-BY73)^2)^(1/2)</f>
        <v>2.0199126535452963</v>
      </c>
      <c r="CF73">
        <f t="shared" ref="CF73:CF104" si="263">(($CF$3-BW73)^2+($CF$4-BX73)^2+($CF$5-BY73)^2)^(1/2)</f>
        <v>2.3611564969515033</v>
      </c>
      <c r="CG73">
        <f t="shared" si="33"/>
        <v>0.41102025307426532</v>
      </c>
      <c r="CK73" t="str">
        <f t="shared" si="170"/>
        <v>Cluster 3</v>
      </c>
      <c r="CL73" t="str">
        <f t="shared" ref="CL73:CL104" si="264">INDEX($CB$2:$CF$2,,MATCH(CK73,$CB$7:$CF$7,0))</f>
        <v>A Tennis</v>
      </c>
      <c r="CM73" t="str">
        <f t="shared" si="149"/>
        <v>Tennis A</v>
      </c>
      <c r="CN73" t="str">
        <f t="shared" ref="CN73:CN104" si="265">IF(CL73=CM73,"","Diff")</f>
        <v>Diff</v>
      </c>
    </row>
    <row r="74" spans="8:92">
      <c r="H74">
        <v>67</v>
      </c>
      <c r="I74">
        <v>13</v>
      </c>
      <c r="J74">
        <v>16</v>
      </c>
      <c r="K74">
        <v>18</v>
      </c>
      <c r="L74">
        <v>19</v>
      </c>
      <c r="M74">
        <v>20</v>
      </c>
      <c r="N74">
        <v>4</v>
      </c>
      <c r="O74">
        <v>7</v>
      </c>
      <c r="P74">
        <v>10</v>
      </c>
      <c r="Q74">
        <v>12</v>
      </c>
      <c r="R74">
        <v>15</v>
      </c>
      <c r="S74">
        <v>6</v>
      </c>
      <c r="T74">
        <v>9</v>
      </c>
      <c r="U74">
        <v>11</v>
      </c>
      <c r="V74">
        <v>14</v>
      </c>
      <c r="W74">
        <v>17</v>
      </c>
      <c r="X74">
        <v>1</v>
      </c>
      <c r="Y74">
        <v>2</v>
      </c>
      <c r="Z74">
        <v>3</v>
      </c>
      <c r="AA74">
        <v>5</v>
      </c>
      <c r="AB74">
        <v>8</v>
      </c>
      <c r="AD74">
        <f t="shared" ref="AD74:AH74" si="266">SUMIFS($I74:$AB74,$I$2:$AB$2,AD$7)</f>
        <v>24</v>
      </c>
      <c r="AE74">
        <f t="shared" si="266"/>
        <v>34</v>
      </c>
      <c r="AF74">
        <f t="shared" si="266"/>
        <v>42</v>
      </c>
      <c r="AG74">
        <f t="shared" si="266"/>
        <v>50</v>
      </c>
      <c r="AH74">
        <f t="shared" si="266"/>
        <v>60</v>
      </c>
      <c r="AI74">
        <f t="shared" si="226"/>
        <v>134</v>
      </c>
      <c r="AJ74">
        <f t="shared" si="226"/>
        <v>76</v>
      </c>
      <c r="AK74">
        <f t="shared" si="227"/>
        <v>67</v>
      </c>
      <c r="AL74">
        <f t="shared" si="227"/>
        <v>143</v>
      </c>
      <c r="AN74" s="67">
        <f t="shared" ref="AN74:AV74" si="267">((AD74-MIN($AD74:$AL74))/(MAX($AD74:$AL74)-MIN($AD74:$AL74)))</f>
        <v>0</v>
      </c>
      <c r="AO74" s="67">
        <f t="shared" si="267"/>
        <v>8.4033613445378158E-2</v>
      </c>
      <c r="AP74" s="67">
        <f t="shared" si="267"/>
        <v>0.15126050420168066</v>
      </c>
      <c r="AQ74" s="67">
        <f t="shared" si="267"/>
        <v>0.21848739495798319</v>
      </c>
      <c r="AR74" s="67">
        <f t="shared" si="267"/>
        <v>0.30252100840336132</v>
      </c>
      <c r="AS74" s="67">
        <f t="shared" si="267"/>
        <v>0.92436974789915971</v>
      </c>
      <c r="AT74" s="67">
        <f t="shared" si="267"/>
        <v>0.43697478991596639</v>
      </c>
      <c r="AU74" s="67">
        <f t="shared" si="267"/>
        <v>0.36134453781512604</v>
      </c>
      <c r="AV74" s="67">
        <f t="shared" si="267"/>
        <v>1</v>
      </c>
      <c r="AX74">
        <f t="shared" si="241"/>
        <v>0.30252100840336132</v>
      </c>
      <c r="AY74">
        <f t="shared" si="242"/>
        <v>0.48739495798319332</v>
      </c>
      <c r="AZ74">
        <f t="shared" si="243"/>
        <v>0.6386554621848739</v>
      </c>
      <c r="BB74">
        <f t="shared" ref="BB74:BD74" si="268">AX74/SUM($AX74:$AZ74)</f>
        <v>0.21176470588235291</v>
      </c>
      <c r="BC74">
        <f t="shared" si="268"/>
        <v>0.3411764705882353</v>
      </c>
      <c r="BD74">
        <f t="shared" si="268"/>
        <v>0.44705882352941173</v>
      </c>
      <c r="BF74" t="str">
        <f t="shared" si="245"/>
        <v>Theme</v>
      </c>
      <c r="BG74" t="str">
        <f t="shared" si="246"/>
        <v>B</v>
      </c>
      <c r="BI74">
        <f t="shared" si="247"/>
        <v>3.5</v>
      </c>
      <c r="BJ74" t="str">
        <f t="shared" si="248"/>
        <v>Tennis</v>
      </c>
      <c r="BK74" t="str">
        <f t="shared" si="249"/>
        <v>B</v>
      </c>
      <c r="BS74">
        <f t="shared" si="253"/>
        <v>0.30252100840336132</v>
      </c>
      <c r="BT74">
        <f t="shared" si="254"/>
        <v>0.48739495798319332</v>
      </c>
      <c r="BU74">
        <f t="shared" si="255"/>
        <v>0.6386554621848739</v>
      </c>
      <c r="BW74">
        <f t="shared" si="256"/>
        <v>-0.88658687390872204</v>
      </c>
      <c r="BX74">
        <f t="shared" si="257"/>
        <v>1.0736817150330213</v>
      </c>
      <c r="BY74">
        <f t="shared" si="258"/>
        <v>1.3324785596931055</v>
      </c>
      <c r="CB74">
        <f t="shared" si="259"/>
        <v>2.2464182010020601</v>
      </c>
      <c r="CC74">
        <f t="shared" si="260"/>
        <v>3.105839265830372</v>
      </c>
      <c r="CD74">
        <f t="shared" si="261"/>
        <v>2.5500995180169297</v>
      </c>
      <c r="CE74">
        <f t="shared" si="262"/>
        <v>3.293192327500166</v>
      </c>
      <c r="CF74">
        <f t="shared" si="263"/>
        <v>0.42845849046232393</v>
      </c>
      <c r="CG74">
        <f t="shared" ref="CG74:CG137" si="269">MIN(CB74:CF74)</f>
        <v>0.42845849046232393</v>
      </c>
      <c r="CK74" t="str">
        <f t="shared" si="170"/>
        <v>Cluster 5</v>
      </c>
      <c r="CL74" t="str">
        <f t="shared" si="264"/>
        <v>B Tennis</v>
      </c>
      <c r="CM74" t="str">
        <f t="shared" si="149"/>
        <v>Tennis B</v>
      </c>
      <c r="CN74" t="str">
        <f t="shared" si="265"/>
        <v>Diff</v>
      </c>
    </row>
    <row r="75" spans="8:92">
      <c r="H75">
        <v>68</v>
      </c>
      <c r="I75">
        <v>10</v>
      </c>
      <c r="J75">
        <v>14</v>
      </c>
      <c r="K75">
        <v>17</v>
      </c>
      <c r="L75">
        <v>19</v>
      </c>
      <c r="M75">
        <v>20</v>
      </c>
      <c r="N75">
        <v>5</v>
      </c>
      <c r="O75">
        <v>8</v>
      </c>
      <c r="P75">
        <v>12</v>
      </c>
      <c r="Q75">
        <v>15</v>
      </c>
      <c r="R75">
        <v>18</v>
      </c>
      <c r="S75">
        <v>3</v>
      </c>
      <c r="T75">
        <v>6</v>
      </c>
      <c r="U75">
        <v>9</v>
      </c>
      <c r="V75">
        <v>13</v>
      </c>
      <c r="W75">
        <v>16</v>
      </c>
      <c r="X75">
        <v>1</v>
      </c>
      <c r="Y75">
        <v>2</v>
      </c>
      <c r="Z75">
        <v>4</v>
      </c>
      <c r="AA75">
        <v>7</v>
      </c>
      <c r="AB75">
        <v>11</v>
      </c>
      <c r="AD75">
        <f t="shared" ref="AD75:AH75" si="270">SUMIFS($I75:$AB75,$I$2:$AB$2,AD$7)</f>
        <v>19</v>
      </c>
      <c r="AE75">
        <f t="shared" si="270"/>
        <v>30</v>
      </c>
      <c r="AF75">
        <f t="shared" si="270"/>
        <v>42</v>
      </c>
      <c r="AG75">
        <f t="shared" si="270"/>
        <v>54</v>
      </c>
      <c r="AH75">
        <f t="shared" si="270"/>
        <v>65</v>
      </c>
      <c r="AI75">
        <f t="shared" si="226"/>
        <v>138</v>
      </c>
      <c r="AJ75">
        <f t="shared" si="226"/>
        <v>72</v>
      </c>
      <c r="AK75">
        <f t="shared" si="227"/>
        <v>83</v>
      </c>
      <c r="AL75">
        <f t="shared" si="227"/>
        <v>127</v>
      </c>
      <c r="AN75" s="67">
        <f t="shared" ref="AN75:AV75" si="271">((AD75-MIN($AD75:$AL75))/(MAX($AD75:$AL75)-MIN($AD75:$AL75)))</f>
        <v>0</v>
      </c>
      <c r="AO75" s="67">
        <f t="shared" si="271"/>
        <v>9.2436974789915971E-2</v>
      </c>
      <c r="AP75" s="67">
        <f t="shared" si="271"/>
        <v>0.19327731092436976</v>
      </c>
      <c r="AQ75" s="67">
        <f t="shared" si="271"/>
        <v>0.29411764705882354</v>
      </c>
      <c r="AR75" s="67">
        <f t="shared" si="271"/>
        <v>0.38655462184873951</v>
      </c>
      <c r="AS75" s="67">
        <f t="shared" si="271"/>
        <v>1</v>
      </c>
      <c r="AT75" s="67">
        <f t="shared" si="271"/>
        <v>0.44537815126050423</v>
      </c>
      <c r="AU75" s="67">
        <f t="shared" si="271"/>
        <v>0.53781512605042014</v>
      </c>
      <c r="AV75" s="67">
        <f t="shared" si="271"/>
        <v>0.90756302521008403</v>
      </c>
      <c r="AX75">
        <f t="shared" si="241"/>
        <v>0.38655462184873951</v>
      </c>
      <c r="AY75">
        <f t="shared" si="242"/>
        <v>0.55462184873949583</v>
      </c>
      <c r="AZ75">
        <f t="shared" si="243"/>
        <v>0.36974789915966388</v>
      </c>
      <c r="BB75">
        <f t="shared" ref="BB75:BD75" si="272">AX75/SUM($AX75:$AZ75)</f>
        <v>0.29487179487179488</v>
      </c>
      <c r="BC75">
        <f t="shared" si="272"/>
        <v>0.42307692307692307</v>
      </c>
      <c r="BD75">
        <f t="shared" si="272"/>
        <v>0.28205128205128205</v>
      </c>
      <c r="BF75" t="str">
        <f t="shared" si="245"/>
        <v xml:space="preserve">Brand </v>
      </c>
      <c r="BG75" t="str">
        <f t="shared" si="246"/>
        <v>Tennis</v>
      </c>
      <c r="BI75">
        <f t="shared" si="247"/>
        <v>3.5</v>
      </c>
      <c r="BJ75" t="str">
        <f t="shared" si="248"/>
        <v>Tennis</v>
      </c>
      <c r="BK75" t="str">
        <f t="shared" si="249"/>
        <v>B</v>
      </c>
      <c r="BS75">
        <f t="shared" si="253"/>
        <v>0.38655462184873951</v>
      </c>
      <c r="BT75">
        <f t="shared" si="254"/>
        <v>0.55462184873949583</v>
      </c>
      <c r="BU75">
        <f t="shared" si="255"/>
        <v>0.36974789915966388</v>
      </c>
      <c r="BW75">
        <f t="shared" si="256"/>
        <v>-0.14632959973098972</v>
      </c>
      <c r="BX75">
        <f t="shared" si="257"/>
        <v>1.2206776401190014</v>
      </c>
      <c r="BY75">
        <f t="shared" si="258"/>
        <v>0.76435284612535581</v>
      </c>
      <c r="CB75">
        <f t="shared" si="259"/>
        <v>2.4358849228987105</v>
      </c>
      <c r="CC75">
        <f t="shared" si="260"/>
        <v>2.3095144974346336</v>
      </c>
      <c r="CD75">
        <f t="shared" si="261"/>
        <v>1.9886093448224906</v>
      </c>
      <c r="CE75">
        <f t="shared" si="262"/>
        <v>3.0155436080046267</v>
      </c>
      <c r="CF75">
        <f t="shared" si="263"/>
        <v>0.52422262667193553</v>
      </c>
      <c r="CG75">
        <f t="shared" si="269"/>
        <v>0.52422262667193553</v>
      </c>
      <c r="CK75" t="str">
        <f t="shared" si="170"/>
        <v>Cluster 5</v>
      </c>
      <c r="CL75" t="str">
        <f t="shared" si="264"/>
        <v>B Tennis</v>
      </c>
      <c r="CM75" t="str">
        <f t="shared" ref="CM75:CM106" si="273">IF(BG75=3.5,"Price Only",BJ75&amp;" "&amp;BK75)</f>
        <v>Tennis B</v>
      </c>
      <c r="CN75" t="str">
        <f t="shared" si="265"/>
        <v>Diff</v>
      </c>
    </row>
    <row r="76" spans="8:92">
      <c r="H76">
        <v>69</v>
      </c>
      <c r="I76">
        <v>4</v>
      </c>
      <c r="J76">
        <v>8</v>
      </c>
      <c r="K76">
        <v>12</v>
      </c>
      <c r="L76">
        <v>16</v>
      </c>
      <c r="M76">
        <v>20</v>
      </c>
      <c r="N76">
        <v>3</v>
      </c>
      <c r="O76">
        <v>7</v>
      </c>
      <c r="P76">
        <v>11</v>
      </c>
      <c r="Q76">
        <v>15</v>
      </c>
      <c r="R76">
        <v>19</v>
      </c>
      <c r="S76">
        <v>2</v>
      </c>
      <c r="T76">
        <v>6</v>
      </c>
      <c r="U76">
        <v>10</v>
      </c>
      <c r="V76">
        <v>14</v>
      </c>
      <c r="W76">
        <v>18</v>
      </c>
      <c r="X76">
        <v>1</v>
      </c>
      <c r="Y76">
        <v>5</v>
      </c>
      <c r="Z76">
        <v>9</v>
      </c>
      <c r="AA76">
        <v>13</v>
      </c>
      <c r="AB76">
        <v>17</v>
      </c>
      <c r="AD76">
        <f t="shared" ref="AD76:AH76" si="274">SUMIFS($I76:$AB76,$I$2:$AB$2,AD$7)</f>
        <v>10</v>
      </c>
      <c r="AE76">
        <f t="shared" si="274"/>
        <v>26</v>
      </c>
      <c r="AF76">
        <f t="shared" si="274"/>
        <v>42</v>
      </c>
      <c r="AG76">
        <f t="shared" si="274"/>
        <v>58</v>
      </c>
      <c r="AH76">
        <f t="shared" si="274"/>
        <v>74</v>
      </c>
      <c r="AI76">
        <f t="shared" si="226"/>
        <v>115</v>
      </c>
      <c r="AJ76">
        <f t="shared" si="226"/>
        <v>95</v>
      </c>
      <c r="AK76">
        <f t="shared" si="227"/>
        <v>100</v>
      </c>
      <c r="AL76">
        <f t="shared" si="227"/>
        <v>110</v>
      </c>
      <c r="AN76" s="67">
        <f t="shared" ref="AN76:AV76" si="275">((AD76-MIN($AD76:$AL76))/(MAX($AD76:$AL76)-MIN($AD76:$AL76)))</f>
        <v>0</v>
      </c>
      <c r="AO76" s="67">
        <f t="shared" si="275"/>
        <v>0.15238095238095239</v>
      </c>
      <c r="AP76" s="67">
        <f t="shared" si="275"/>
        <v>0.30476190476190479</v>
      </c>
      <c r="AQ76" s="67">
        <f t="shared" si="275"/>
        <v>0.45714285714285713</v>
      </c>
      <c r="AR76" s="67">
        <f t="shared" si="275"/>
        <v>0.60952380952380958</v>
      </c>
      <c r="AS76" s="67">
        <f t="shared" si="275"/>
        <v>1</v>
      </c>
      <c r="AT76" s="67">
        <f t="shared" si="275"/>
        <v>0.80952380952380953</v>
      </c>
      <c r="AU76" s="67">
        <f t="shared" si="275"/>
        <v>0.8571428571428571</v>
      </c>
      <c r="AV76" s="67">
        <f t="shared" si="275"/>
        <v>0.95238095238095233</v>
      </c>
      <c r="AX76">
        <f t="shared" si="241"/>
        <v>0.60952380952380958</v>
      </c>
      <c r="AY76">
        <f t="shared" si="242"/>
        <v>0.19047619047619047</v>
      </c>
      <c r="AZ76">
        <f t="shared" si="243"/>
        <v>9.5238095238095233E-2</v>
      </c>
      <c r="BB76">
        <f t="shared" ref="BB76:BD76" si="276">AX76/SUM($AX76:$AZ76)</f>
        <v>0.68085106382978722</v>
      </c>
      <c r="BC76">
        <f t="shared" si="276"/>
        <v>0.21276595744680848</v>
      </c>
      <c r="BD76">
        <f t="shared" si="276"/>
        <v>0.10638297872340424</v>
      </c>
      <c r="BF76" t="str">
        <f t="shared" si="245"/>
        <v>Price</v>
      </c>
      <c r="BG76">
        <f t="shared" si="246"/>
        <v>3.5</v>
      </c>
      <c r="BI76">
        <f t="shared" si="247"/>
        <v>3.5</v>
      </c>
      <c r="BJ76" t="str">
        <f t="shared" si="248"/>
        <v>Tennis</v>
      </c>
      <c r="BK76" t="str">
        <f t="shared" si="249"/>
        <v>B</v>
      </c>
      <c r="BS76">
        <f t="shared" si="253"/>
        <v>0.60952380952380958</v>
      </c>
      <c r="BT76">
        <f t="shared" si="254"/>
        <v>0.19047619047619047</v>
      </c>
      <c r="BU76">
        <f t="shared" si="255"/>
        <v>9.5238095238095233E-2</v>
      </c>
      <c r="BW76">
        <f t="shared" si="256"/>
        <v>1.8178197010872597</v>
      </c>
      <c r="BX76">
        <f t="shared" si="257"/>
        <v>0.42444971256994318</v>
      </c>
      <c r="BY76">
        <f t="shared" si="258"/>
        <v>0.18439118019161094</v>
      </c>
      <c r="CB76">
        <f t="shared" si="259"/>
        <v>3.0387556747186748</v>
      </c>
      <c r="CC76">
        <f t="shared" si="260"/>
        <v>0.26127112978457395</v>
      </c>
      <c r="CD76">
        <f t="shared" si="261"/>
        <v>2.7540294742593474</v>
      </c>
      <c r="CE76">
        <f t="shared" si="262"/>
        <v>3.0528355709459638</v>
      </c>
      <c r="CF76">
        <f t="shared" si="263"/>
        <v>2.6111766219359862</v>
      </c>
      <c r="CG76">
        <f t="shared" si="269"/>
        <v>0.26127112978457395</v>
      </c>
      <c r="CK76" t="str">
        <f t="shared" si="170"/>
        <v>Cluster 2</v>
      </c>
      <c r="CL76" t="str">
        <f t="shared" si="264"/>
        <v>Price Only</v>
      </c>
      <c r="CM76" t="str">
        <f t="shared" si="273"/>
        <v>Price Only</v>
      </c>
      <c r="CN76" t="str">
        <f t="shared" si="265"/>
        <v/>
      </c>
    </row>
    <row r="77" spans="8:92">
      <c r="H77">
        <v>70</v>
      </c>
      <c r="I77">
        <v>1</v>
      </c>
      <c r="J77">
        <v>2</v>
      </c>
      <c r="K77">
        <v>3</v>
      </c>
      <c r="L77">
        <v>5</v>
      </c>
      <c r="M77">
        <v>8</v>
      </c>
      <c r="N77">
        <v>6</v>
      </c>
      <c r="O77">
        <v>9</v>
      </c>
      <c r="P77">
        <v>11</v>
      </c>
      <c r="Q77">
        <v>14</v>
      </c>
      <c r="R77">
        <v>17</v>
      </c>
      <c r="S77">
        <v>4</v>
      </c>
      <c r="T77">
        <v>7</v>
      </c>
      <c r="U77">
        <v>10</v>
      </c>
      <c r="V77">
        <v>12</v>
      </c>
      <c r="W77">
        <v>15</v>
      </c>
      <c r="X77">
        <v>13</v>
      </c>
      <c r="Y77">
        <v>16</v>
      </c>
      <c r="Z77">
        <v>18</v>
      </c>
      <c r="AA77">
        <v>19</v>
      </c>
      <c r="AB77">
        <v>20</v>
      </c>
      <c r="AD77">
        <f t="shared" ref="AD77:AH77" si="277">SUMIFS($I77:$AB77,$I$2:$AB$2,AD$7)</f>
        <v>24</v>
      </c>
      <c r="AE77">
        <f t="shared" si="277"/>
        <v>34</v>
      </c>
      <c r="AF77">
        <f t="shared" si="277"/>
        <v>42</v>
      </c>
      <c r="AG77">
        <f t="shared" si="277"/>
        <v>50</v>
      </c>
      <c r="AH77">
        <f t="shared" si="277"/>
        <v>60</v>
      </c>
      <c r="AI77">
        <f t="shared" si="226"/>
        <v>76</v>
      </c>
      <c r="AJ77">
        <f t="shared" si="226"/>
        <v>134</v>
      </c>
      <c r="AK77">
        <f t="shared" si="227"/>
        <v>143</v>
      </c>
      <c r="AL77">
        <f t="shared" si="227"/>
        <v>67</v>
      </c>
      <c r="AN77" s="67">
        <f t="shared" ref="AN77:AV77" si="278">((AD77-MIN($AD77:$AL77))/(MAX($AD77:$AL77)-MIN($AD77:$AL77)))</f>
        <v>0</v>
      </c>
      <c r="AO77" s="67">
        <f t="shared" si="278"/>
        <v>8.4033613445378158E-2</v>
      </c>
      <c r="AP77" s="67">
        <f t="shared" si="278"/>
        <v>0.15126050420168066</v>
      </c>
      <c r="AQ77" s="67">
        <f t="shared" si="278"/>
        <v>0.21848739495798319</v>
      </c>
      <c r="AR77" s="67">
        <f t="shared" si="278"/>
        <v>0.30252100840336132</v>
      </c>
      <c r="AS77" s="67">
        <f t="shared" si="278"/>
        <v>0.43697478991596639</v>
      </c>
      <c r="AT77" s="67">
        <f t="shared" si="278"/>
        <v>0.92436974789915971</v>
      </c>
      <c r="AU77" s="67">
        <f t="shared" si="278"/>
        <v>1</v>
      </c>
      <c r="AV77" s="67">
        <f t="shared" si="278"/>
        <v>0.36134453781512604</v>
      </c>
      <c r="AX77">
        <f t="shared" si="241"/>
        <v>0.30252100840336132</v>
      </c>
      <c r="AY77">
        <f t="shared" si="242"/>
        <v>0.48739495798319332</v>
      </c>
      <c r="AZ77">
        <f t="shared" si="243"/>
        <v>0.6386554621848739</v>
      </c>
      <c r="BB77">
        <f t="shared" ref="BB77:BD77" si="279">AX77/SUM($AX77:$AZ77)</f>
        <v>0.21176470588235291</v>
      </c>
      <c r="BC77">
        <f t="shared" si="279"/>
        <v>0.3411764705882353</v>
      </c>
      <c r="BD77">
        <f t="shared" si="279"/>
        <v>0.44705882352941173</v>
      </c>
      <c r="BF77" t="str">
        <f t="shared" si="245"/>
        <v>Theme</v>
      </c>
      <c r="BG77" t="str">
        <f t="shared" si="246"/>
        <v>A</v>
      </c>
      <c r="BI77">
        <f t="shared" si="247"/>
        <v>3.5</v>
      </c>
      <c r="BJ77" t="str">
        <f t="shared" si="248"/>
        <v>Super Bowl</v>
      </c>
      <c r="BK77" t="str">
        <f t="shared" si="249"/>
        <v>A</v>
      </c>
      <c r="BS77">
        <f t="shared" si="253"/>
        <v>0.30252100840336132</v>
      </c>
      <c r="BT77">
        <f t="shared" si="254"/>
        <v>-0.48739495798319332</v>
      </c>
      <c r="BU77">
        <f t="shared" si="255"/>
        <v>-0.6386554621848739</v>
      </c>
      <c r="BW77">
        <f t="shared" si="256"/>
        <v>-0.88658687390872204</v>
      </c>
      <c r="BX77">
        <f t="shared" si="257"/>
        <v>-1.0577591987136883</v>
      </c>
      <c r="BY77">
        <f t="shared" si="258"/>
        <v>-1.3661185797537068</v>
      </c>
      <c r="CB77">
        <f t="shared" si="259"/>
        <v>2.4902346097225885</v>
      </c>
      <c r="CC77">
        <f t="shared" si="260"/>
        <v>3.2827190207660486</v>
      </c>
      <c r="CD77">
        <f t="shared" si="261"/>
        <v>2.1451866894864131</v>
      </c>
      <c r="CE77">
        <f t="shared" si="262"/>
        <v>0.53346022069200494</v>
      </c>
      <c r="CF77">
        <f t="shared" si="263"/>
        <v>3.3306858796424912</v>
      </c>
      <c r="CG77">
        <f t="shared" si="269"/>
        <v>0.53346022069200494</v>
      </c>
      <c r="CK77" t="str">
        <f t="shared" si="170"/>
        <v>Cluster 4</v>
      </c>
      <c r="CL77" t="str">
        <f t="shared" si="264"/>
        <v>A Super Bowl</v>
      </c>
      <c r="CM77" t="str">
        <f t="shared" si="273"/>
        <v>Super Bowl A</v>
      </c>
      <c r="CN77" t="str">
        <f t="shared" si="265"/>
        <v>Diff</v>
      </c>
    </row>
    <row r="78" spans="8:92">
      <c r="H78">
        <v>71</v>
      </c>
      <c r="I78">
        <v>4</v>
      </c>
      <c r="J78">
        <v>7</v>
      </c>
      <c r="K78">
        <v>11</v>
      </c>
      <c r="L78">
        <v>15</v>
      </c>
      <c r="M78">
        <v>18</v>
      </c>
      <c r="N78">
        <v>9</v>
      </c>
      <c r="O78">
        <v>13</v>
      </c>
      <c r="P78">
        <v>16</v>
      </c>
      <c r="Q78">
        <v>19</v>
      </c>
      <c r="R78">
        <v>20</v>
      </c>
      <c r="S78">
        <v>1</v>
      </c>
      <c r="T78">
        <v>2</v>
      </c>
      <c r="U78">
        <v>5</v>
      </c>
      <c r="V78">
        <v>8</v>
      </c>
      <c r="W78">
        <v>12</v>
      </c>
      <c r="X78">
        <v>3</v>
      </c>
      <c r="Y78">
        <v>6</v>
      </c>
      <c r="Z78">
        <v>10</v>
      </c>
      <c r="AA78">
        <v>14</v>
      </c>
      <c r="AB78">
        <v>17</v>
      </c>
      <c r="AD78">
        <f t="shared" ref="AD78:AH78" si="280">SUMIFS($I78:$AB78,$I$2:$AB$2,AD$7)</f>
        <v>17</v>
      </c>
      <c r="AE78">
        <f t="shared" si="280"/>
        <v>28</v>
      </c>
      <c r="AF78">
        <f t="shared" si="280"/>
        <v>42</v>
      </c>
      <c r="AG78">
        <f t="shared" si="280"/>
        <v>56</v>
      </c>
      <c r="AH78">
        <f t="shared" si="280"/>
        <v>67</v>
      </c>
      <c r="AI78">
        <f t="shared" si="226"/>
        <v>132</v>
      </c>
      <c r="AJ78">
        <f t="shared" si="226"/>
        <v>78</v>
      </c>
      <c r="AK78">
        <f t="shared" si="227"/>
        <v>127</v>
      </c>
      <c r="AL78">
        <f t="shared" si="227"/>
        <v>83</v>
      </c>
      <c r="AN78" s="67">
        <f t="shared" ref="AN78:AV78" si="281">((AD78-MIN($AD78:$AL78))/(MAX($AD78:$AL78)-MIN($AD78:$AL78)))</f>
        <v>0</v>
      </c>
      <c r="AO78" s="67">
        <f t="shared" si="281"/>
        <v>9.5652173913043481E-2</v>
      </c>
      <c r="AP78" s="67">
        <f t="shared" si="281"/>
        <v>0.21739130434782608</v>
      </c>
      <c r="AQ78" s="67">
        <f t="shared" si="281"/>
        <v>0.33913043478260868</v>
      </c>
      <c r="AR78" s="67">
        <f t="shared" si="281"/>
        <v>0.43478260869565216</v>
      </c>
      <c r="AS78" s="67">
        <f t="shared" si="281"/>
        <v>1</v>
      </c>
      <c r="AT78" s="67">
        <f t="shared" si="281"/>
        <v>0.5304347826086957</v>
      </c>
      <c r="AU78" s="67">
        <f t="shared" si="281"/>
        <v>0.95652173913043481</v>
      </c>
      <c r="AV78" s="67">
        <f t="shared" si="281"/>
        <v>0.57391304347826089</v>
      </c>
      <c r="AX78">
        <f t="shared" si="241"/>
        <v>0.43478260869565216</v>
      </c>
      <c r="AY78">
        <f t="shared" si="242"/>
        <v>0.4695652173913043</v>
      </c>
      <c r="AZ78">
        <f t="shared" si="243"/>
        <v>0.38260869565217392</v>
      </c>
      <c r="BB78">
        <f t="shared" ref="BB78:BD78" si="282">AX78/SUM($AX78:$AZ78)</f>
        <v>0.33783783783783783</v>
      </c>
      <c r="BC78">
        <f t="shared" si="282"/>
        <v>0.36486486486486486</v>
      </c>
      <c r="BD78">
        <f t="shared" si="282"/>
        <v>0.29729729729729731</v>
      </c>
      <c r="BF78" t="str">
        <f t="shared" si="245"/>
        <v xml:space="preserve">Brand </v>
      </c>
      <c r="BG78" t="str">
        <f t="shared" si="246"/>
        <v>Tennis</v>
      </c>
      <c r="BI78">
        <f t="shared" si="247"/>
        <v>3.5</v>
      </c>
      <c r="BJ78" t="str">
        <f t="shared" si="248"/>
        <v>Tennis</v>
      </c>
      <c r="BK78" t="str">
        <f t="shared" si="249"/>
        <v>A</v>
      </c>
      <c r="BS78">
        <f t="shared" si="253"/>
        <v>0.43478260869565216</v>
      </c>
      <c r="BT78">
        <f t="shared" si="254"/>
        <v>0.4695652173913043</v>
      </c>
      <c r="BU78">
        <f t="shared" si="255"/>
        <v>-0.38260869565217392</v>
      </c>
      <c r="BW78">
        <f t="shared" si="256"/>
        <v>0.27851370544927367</v>
      </c>
      <c r="BX78">
        <f t="shared" si="257"/>
        <v>1.0346958392493484</v>
      </c>
      <c r="BY78">
        <f t="shared" si="258"/>
        <v>-0.82516409596528395</v>
      </c>
      <c r="CB78">
        <f t="shared" si="259"/>
        <v>3.0471451944711325</v>
      </c>
      <c r="CC78">
        <f t="shared" si="260"/>
        <v>1.9260887229370682</v>
      </c>
      <c r="CD78">
        <f t="shared" si="261"/>
        <v>0.84871165197531562</v>
      </c>
      <c r="CE78">
        <f t="shared" si="262"/>
        <v>2.3416156404920998</v>
      </c>
      <c r="CF78">
        <f t="shared" si="263"/>
        <v>2.1059681060616509</v>
      </c>
      <c r="CG78">
        <f t="shared" si="269"/>
        <v>0.84871165197531562</v>
      </c>
      <c r="CK78" t="str">
        <f t="shared" si="170"/>
        <v>Cluster 3</v>
      </c>
      <c r="CL78" t="str">
        <f t="shared" si="264"/>
        <v>A Tennis</v>
      </c>
      <c r="CM78" t="str">
        <f t="shared" si="273"/>
        <v>Tennis A</v>
      </c>
      <c r="CN78" t="str">
        <f t="shared" si="265"/>
        <v>Diff</v>
      </c>
    </row>
    <row r="79" spans="8:92">
      <c r="H79">
        <v>72</v>
      </c>
      <c r="I79">
        <v>4</v>
      </c>
      <c r="J79">
        <v>8</v>
      </c>
      <c r="K79">
        <v>12</v>
      </c>
      <c r="L79">
        <v>16</v>
      </c>
      <c r="M79">
        <v>20</v>
      </c>
      <c r="N79">
        <v>3</v>
      </c>
      <c r="O79">
        <v>7</v>
      </c>
      <c r="P79">
        <v>11</v>
      </c>
      <c r="Q79">
        <v>14</v>
      </c>
      <c r="R79">
        <v>18</v>
      </c>
      <c r="S79">
        <v>2</v>
      </c>
      <c r="T79">
        <v>6</v>
      </c>
      <c r="U79">
        <v>10</v>
      </c>
      <c r="V79">
        <v>15</v>
      </c>
      <c r="W79">
        <v>19</v>
      </c>
      <c r="X79">
        <v>1</v>
      </c>
      <c r="Y79">
        <v>5</v>
      </c>
      <c r="Z79">
        <v>9</v>
      </c>
      <c r="AA79">
        <v>13</v>
      </c>
      <c r="AB79">
        <v>17</v>
      </c>
      <c r="AD79">
        <f t="shared" ref="AD79:AH79" si="283">SUMIFS($I79:$AB79,$I$2:$AB$2,AD$7)</f>
        <v>10</v>
      </c>
      <c r="AE79">
        <f t="shared" si="283"/>
        <v>26</v>
      </c>
      <c r="AF79">
        <f t="shared" si="283"/>
        <v>42</v>
      </c>
      <c r="AG79">
        <f t="shared" si="283"/>
        <v>58</v>
      </c>
      <c r="AH79">
        <f t="shared" si="283"/>
        <v>74</v>
      </c>
      <c r="AI79">
        <f t="shared" si="226"/>
        <v>113</v>
      </c>
      <c r="AJ79">
        <f t="shared" si="226"/>
        <v>97</v>
      </c>
      <c r="AK79">
        <f t="shared" si="227"/>
        <v>98</v>
      </c>
      <c r="AL79">
        <f t="shared" si="227"/>
        <v>112</v>
      </c>
      <c r="AN79" s="67">
        <f t="shared" ref="AN79:AV79" si="284">((AD79-MIN($AD79:$AL79))/(MAX($AD79:$AL79)-MIN($AD79:$AL79)))</f>
        <v>0</v>
      </c>
      <c r="AO79" s="67">
        <f t="shared" si="284"/>
        <v>0.1553398058252427</v>
      </c>
      <c r="AP79" s="67">
        <f t="shared" si="284"/>
        <v>0.31067961165048541</v>
      </c>
      <c r="AQ79" s="67">
        <f t="shared" si="284"/>
        <v>0.46601941747572817</v>
      </c>
      <c r="AR79" s="67">
        <f t="shared" si="284"/>
        <v>0.62135922330097082</v>
      </c>
      <c r="AS79" s="67">
        <f t="shared" si="284"/>
        <v>1</v>
      </c>
      <c r="AT79" s="67">
        <f t="shared" si="284"/>
        <v>0.84466019417475724</v>
      </c>
      <c r="AU79" s="67">
        <f t="shared" si="284"/>
        <v>0.85436893203883491</v>
      </c>
      <c r="AV79" s="67">
        <f t="shared" si="284"/>
        <v>0.99029126213592233</v>
      </c>
      <c r="AX79">
        <f t="shared" si="241"/>
        <v>0.62135922330097082</v>
      </c>
      <c r="AY79">
        <f t="shared" si="242"/>
        <v>0.15533980582524276</v>
      </c>
      <c r="AZ79">
        <f t="shared" si="243"/>
        <v>0.13592233009708743</v>
      </c>
      <c r="BB79">
        <f t="shared" ref="BB79:BD79" si="285">AX79/SUM($AX79:$AZ79)</f>
        <v>0.68085106382978711</v>
      </c>
      <c r="BC79">
        <f t="shared" si="285"/>
        <v>0.17021276595744686</v>
      </c>
      <c r="BD79">
        <f t="shared" si="285"/>
        <v>0.14893617021276601</v>
      </c>
      <c r="BF79" t="str">
        <f t="shared" si="245"/>
        <v>Price</v>
      </c>
      <c r="BG79">
        <f t="shared" si="246"/>
        <v>3.5</v>
      </c>
      <c r="BI79">
        <f t="shared" si="247"/>
        <v>3.5</v>
      </c>
      <c r="BJ79" t="str">
        <f t="shared" si="248"/>
        <v>Tennis</v>
      </c>
      <c r="BK79" t="str">
        <f t="shared" si="249"/>
        <v>B</v>
      </c>
      <c r="BS79">
        <f t="shared" si="253"/>
        <v>0.62135922330097082</v>
      </c>
      <c r="BT79">
        <f t="shared" si="254"/>
        <v>0.15533980582524276</v>
      </c>
      <c r="BU79">
        <f t="shared" si="255"/>
        <v>0.13592233009708743</v>
      </c>
      <c r="BW79">
        <f t="shared" si="256"/>
        <v>1.9220785896704784</v>
      </c>
      <c r="BX79">
        <f t="shared" si="257"/>
        <v>0.34762174525154277</v>
      </c>
      <c r="BY79">
        <f t="shared" si="258"/>
        <v>0.27034547504368972</v>
      </c>
      <c r="CB79">
        <f t="shared" si="259"/>
        <v>3.0603288951776624</v>
      </c>
      <c r="CC79">
        <f t="shared" si="260"/>
        <v>0.30195786317639661</v>
      </c>
      <c r="CD79">
        <f t="shared" si="261"/>
        <v>2.9018239642293064</v>
      </c>
      <c r="CE79">
        <f t="shared" si="262"/>
        <v>3.12865023310767</v>
      </c>
      <c r="CF79">
        <f t="shared" si="263"/>
        <v>2.6972631031689351</v>
      </c>
      <c r="CG79">
        <f t="shared" si="269"/>
        <v>0.30195786317639661</v>
      </c>
      <c r="CK79" t="str">
        <f t="shared" si="170"/>
        <v>Cluster 2</v>
      </c>
      <c r="CL79" t="str">
        <f t="shared" si="264"/>
        <v>Price Only</v>
      </c>
      <c r="CM79" t="str">
        <f t="shared" si="273"/>
        <v>Price Only</v>
      </c>
      <c r="CN79" t="str">
        <f t="shared" si="265"/>
        <v/>
      </c>
    </row>
    <row r="80" spans="8:92">
      <c r="H80">
        <v>73</v>
      </c>
      <c r="I80">
        <v>6</v>
      </c>
      <c r="J80">
        <v>9</v>
      </c>
      <c r="K80">
        <v>11</v>
      </c>
      <c r="L80">
        <v>14</v>
      </c>
      <c r="M80">
        <v>17</v>
      </c>
      <c r="N80">
        <v>1</v>
      </c>
      <c r="O80">
        <v>2</v>
      </c>
      <c r="P80">
        <v>3</v>
      </c>
      <c r="Q80">
        <v>5</v>
      </c>
      <c r="R80">
        <v>8</v>
      </c>
      <c r="S80">
        <v>13</v>
      </c>
      <c r="T80">
        <v>16</v>
      </c>
      <c r="U80">
        <v>18</v>
      </c>
      <c r="V80">
        <v>19</v>
      </c>
      <c r="W80">
        <v>20</v>
      </c>
      <c r="X80">
        <v>4</v>
      </c>
      <c r="Y80">
        <v>7</v>
      </c>
      <c r="Z80">
        <v>10</v>
      </c>
      <c r="AA80">
        <v>12</v>
      </c>
      <c r="AB80">
        <v>15</v>
      </c>
      <c r="AD80">
        <f t="shared" ref="AD80:AH80" si="286">SUMIFS($I80:$AB80,$I$2:$AB$2,AD$7)</f>
        <v>24</v>
      </c>
      <c r="AE80">
        <f t="shared" si="286"/>
        <v>34</v>
      </c>
      <c r="AF80">
        <f t="shared" si="286"/>
        <v>42</v>
      </c>
      <c r="AG80">
        <f t="shared" si="286"/>
        <v>50</v>
      </c>
      <c r="AH80">
        <f t="shared" si="286"/>
        <v>60</v>
      </c>
      <c r="AI80">
        <f t="shared" si="226"/>
        <v>76</v>
      </c>
      <c r="AJ80">
        <f t="shared" si="226"/>
        <v>134</v>
      </c>
      <c r="AK80">
        <f t="shared" si="227"/>
        <v>67</v>
      </c>
      <c r="AL80">
        <f t="shared" si="227"/>
        <v>143</v>
      </c>
      <c r="AN80" s="67">
        <f t="shared" ref="AN80:AV80" si="287">((AD80-MIN($AD80:$AL80))/(MAX($AD80:$AL80)-MIN($AD80:$AL80)))</f>
        <v>0</v>
      </c>
      <c r="AO80" s="67">
        <f t="shared" si="287"/>
        <v>8.4033613445378158E-2</v>
      </c>
      <c r="AP80" s="67">
        <f t="shared" si="287"/>
        <v>0.15126050420168066</v>
      </c>
      <c r="AQ80" s="67">
        <f t="shared" si="287"/>
        <v>0.21848739495798319</v>
      </c>
      <c r="AR80" s="67">
        <f t="shared" si="287"/>
        <v>0.30252100840336132</v>
      </c>
      <c r="AS80" s="67">
        <f t="shared" si="287"/>
        <v>0.43697478991596639</v>
      </c>
      <c r="AT80" s="67">
        <f t="shared" si="287"/>
        <v>0.92436974789915971</v>
      </c>
      <c r="AU80" s="67">
        <f t="shared" si="287"/>
        <v>0.36134453781512604</v>
      </c>
      <c r="AV80" s="67">
        <f t="shared" si="287"/>
        <v>1</v>
      </c>
      <c r="AX80">
        <f t="shared" si="241"/>
        <v>0.30252100840336132</v>
      </c>
      <c r="AY80">
        <f t="shared" si="242"/>
        <v>0.48739495798319332</v>
      </c>
      <c r="AZ80">
        <f t="shared" si="243"/>
        <v>0.6386554621848739</v>
      </c>
      <c r="BB80">
        <f t="shared" ref="BB80:BD80" si="288">AX80/SUM($AX80:$AZ80)</f>
        <v>0.21176470588235291</v>
      </c>
      <c r="BC80">
        <f t="shared" si="288"/>
        <v>0.3411764705882353</v>
      </c>
      <c r="BD80">
        <f t="shared" si="288"/>
        <v>0.44705882352941173</v>
      </c>
      <c r="BF80" t="str">
        <f t="shared" si="245"/>
        <v>Theme</v>
      </c>
      <c r="BG80" t="str">
        <f t="shared" si="246"/>
        <v>B</v>
      </c>
      <c r="BI80">
        <f t="shared" si="247"/>
        <v>3.5</v>
      </c>
      <c r="BJ80" t="str">
        <f t="shared" si="248"/>
        <v>Super Bowl</v>
      </c>
      <c r="BK80" t="str">
        <f t="shared" si="249"/>
        <v>B</v>
      </c>
      <c r="BS80">
        <f t="shared" si="253"/>
        <v>0.30252100840336132</v>
      </c>
      <c r="BT80">
        <f t="shared" si="254"/>
        <v>-0.48739495798319332</v>
      </c>
      <c r="BU80">
        <f t="shared" si="255"/>
        <v>0.6386554621848739</v>
      </c>
      <c r="BW80">
        <f t="shared" si="256"/>
        <v>-0.88658687390872204</v>
      </c>
      <c r="BX80">
        <f t="shared" si="257"/>
        <v>-1.0577591987136883</v>
      </c>
      <c r="BY80">
        <f t="shared" si="258"/>
        <v>1.3324785596931055</v>
      </c>
      <c r="CB80">
        <f t="shared" si="259"/>
        <v>0.36313398647236633</v>
      </c>
      <c r="CC80">
        <f t="shared" si="260"/>
        <v>3.2452684033404569</v>
      </c>
      <c r="CD80">
        <f t="shared" si="261"/>
        <v>3.3036117124536943</v>
      </c>
      <c r="CE80">
        <f t="shared" si="262"/>
        <v>2.4125702752198896</v>
      </c>
      <c r="CF80">
        <f t="shared" si="263"/>
        <v>2.2229233553675778</v>
      </c>
      <c r="CG80">
        <f t="shared" si="269"/>
        <v>0.36313398647236633</v>
      </c>
      <c r="CK80" t="str">
        <f t="shared" si="170"/>
        <v>Cluster 1</v>
      </c>
      <c r="CL80" t="str">
        <f t="shared" si="264"/>
        <v>B Super Bowl</v>
      </c>
      <c r="CM80" t="str">
        <f t="shared" si="273"/>
        <v>Super Bowl B</v>
      </c>
      <c r="CN80" t="str">
        <f t="shared" si="265"/>
        <v>Diff</v>
      </c>
    </row>
    <row r="81" spans="8:92">
      <c r="H81">
        <v>74</v>
      </c>
      <c r="I81">
        <v>3</v>
      </c>
      <c r="J81">
        <v>5</v>
      </c>
      <c r="K81">
        <v>8</v>
      </c>
      <c r="L81">
        <v>11</v>
      </c>
      <c r="M81">
        <v>14</v>
      </c>
      <c r="N81">
        <v>12</v>
      </c>
      <c r="O81">
        <v>15</v>
      </c>
      <c r="P81">
        <v>17</v>
      </c>
      <c r="Q81">
        <v>19</v>
      </c>
      <c r="R81">
        <v>20</v>
      </c>
      <c r="S81">
        <v>1</v>
      </c>
      <c r="T81">
        <v>2</v>
      </c>
      <c r="U81">
        <v>4</v>
      </c>
      <c r="V81">
        <v>6</v>
      </c>
      <c r="W81">
        <v>9</v>
      </c>
      <c r="X81">
        <v>7</v>
      </c>
      <c r="Y81">
        <v>10</v>
      </c>
      <c r="Z81">
        <v>13</v>
      </c>
      <c r="AA81">
        <v>16</v>
      </c>
      <c r="AB81">
        <v>18</v>
      </c>
      <c r="AD81">
        <f t="shared" ref="AD81:AH81" si="289">SUMIFS($I81:$AB81,$I$2:$AB$2,AD$7)</f>
        <v>23</v>
      </c>
      <c r="AE81">
        <f t="shared" si="289"/>
        <v>32</v>
      </c>
      <c r="AF81">
        <f t="shared" si="289"/>
        <v>42</v>
      </c>
      <c r="AG81">
        <f t="shared" si="289"/>
        <v>52</v>
      </c>
      <c r="AH81">
        <f t="shared" si="289"/>
        <v>61</v>
      </c>
      <c r="AI81">
        <f t="shared" si="226"/>
        <v>124</v>
      </c>
      <c r="AJ81">
        <f t="shared" si="226"/>
        <v>86</v>
      </c>
      <c r="AK81">
        <f t="shared" si="227"/>
        <v>147</v>
      </c>
      <c r="AL81">
        <f t="shared" si="227"/>
        <v>63</v>
      </c>
      <c r="AN81" s="67">
        <f t="shared" ref="AN81:AV81" si="290">((AD81-MIN($AD81:$AL81))/(MAX($AD81:$AL81)-MIN($AD81:$AL81)))</f>
        <v>0</v>
      </c>
      <c r="AO81" s="67">
        <f t="shared" si="290"/>
        <v>7.2580645161290328E-2</v>
      </c>
      <c r="AP81" s="67">
        <f t="shared" si="290"/>
        <v>0.15322580645161291</v>
      </c>
      <c r="AQ81" s="67">
        <f t="shared" si="290"/>
        <v>0.23387096774193547</v>
      </c>
      <c r="AR81" s="67">
        <f t="shared" si="290"/>
        <v>0.30645161290322581</v>
      </c>
      <c r="AS81" s="67">
        <f t="shared" si="290"/>
        <v>0.81451612903225812</v>
      </c>
      <c r="AT81" s="67">
        <f t="shared" si="290"/>
        <v>0.50806451612903225</v>
      </c>
      <c r="AU81" s="67">
        <f t="shared" si="290"/>
        <v>1</v>
      </c>
      <c r="AV81" s="67">
        <f t="shared" si="290"/>
        <v>0.32258064516129031</v>
      </c>
      <c r="AX81">
        <f t="shared" si="241"/>
        <v>0.30645161290322581</v>
      </c>
      <c r="AY81">
        <f t="shared" si="242"/>
        <v>0.30645161290322587</v>
      </c>
      <c r="AZ81">
        <f t="shared" si="243"/>
        <v>0.67741935483870974</v>
      </c>
      <c r="BB81">
        <f t="shared" ref="BB81:BD81" si="291">AX81/SUM($AX81:$AZ81)</f>
        <v>0.23749999999999996</v>
      </c>
      <c r="BC81">
        <f t="shared" si="291"/>
        <v>0.23750000000000002</v>
      </c>
      <c r="BD81">
        <f t="shared" si="291"/>
        <v>0.52500000000000002</v>
      </c>
      <c r="BF81" t="str">
        <f t="shared" si="245"/>
        <v>Theme</v>
      </c>
      <c r="BG81" t="str">
        <f t="shared" si="246"/>
        <v>A</v>
      </c>
      <c r="BI81">
        <f t="shared" si="247"/>
        <v>3.5</v>
      </c>
      <c r="BJ81" t="str">
        <f t="shared" si="248"/>
        <v>Tennis</v>
      </c>
      <c r="BK81" t="str">
        <f t="shared" si="249"/>
        <v>A</v>
      </c>
      <c r="BS81">
        <f t="shared" si="253"/>
        <v>0.30645161290322581</v>
      </c>
      <c r="BT81">
        <f t="shared" si="254"/>
        <v>0.30645161290322587</v>
      </c>
      <c r="BU81">
        <f t="shared" si="255"/>
        <v>-0.67741935483870974</v>
      </c>
      <c r="BW81">
        <f t="shared" si="256"/>
        <v>-0.85196193689073108</v>
      </c>
      <c r="BX81">
        <f t="shared" si="257"/>
        <v>0.67803744086007134</v>
      </c>
      <c r="BY81">
        <f t="shared" si="258"/>
        <v>-1.4480157340280904</v>
      </c>
      <c r="CB81">
        <f t="shared" si="259"/>
        <v>3.1481884324122453</v>
      </c>
      <c r="CC81">
        <f t="shared" si="260"/>
        <v>3.0689937223488686</v>
      </c>
      <c r="CD81">
        <f t="shared" si="261"/>
        <v>0.57691839311341497</v>
      </c>
      <c r="CE81">
        <f t="shared" si="262"/>
        <v>1.9293414943711755</v>
      </c>
      <c r="CF81">
        <f t="shared" si="263"/>
        <v>2.6309744339296701</v>
      </c>
      <c r="CG81">
        <f t="shared" si="269"/>
        <v>0.57691839311341497</v>
      </c>
      <c r="CK81" t="str">
        <f t="shared" ref="CK81:CK112" si="292">INDEX($CB$7:$CF$7,,MATCH(MIN(CB81:CF81),CB81:CF81,0))</f>
        <v>Cluster 3</v>
      </c>
      <c r="CL81" t="str">
        <f t="shared" si="264"/>
        <v>A Tennis</v>
      </c>
      <c r="CM81" t="str">
        <f t="shared" si="273"/>
        <v>Tennis A</v>
      </c>
      <c r="CN81" t="str">
        <f t="shared" si="265"/>
        <v>Diff</v>
      </c>
    </row>
    <row r="82" spans="8:92">
      <c r="H82">
        <v>75</v>
      </c>
      <c r="I82">
        <v>1</v>
      </c>
      <c r="J82">
        <v>2</v>
      </c>
      <c r="K82">
        <v>5</v>
      </c>
      <c r="L82">
        <v>8</v>
      </c>
      <c r="M82">
        <v>12</v>
      </c>
      <c r="N82">
        <v>3</v>
      </c>
      <c r="O82">
        <v>6</v>
      </c>
      <c r="P82">
        <v>10</v>
      </c>
      <c r="Q82">
        <v>14</v>
      </c>
      <c r="R82">
        <v>17</v>
      </c>
      <c r="S82">
        <v>5</v>
      </c>
      <c r="T82">
        <v>8</v>
      </c>
      <c r="U82">
        <v>12</v>
      </c>
      <c r="V82">
        <v>15</v>
      </c>
      <c r="W82">
        <v>18</v>
      </c>
      <c r="X82">
        <v>10</v>
      </c>
      <c r="Y82">
        <v>14</v>
      </c>
      <c r="Z82">
        <v>17</v>
      </c>
      <c r="AA82">
        <v>19</v>
      </c>
      <c r="AB82">
        <v>20</v>
      </c>
      <c r="AD82">
        <f t="shared" ref="AD82:AH82" si="293">SUMIFS($I82:$AB82,$I$2:$AB$2,AD$7)</f>
        <v>19</v>
      </c>
      <c r="AE82">
        <f t="shared" si="293"/>
        <v>30</v>
      </c>
      <c r="AF82">
        <f t="shared" si="293"/>
        <v>44</v>
      </c>
      <c r="AG82">
        <f t="shared" si="293"/>
        <v>56</v>
      </c>
      <c r="AH82">
        <f t="shared" si="293"/>
        <v>67</v>
      </c>
      <c r="AI82">
        <f t="shared" si="226"/>
        <v>78</v>
      </c>
      <c r="AJ82">
        <f t="shared" si="226"/>
        <v>138</v>
      </c>
      <c r="AK82">
        <f t="shared" si="227"/>
        <v>130</v>
      </c>
      <c r="AL82">
        <f t="shared" si="227"/>
        <v>86</v>
      </c>
      <c r="AN82" s="67">
        <f t="shared" ref="AN82:AV82" si="294">((AD82-MIN($AD82:$AL82))/(MAX($AD82:$AL82)-MIN($AD82:$AL82)))</f>
        <v>0</v>
      </c>
      <c r="AO82" s="67">
        <f t="shared" si="294"/>
        <v>9.2436974789915971E-2</v>
      </c>
      <c r="AP82" s="67">
        <f t="shared" si="294"/>
        <v>0.21008403361344538</v>
      </c>
      <c r="AQ82" s="67">
        <f t="shared" si="294"/>
        <v>0.31092436974789917</v>
      </c>
      <c r="AR82" s="67">
        <f t="shared" si="294"/>
        <v>0.40336134453781514</v>
      </c>
      <c r="AS82" s="67">
        <f t="shared" si="294"/>
        <v>0.49579831932773111</v>
      </c>
      <c r="AT82" s="67">
        <f t="shared" si="294"/>
        <v>1</v>
      </c>
      <c r="AU82" s="67">
        <f t="shared" si="294"/>
        <v>0.9327731092436975</v>
      </c>
      <c r="AV82" s="67">
        <f t="shared" si="294"/>
        <v>0.56302521008403361</v>
      </c>
      <c r="AX82">
        <f t="shared" si="241"/>
        <v>0.40336134453781514</v>
      </c>
      <c r="AY82">
        <f t="shared" si="242"/>
        <v>0.50420168067226889</v>
      </c>
      <c r="AZ82">
        <f t="shared" si="243"/>
        <v>0.36974789915966388</v>
      </c>
      <c r="BB82">
        <f t="shared" ref="BB82:BD82" si="295">AX82/SUM($AX82:$AZ82)</f>
        <v>0.31578947368421056</v>
      </c>
      <c r="BC82">
        <f t="shared" si="295"/>
        <v>0.39473684210526316</v>
      </c>
      <c r="BD82">
        <f t="shared" si="295"/>
        <v>0.28947368421052633</v>
      </c>
      <c r="BF82" t="str">
        <f t="shared" si="245"/>
        <v xml:space="preserve">Brand </v>
      </c>
      <c r="BG82" t="str">
        <f t="shared" si="246"/>
        <v>Super Bowl</v>
      </c>
      <c r="BI82">
        <f t="shared" si="247"/>
        <v>3.5</v>
      </c>
      <c r="BJ82" t="str">
        <f t="shared" si="248"/>
        <v>Super Bowl</v>
      </c>
      <c r="BK82" t="str">
        <f t="shared" si="249"/>
        <v>A</v>
      </c>
      <c r="BS82">
        <f t="shared" si="253"/>
        <v>0.40336134453781514</v>
      </c>
      <c r="BT82">
        <f t="shared" si="254"/>
        <v>-0.50420168067226889</v>
      </c>
      <c r="BU82">
        <f t="shared" si="255"/>
        <v>-0.36974789915966388</v>
      </c>
      <c r="BW82">
        <f t="shared" si="256"/>
        <v>1.72185510455666E-3</v>
      </c>
      <c r="BX82">
        <f t="shared" si="257"/>
        <v>-1.094508179985183</v>
      </c>
      <c r="BY82">
        <f t="shared" si="258"/>
        <v>-0.79799286618595677</v>
      </c>
      <c r="CB82">
        <f t="shared" si="259"/>
        <v>2.0036608945255288</v>
      </c>
      <c r="CC82">
        <f t="shared" si="260"/>
        <v>2.372356078652289</v>
      </c>
      <c r="CD82">
        <f t="shared" si="261"/>
        <v>2.2270181438470629</v>
      </c>
      <c r="CE82">
        <f t="shared" si="262"/>
        <v>0.54364508409687062</v>
      </c>
      <c r="CF82">
        <f t="shared" si="263"/>
        <v>2.9800517566122373</v>
      </c>
      <c r="CG82">
        <f t="shared" si="269"/>
        <v>0.54364508409687062</v>
      </c>
      <c r="CK82" t="str">
        <f t="shared" si="292"/>
        <v>Cluster 4</v>
      </c>
      <c r="CL82" t="str">
        <f t="shared" si="264"/>
        <v>A Super Bowl</v>
      </c>
      <c r="CM82" t="str">
        <f t="shared" si="273"/>
        <v>Super Bowl A</v>
      </c>
      <c r="CN82" t="str">
        <f t="shared" si="265"/>
        <v>Diff</v>
      </c>
    </row>
    <row r="83" spans="8:92">
      <c r="H83">
        <v>76</v>
      </c>
      <c r="I83">
        <v>1</v>
      </c>
      <c r="J83">
        <v>2</v>
      </c>
      <c r="K83">
        <v>4</v>
      </c>
      <c r="L83">
        <v>7</v>
      </c>
      <c r="M83">
        <v>10</v>
      </c>
      <c r="N83">
        <v>3</v>
      </c>
      <c r="O83">
        <v>6</v>
      </c>
      <c r="P83">
        <v>9</v>
      </c>
      <c r="Q83">
        <v>13</v>
      </c>
      <c r="R83">
        <v>16</v>
      </c>
      <c r="S83">
        <v>5</v>
      </c>
      <c r="T83">
        <v>8</v>
      </c>
      <c r="U83">
        <v>12</v>
      </c>
      <c r="V83">
        <v>15</v>
      </c>
      <c r="W83">
        <v>18</v>
      </c>
      <c r="X83">
        <v>11</v>
      </c>
      <c r="Y83">
        <v>14</v>
      </c>
      <c r="Z83">
        <v>17</v>
      </c>
      <c r="AA83">
        <v>19</v>
      </c>
      <c r="AB83">
        <v>20</v>
      </c>
      <c r="AD83">
        <f t="shared" ref="AD83:AH83" si="296">SUMIFS($I83:$AB83,$I$2:$AB$2,AD$7)</f>
        <v>20</v>
      </c>
      <c r="AE83">
        <f t="shared" si="296"/>
        <v>30</v>
      </c>
      <c r="AF83">
        <f t="shared" si="296"/>
        <v>42</v>
      </c>
      <c r="AG83">
        <f t="shared" si="296"/>
        <v>54</v>
      </c>
      <c r="AH83">
        <f t="shared" si="296"/>
        <v>64</v>
      </c>
      <c r="AI83">
        <f t="shared" si="226"/>
        <v>71</v>
      </c>
      <c r="AJ83">
        <f t="shared" si="226"/>
        <v>139</v>
      </c>
      <c r="AK83">
        <f t="shared" si="227"/>
        <v>128</v>
      </c>
      <c r="AL83">
        <f t="shared" si="227"/>
        <v>82</v>
      </c>
      <c r="AN83" s="67">
        <f t="shared" ref="AN83:AV83" si="297">((AD83-MIN($AD83:$AL83))/(MAX($AD83:$AL83)-MIN($AD83:$AL83)))</f>
        <v>0</v>
      </c>
      <c r="AO83" s="67">
        <f t="shared" si="297"/>
        <v>8.4033613445378158E-2</v>
      </c>
      <c r="AP83" s="67">
        <f t="shared" si="297"/>
        <v>0.18487394957983194</v>
      </c>
      <c r="AQ83" s="67">
        <f t="shared" si="297"/>
        <v>0.2857142857142857</v>
      </c>
      <c r="AR83" s="67">
        <f t="shared" si="297"/>
        <v>0.36974789915966388</v>
      </c>
      <c r="AS83" s="67">
        <f t="shared" si="297"/>
        <v>0.42857142857142855</v>
      </c>
      <c r="AT83" s="67">
        <f t="shared" si="297"/>
        <v>1</v>
      </c>
      <c r="AU83" s="67">
        <f t="shared" si="297"/>
        <v>0.90756302521008403</v>
      </c>
      <c r="AV83" s="67">
        <f t="shared" si="297"/>
        <v>0.52100840336134457</v>
      </c>
      <c r="AX83">
        <f t="shared" si="241"/>
        <v>0.36974789915966388</v>
      </c>
      <c r="AY83">
        <f t="shared" si="242"/>
        <v>0.5714285714285714</v>
      </c>
      <c r="AZ83">
        <f t="shared" si="243"/>
        <v>0.38655462184873945</v>
      </c>
      <c r="BB83">
        <f t="shared" ref="BB83:BD83" si="298">AX83/SUM($AX83:$AZ83)</f>
        <v>0.27848101265822789</v>
      </c>
      <c r="BC83">
        <f t="shared" si="298"/>
        <v>0.43037974683544306</v>
      </c>
      <c r="BD83">
        <f t="shared" si="298"/>
        <v>0.29113924050632911</v>
      </c>
      <c r="BF83" t="str">
        <f t="shared" si="245"/>
        <v xml:space="preserve">Brand </v>
      </c>
      <c r="BG83" t="str">
        <f t="shared" si="246"/>
        <v>Super Bowl</v>
      </c>
      <c r="BI83">
        <f t="shared" si="247"/>
        <v>3.5</v>
      </c>
      <c r="BJ83" t="str">
        <f t="shared" si="248"/>
        <v>Super Bowl</v>
      </c>
      <c r="BK83" t="str">
        <f t="shared" si="249"/>
        <v>A</v>
      </c>
      <c r="BS83">
        <f t="shared" si="253"/>
        <v>0.36974789915966388</v>
      </c>
      <c r="BT83">
        <f t="shared" si="254"/>
        <v>-0.5714285714285714</v>
      </c>
      <c r="BU83">
        <f t="shared" si="255"/>
        <v>-0.38655462184873945</v>
      </c>
      <c r="BW83">
        <f t="shared" si="256"/>
        <v>-0.29438105456653607</v>
      </c>
      <c r="BX83">
        <f t="shared" si="257"/>
        <v>-1.2415041050711628</v>
      </c>
      <c r="BY83">
        <f t="shared" si="258"/>
        <v>-0.83350072328394098</v>
      </c>
      <c r="CB83">
        <f t="shared" si="259"/>
        <v>1.9698974649062282</v>
      </c>
      <c r="CC83">
        <f t="shared" si="260"/>
        <v>2.6919434314263833</v>
      </c>
      <c r="CD83">
        <f t="shared" si="261"/>
        <v>2.3194824322008385</v>
      </c>
      <c r="CE83">
        <f t="shared" si="262"/>
        <v>0.28695516638593749</v>
      </c>
      <c r="CF83">
        <f t="shared" si="263"/>
        <v>3.0778556953729268</v>
      </c>
      <c r="CG83">
        <f t="shared" si="269"/>
        <v>0.28695516638593749</v>
      </c>
      <c r="CK83" t="str">
        <f t="shared" si="292"/>
        <v>Cluster 4</v>
      </c>
      <c r="CL83" t="str">
        <f t="shared" si="264"/>
        <v>A Super Bowl</v>
      </c>
      <c r="CM83" t="str">
        <f t="shared" si="273"/>
        <v>Super Bowl A</v>
      </c>
      <c r="CN83" t="str">
        <f t="shared" si="265"/>
        <v>Diff</v>
      </c>
    </row>
    <row r="84" spans="8:92">
      <c r="H84">
        <v>77</v>
      </c>
      <c r="I84">
        <v>12</v>
      </c>
      <c r="J84">
        <v>15</v>
      </c>
      <c r="K84">
        <v>18</v>
      </c>
      <c r="L84">
        <v>19</v>
      </c>
      <c r="M84">
        <v>20</v>
      </c>
      <c r="N84">
        <v>4</v>
      </c>
      <c r="O84">
        <v>7</v>
      </c>
      <c r="P84">
        <v>10</v>
      </c>
      <c r="Q84">
        <v>13</v>
      </c>
      <c r="R84">
        <v>16</v>
      </c>
      <c r="S84">
        <v>5</v>
      </c>
      <c r="T84">
        <v>8</v>
      </c>
      <c r="U84">
        <v>11</v>
      </c>
      <c r="V84">
        <v>14</v>
      </c>
      <c r="W84">
        <v>17</v>
      </c>
      <c r="X84">
        <v>1</v>
      </c>
      <c r="Y84">
        <v>2</v>
      </c>
      <c r="Z84">
        <v>3</v>
      </c>
      <c r="AA84">
        <v>6</v>
      </c>
      <c r="AB84">
        <v>9</v>
      </c>
      <c r="AD84">
        <f t="shared" ref="AD84:AH84" si="299">SUMIFS($I84:$AB84,$I$2:$AB$2,AD$7)</f>
        <v>22</v>
      </c>
      <c r="AE84">
        <f t="shared" si="299"/>
        <v>32</v>
      </c>
      <c r="AF84">
        <f t="shared" si="299"/>
        <v>42</v>
      </c>
      <c r="AG84">
        <f t="shared" si="299"/>
        <v>52</v>
      </c>
      <c r="AH84">
        <f t="shared" si="299"/>
        <v>62</v>
      </c>
      <c r="AI84">
        <f t="shared" si="226"/>
        <v>134</v>
      </c>
      <c r="AJ84">
        <f t="shared" si="226"/>
        <v>76</v>
      </c>
      <c r="AK84">
        <f t="shared" si="227"/>
        <v>71</v>
      </c>
      <c r="AL84">
        <f t="shared" si="227"/>
        <v>139</v>
      </c>
      <c r="AN84" s="67">
        <f t="shared" ref="AN84:AV84" si="300">((AD84-MIN($AD84:$AL84))/(MAX($AD84:$AL84)-MIN($AD84:$AL84)))</f>
        <v>0</v>
      </c>
      <c r="AO84" s="67">
        <f t="shared" si="300"/>
        <v>8.5470085470085472E-2</v>
      </c>
      <c r="AP84" s="67">
        <f t="shared" si="300"/>
        <v>0.17094017094017094</v>
      </c>
      <c r="AQ84" s="67">
        <f t="shared" si="300"/>
        <v>0.25641025641025639</v>
      </c>
      <c r="AR84" s="67">
        <f t="shared" si="300"/>
        <v>0.34188034188034189</v>
      </c>
      <c r="AS84" s="67">
        <f t="shared" si="300"/>
        <v>0.95726495726495731</v>
      </c>
      <c r="AT84" s="67">
        <f t="shared" si="300"/>
        <v>0.46153846153846156</v>
      </c>
      <c r="AU84" s="67">
        <f t="shared" si="300"/>
        <v>0.41880341880341881</v>
      </c>
      <c r="AV84" s="67">
        <f t="shared" si="300"/>
        <v>1</v>
      </c>
      <c r="AX84">
        <f t="shared" si="241"/>
        <v>0.34188034188034189</v>
      </c>
      <c r="AY84">
        <f t="shared" si="242"/>
        <v>0.49572649572649574</v>
      </c>
      <c r="AZ84">
        <f t="shared" si="243"/>
        <v>0.58119658119658113</v>
      </c>
      <c r="BB84">
        <f t="shared" ref="BB84:BD84" si="301">AX84/SUM($AX84:$AZ84)</f>
        <v>0.24096385542168677</v>
      </c>
      <c r="BC84">
        <f t="shared" si="301"/>
        <v>0.34939759036144585</v>
      </c>
      <c r="BD84">
        <f t="shared" si="301"/>
        <v>0.40963855421686746</v>
      </c>
      <c r="BF84" t="str">
        <f t="shared" si="245"/>
        <v>Theme</v>
      </c>
      <c r="BG84" t="str">
        <f t="shared" si="246"/>
        <v>B</v>
      </c>
      <c r="BI84">
        <f t="shared" si="247"/>
        <v>3.5</v>
      </c>
      <c r="BJ84" t="str">
        <f t="shared" si="248"/>
        <v>Tennis</v>
      </c>
      <c r="BK84" t="str">
        <f t="shared" si="249"/>
        <v>B</v>
      </c>
      <c r="BS84">
        <f t="shared" si="253"/>
        <v>0.34188034188034189</v>
      </c>
      <c r="BT84">
        <f t="shared" si="254"/>
        <v>0.49572649572649574</v>
      </c>
      <c r="BU84">
        <f t="shared" si="255"/>
        <v>0.58119658119658113</v>
      </c>
      <c r="BW84">
        <f t="shared" si="256"/>
        <v>-0.53986808224257044</v>
      </c>
      <c r="BX84">
        <f t="shared" si="257"/>
        <v>1.0918991587402582</v>
      </c>
      <c r="BY84">
        <f t="shared" si="258"/>
        <v>1.2110841764521332</v>
      </c>
      <c r="CB84">
        <f t="shared" si="259"/>
        <v>2.2404499393230286</v>
      </c>
      <c r="CC84">
        <f t="shared" si="260"/>
        <v>2.7630140008479001</v>
      </c>
      <c r="CD84">
        <f t="shared" si="261"/>
        <v>2.3984399897504991</v>
      </c>
      <c r="CE84">
        <f t="shared" si="262"/>
        <v>3.1940701834049778</v>
      </c>
      <c r="CF84">
        <f t="shared" si="263"/>
        <v>9.6668206824331415E-2</v>
      </c>
      <c r="CG84">
        <f t="shared" si="269"/>
        <v>9.6668206824331415E-2</v>
      </c>
      <c r="CK84" t="str">
        <f t="shared" si="292"/>
        <v>Cluster 5</v>
      </c>
      <c r="CL84" t="str">
        <f t="shared" si="264"/>
        <v>B Tennis</v>
      </c>
      <c r="CM84" t="str">
        <f t="shared" si="273"/>
        <v>Tennis B</v>
      </c>
      <c r="CN84" t="str">
        <f t="shared" si="265"/>
        <v>Diff</v>
      </c>
    </row>
    <row r="85" spans="8:92">
      <c r="H85">
        <v>78</v>
      </c>
      <c r="I85">
        <v>13</v>
      </c>
      <c r="J85">
        <v>16</v>
      </c>
      <c r="K85">
        <v>18</v>
      </c>
      <c r="L85">
        <v>19</v>
      </c>
      <c r="M85">
        <v>20</v>
      </c>
      <c r="N85">
        <v>6</v>
      </c>
      <c r="O85">
        <v>9</v>
      </c>
      <c r="P85">
        <v>11</v>
      </c>
      <c r="Q85">
        <v>14</v>
      </c>
      <c r="R85">
        <v>17</v>
      </c>
      <c r="S85">
        <v>4</v>
      </c>
      <c r="T85">
        <v>7</v>
      </c>
      <c r="U85">
        <v>10</v>
      </c>
      <c r="V85">
        <v>12</v>
      </c>
      <c r="W85">
        <v>15</v>
      </c>
      <c r="X85">
        <v>1</v>
      </c>
      <c r="Y85">
        <v>2</v>
      </c>
      <c r="Z85">
        <v>3</v>
      </c>
      <c r="AA85">
        <v>5</v>
      </c>
      <c r="AB85">
        <v>8</v>
      </c>
      <c r="AD85">
        <f t="shared" ref="AD85:AH85" si="302">SUMIFS($I85:$AB85,$I$2:$AB$2,AD$7)</f>
        <v>24</v>
      </c>
      <c r="AE85">
        <f t="shared" si="302"/>
        <v>34</v>
      </c>
      <c r="AF85">
        <f t="shared" si="302"/>
        <v>42</v>
      </c>
      <c r="AG85">
        <f t="shared" si="302"/>
        <v>50</v>
      </c>
      <c r="AH85">
        <f t="shared" si="302"/>
        <v>60</v>
      </c>
      <c r="AI85">
        <f t="shared" si="226"/>
        <v>143</v>
      </c>
      <c r="AJ85">
        <f t="shared" si="226"/>
        <v>67</v>
      </c>
      <c r="AK85">
        <f t="shared" si="227"/>
        <v>76</v>
      </c>
      <c r="AL85">
        <f t="shared" si="227"/>
        <v>134</v>
      </c>
      <c r="AN85" s="67">
        <f t="shared" ref="AN85:AV85" si="303">((AD85-MIN($AD85:$AL85))/(MAX($AD85:$AL85)-MIN($AD85:$AL85)))</f>
        <v>0</v>
      </c>
      <c r="AO85" s="67">
        <f t="shared" si="303"/>
        <v>8.4033613445378158E-2</v>
      </c>
      <c r="AP85" s="67">
        <f t="shared" si="303"/>
        <v>0.15126050420168066</v>
      </c>
      <c r="AQ85" s="67">
        <f t="shared" si="303"/>
        <v>0.21848739495798319</v>
      </c>
      <c r="AR85" s="67">
        <f t="shared" si="303"/>
        <v>0.30252100840336132</v>
      </c>
      <c r="AS85" s="67">
        <f t="shared" si="303"/>
        <v>1</v>
      </c>
      <c r="AT85" s="67">
        <f t="shared" si="303"/>
        <v>0.36134453781512604</v>
      </c>
      <c r="AU85" s="67">
        <f t="shared" si="303"/>
        <v>0.43697478991596639</v>
      </c>
      <c r="AV85" s="67">
        <f t="shared" si="303"/>
        <v>0.92436974789915971</v>
      </c>
      <c r="AX85">
        <f t="shared" si="241"/>
        <v>0.30252100840336132</v>
      </c>
      <c r="AY85">
        <f t="shared" si="242"/>
        <v>0.6386554621848739</v>
      </c>
      <c r="AZ85">
        <f t="shared" si="243"/>
        <v>0.48739495798319332</v>
      </c>
      <c r="BB85">
        <f t="shared" ref="BB85:BD85" si="304">AX85/SUM($AX85:$AZ85)</f>
        <v>0.21176470588235291</v>
      </c>
      <c r="BC85">
        <f t="shared" si="304"/>
        <v>0.44705882352941173</v>
      </c>
      <c r="BD85">
        <f t="shared" si="304"/>
        <v>0.3411764705882353</v>
      </c>
      <c r="BF85" t="str">
        <f t="shared" si="245"/>
        <v xml:space="preserve">Brand </v>
      </c>
      <c r="BG85" t="str">
        <f t="shared" si="246"/>
        <v>Tennis</v>
      </c>
      <c r="BI85">
        <f t="shared" si="247"/>
        <v>3.5</v>
      </c>
      <c r="BJ85" t="str">
        <f t="shared" si="248"/>
        <v>Tennis</v>
      </c>
      <c r="BK85" t="str">
        <f t="shared" si="249"/>
        <v>B</v>
      </c>
      <c r="BS85">
        <f t="shared" si="253"/>
        <v>0.30252100840336132</v>
      </c>
      <c r="BT85">
        <f t="shared" si="254"/>
        <v>0.6386554621848739</v>
      </c>
      <c r="BU85">
        <f t="shared" si="255"/>
        <v>0.48739495798319332</v>
      </c>
      <c r="BW85">
        <f t="shared" si="256"/>
        <v>-0.88658687390872204</v>
      </c>
      <c r="BX85">
        <f t="shared" si="257"/>
        <v>1.4044225464764764</v>
      </c>
      <c r="BY85">
        <f t="shared" si="258"/>
        <v>1.0129078458112464</v>
      </c>
      <c r="CB85">
        <f t="shared" si="259"/>
        <v>2.5655049847863567</v>
      </c>
      <c r="CC85">
        <f t="shared" si="260"/>
        <v>3.0970721508651442</v>
      </c>
      <c r="CD85">
        <f t="shared" si="261"/>
        <v>2.2638831059760967</v>
      </c>
      <c r="CE85">
        <f t="shared" si="262"/>
        <v>3.3201364577595851</v>
      </c>
      <c r="CF85">
        <f t="shared" si="263"/>
        <v>0.4773973699166838</v>
      </c>
      <c r="CG85">
        <f t="shared" si="269"/>
        <v>0.4773973699166838</v>
      </c>
      <c r="CK85" t="str">
        <f t="shared" si="292"/>
        <v>Cluster 5</v>
      </c>
      <c r="CL85" t="str">
        <f t="shared" si="264"/>
        <v>B Tennis</v>
      </c>
      <c r="CM85" t="str">
        <f t="shared" si="273"/>
        <v>Tennis B</v>
      </c>
      <c r="CN85" t="str">
        <f t="shared" si="265"/>
        <v>Diff</v>
      </c>
    </row>
    <row r="86" spans="8:92">
      <c r="H86">
        <v>79</v>
      </c>
      <c r="I86">
        <v>5</v>
      </c>
      <c r="J86">
        <v>8</v>
      </c>
      <c r="K86">
        <v>11</v>
      </c>
      <c r="L86">
        <v>14</v>
      </c>
      <c r="M86">
        <v>17</v>
      </c>
      <c r="N86">
        <v>1</v>
      </c>
      <c r="O86">
        <v>2</v>
      </c>
      <c r="P86">
        <v>3</v>
      </c>
      <c r="Q86">
        <v>6</v>
      </c>
      <c r="R86">
        <v>9</v>
      </c>
      <c r="S86">
        <v>12</v>
      </c>
      <c r="T86">
        <v>15</v>
      </c>
      <c r="U86">
        <v>18</v>
      </c>
      <c r="V86">
        <v>19</v>
      </c>
      <c r="W86">
        <v>20</v>
      </c>
      <c r="X86">
        <v>4</v>
      </c>
      <c r="Y86">
        <v>7</v>
      </c>
      <c r="Z86">
        <v>10</v>
      </c>
      <c r="AA86">
        <v>13</v>
      </c>
      <c r="AB86">
        <v>16</v>
      </c>
      <c r="AD86">
        <f t="shared" ref="AD86:AH86" si="305">SUMIFS($I86:$AB86,$I$2:$AB$2,AD$7)</f>
        <v>22</v>
      </c>
      <c r="AE86">
        <f t="shared" si="305"/>
        <v>32</v>
      </c>
      <c r="AF86">
        <f t="shared" si="305"/>
        <v>42</v>
      </c>
      <c r="AG86">
        <f t="shared" si="305"/>
        <v>52</v>
      </c>
      <c r="AH86">
        <f t="shared" si="305"/>
        <v>62</v>
      </c>
      <c r="AI86">
        <f t="shared" si="226"/>
        <v>76</v>
      </c>
      <c r="AJ86">
        <f t="shared" si="226"/>
        <v>134</v>
      </c>
      <c r="AK86">
        <f t="shared" si="227"/>
        <v>71</v>
      </c>
      <c r="AL86">
        <f t="shared" si="227"/>
        <v>139</v>
      </c>
      <c r="AN86" s="67">
        <f t="shared" ref="AN86:AV86" si="306">((AD86-MIN($AD86:$AL86))/(MAX($AD86:$AL86)-MIN($AD86:$AL86)))</f>
        <v>0</v>
      </c>
      <c r="AO86" s="67">
        <f t="shared" si="306"/>
        <v>8.5470085470085472E-2</v>
      </c>
      <c r="AP86" s="67">
        <f t="shared" si="306"/>
        <v>0.17094017094017094</v>
      </c>
      <c r="AQ86" s="67">
        <f t="shared" si="306"/>
        <v>0.25641025641025639</v>
      </c>
      <c r="AR86" s="67">
        <f t="shared" si="306"/>
        <v>0.34188034188034189</v>
      </c>
      <c r="AS86" s="67">
        <f t="shared" si="306"/>
        <v>0.46153846153846156</v>
      </c>
      <c r="AT86" s="67">
        <f t="shared" si="306"/>
        <v>0.95726495726495731</v>
      </c>
      <c r="AU86" s="67">
        <f t="shared" si="306"/>
        <v>0.41880341880341881</v>
      </c>
      <c r="AV86" s="67">
        <f t="shared" si="306"/>
        <v>1</v>
      </c>
      <c r="AX86">
        <f t="shared" si="241"/>
        <v>0.34188034188034189</v>
      </c>
      <c r="AY86">
        <f t="shared" si="242"/>
        <v>0.49572649572649574</v>
      </c>
      <c r="AZ86">
        <f t="shared" si="243"/>
        <v>0.58119658119658113</v>
      </c>
      <c r="BB86">
        <f t="shared" ref="BB86:BD86" si="307">AX86/SUM($AX86:$AZ86)</f>
        <v>0.24096385542168677</v>
      </c>
      <c r="BC86">
        <f t="shared" si="307"/>
        <v>0.34939759036144585</v>
      </c>
      <c r="BD86">
        <f t="shared" si="307"/>
        <v>0.40963855421686746</v>
      </c>
      <c r="BF86" t="str">
        <f t="shared" si="245"/>
        <v>Theme</v>
      </c>
      <c r="BG86" t="str">
        <f t="shared" si="246"/>
        <v>B</v>
      </c>
      <c r="BI86">
        <f t="shared" si="247"/>
        <v>3.5</v>
      </c>
      <c r="BJ86" t="str">
        <f t="shared" si="248"/>
        <v>Super Bowl</v>
      </c>
      <c r="BK86" t="str">
        <f t="shared" si="249"/>
        <v>B</v>
      </c>
      <c r="BS86">
        <f t="shared" si="253"/>
        <v>0.34188034188034189</v>
      </c>
      <c r="BT86">
        <f t="shared" si="254"/>
        <v>-0.49572649572649574</v>
      </c>
      <c r="BU86">
        <f t="shared" si="255"/>
        <v>0.58119658119658113</v>
      </c>
      <c r="BW86">
        <f t="shared" si="256"/>
        <v>-0.53986808224257044</v>
      </c>
      <c r="BX86">
        <f t="shared" si="257"/>
        <v>-1.0759766424209249</v>
      </c>
      <c r="BY86">
        <f t="shared" si="258"/>
        <v>1.2110841764521332</v>
      </c>
      <c r="CB86">
        <f t="shared" si="259"/>
        <v>0.14518421319048438</v>
      </c>
      <c r="CC86">
        <f t="shared" si="260"/>
        <v>2.9214573570791518</v>
      </c>
      <c r="CD86">
        <f t="shared" si="261"/>
        <v>3.1998056505731678</v>
      </c>
      <c r="CE86">
        <f t="shared" si="262"/>
        <v>2.2564514213556155</v>
      </c>
      <c r="CF86">
        <f t="shared" si="263"/>
        <v>2.2019278871561045</v>
      </c>
      <c r="CG86">
        <f t="shared" si="269"/>
        <v>0.14518421319048438</v>
      </c>
      <c r="CK86" t="str">
        <f t="shared" si="292"/>
        <v>Cluster 1</v>
      </c>
      <c r="CL86" t="str">
        <f t="shared" si="264"/>
        <v>B Super Bowl</v>
      </c>
      <c r="CM86" t="str">
        <f t="shared" si="273"/>
        <v>Super Bowl B</v>
      </c>
      <c r="CN86" t="str">
        <f t="shared" si="265"/>
        <v>Diff</v>
      </c>
    </row>
    <row r="87" spans="8:92">
      <c r="H87">
        <v>80</v>
      </c>
      <c r="I87">
        <v>2</v>
      </c>
      <c r="J87">
        <v>6</v>
      </c>
      <c r="K87">
        <v>10</v>
      </c>
      <c r="L87">
        <v>14</v>
      </c>
      <c r="M87">
        <v>18</v>
      </c>
      <c r="N87">
        <v>4</v>
      </c>
      <c r="O87">
        <v>8</v>
      </c>
      <c r="P87">
        <v>12</v>
      </c>
      <c r="Q87">
        <v>16</v>
      </c>
      <c r="R87">
        <v>20</v>
      </c>
      <c r="S87">
        <v>2</v>
      </c>
      <c r="T87">
        <v>6</v>
      </c>
      <c r="U87">
        <v>10</v>
      </c>
      <c r="V87">
        <v>14</v>
      </c>
      <c r="W87">
        <v>18</v>
      </c>
      <c r="X87">
        <v>4</v>
      </c>
      <c r="Y87">
        <v>8</v>
      </c>
      <c r="Z87">
        <v>12</v>
      </c>
      <c r="AA87">
        <v>16</v>
      </c>
      <c r="AB87">
        <v>20</v>
      </c>
      <c r="AD87">
        <f t="shared" ref="AD87:AH87" si="308">SUMIFS($I87:$AB87,$I$2:$AB$2,AD$7)</f>
        <v>12</v>
      </c>
      <c r="AE87">
        <f t="shared" si="308"/>
        <v>28</v>
      </c>
      <c r="AF87">
        <f t="shared" si="308"/>
        <v>44</v>
      </c>
      <c r="AG87">
        <f t="shared" si="308"/>
        <v>60</v>
      </c>
      <c r="AH87">
        <f t="shared" si="308"/>
        <v>76</v>
      </c>
      <c r="AI87">
        <f t="shared" si="226"/>
        <v>110</v>
      </c>
      <c r="AJ87">
        <f t="shared" si="226"/>
        <v>110</v>
      </c>
      <c r="AK87">
        <f t="shared" si="227"/>
        <v>120</v>
      </c>
      <c r="AL87">
        <f t="shared" si="227"/>
        <v>100</v>
      </c>
      <c r="AN87" s="67">
        <f t="shared" ref="AN87:AV87" si="309">((AD87-MIN($AD87:$AL87))/(MAX($AD87:$AL87)-MIN($AD87:$AL87)))</f>
        <v>0</v>
      </c>
      <c r="AO87" s="67">
        <f t="shared" si="309"/>
        <v>0.14814814814814814</v>
      </c>
      <c r="AP87" s="67">
        <f t="shared" si="309"/>
        <v>0.29629629629629628</v>
      </c>
      <c r="AQ87" s="67">
        <f t="shared" si="309"/>
        <v>0.44444444444444442</v>
      </c>
      <c r="AR87" s="67">
        <f t="shared" si="309"/>
        <v>0.59259259259259256</v>
      </c>
      <c r="AS87" s="67">
        <f t="shared" si="309"/>
        <v>0.90740740740740744</v>
      </c>
      <c r="AT87" s="67">
        <f t="shared" si="309"/>
        <v>0.90740740740740744</v>
      </c>
      <c r="AU87" s="67">
        <f t="shared" si="309"/>
        <v>1</v>
      </c>
      <c r="AV87" s="67">
        <f t="shared" si="309"/>
        <v>0.81481481481481477</v>
      </c>
      <c r="AX87">
        <f t="shared" si="241"/>
        <v>0.59259259259259256</v>
      </c>
      <c r="AY87">
        <f t="shared" si="242"/>
        <v>0</v>
      </c>
      <c r="AZ87">
        <f t="shared" si="243"/>
        <v>0.18518518518518523</v>
      </c>
      <c r="BB87">
        <f t="shared" ref="BB87:BD87" si="310">AX87/SUM($AX87:$AZ87)</f>
        <v>0.76190476190476186</v>
      </c>
      <c r="BC87">
        <f t="shared" si="310"/>
        <v>0</v>
      </c>
      <c r="BD87">
        <f t="shared" si="310"/>
        <v>0.23809523809523814</v>
      </c>
      <c r="BF87" t="str">
        <f t="shared" si="245"/>
        <v>Price</v>
      </c>
      <c r="BG87">
        <f t="shared" si="246"/>
        <v>3.5</v>
      </c>
      <c r="BI87">
        <f t="shared" si="247"/>
        <v>3.5</v>
      </c>
      <c r="BJ87" t="str">
        <f t="shared" si="248"/>
        <v>Super Bowl</v>
      </c>
      <c r="BK87" t="str">
        <f t="shared" si="249"/>
        <v>A</v>
      </c>
      <c r="BS87">
        <f t="shared" si="253"/>
        <v>0.59259259259259256</v>
      </c>
      <c r="BT87">
        <f t="shared" si="254"/>
        <v>0</v>
      </c>
      <c r="BU87">
        <f t="shared" si="255"/>
        <v>-0.18518518518518523</v>
      </c>
      <c r="BW87">
        <f t="shared" si="256"/>
        <v>1.6686715688084861</v>
      </c>
      <c r="BX87">
        <f t="shared" si="257"/>
        <v>7.9612581596666537E-3</v>
      </c>
      <c r="BY87">
        <f t="shared" si="258"/>
        <v>-0.40806399101735069</v>
      </c>
      <c r="CB87">
        <f t="shared" si="259"/>
        <v>2.9735301007419594</v>
      </c>
      <c r="CC87">
        <f t="shared" si="260"/>
        <v>0.50057402705841503</v>
      </c>
      <c r="CD87">
        <f t="shared" si="261"/>
        <v>2.5167286281323902</v>
      </c>
      <c r="CE87">
        <f t="shared" si="262"/>
        <v>2.5296658873496298</v>
      </c>
      <c r="CF87">
        <f t="shared" si="263"/>
        <v>2.892007121753998</v>
      </c>
      <c r="CG87">
        <f t="shared" si="269"/>
        <v>0.50057402705841503</v>
      </c>
      <c r="CK87" t="str">
        <f t="shared" si="292"/>
        <v>Cluster 2</v>
      </c>
      <c r="CL87" t="str">
        <f t="shared" si="264"/>
        <v>Price Only</v>
      </c>
      <c r="CM87" t="str">
        <f t="shared" si="273"/>
        <v>Price Only</v>
      </c>
      <c r="CN87" t="str">
        <f t="shared" si="265"/>
        <v/>
      </c>
    </row>
    <row r="88" spans="8:92">
      <c r="H88">
        <v>81</v>
      </c>
      <c r="I88">
        <v>4</v>
      </c>
      <c r="J88">
        <v>7</v>
      </c>
      <c r="K88">
        <v>10</v>
      </c>
      <c r="L88">
        <v>13</v>
      </c>
      <c r="M88">
        <v>16</v>
      </c>
      <c r="N88">
        <v>1</v>
      </c>
      <c r="O88">
        <v>2</v>
      </c>
      <c r="P88">
        <v>4</v>
      </c>
      <c r="Q88">
        <v>7</v>
      </c>
      <c r="R88">
        <v>10</v>
      </c>
      <c r="S88">
        <v>12</v>
      </c>
      <c r="T88">
        <v>15</v>
      </c>
      <c r="U88">
        <v>18</v>
      </c>
      <c r="V88">
        <v>19</v>
      </c>
      <c r="W88">
        <v>20</v>
      </c>
      <c r="X88">
        <v>5</v>
      </c>
      <c r="Y88">
        <v>8</v>
      </c>
      <c r="Z88">
        <v>12</v>
      </c>
      <c r="AA88">
        <v>15</v>
      </c>
      <c r="AB88">
        <v>18</v>
      </c>
      <c r="AD88">
        <f t="shared" ref="AD88:AH88" si="311">SUMIFS($I88:$AB88,$I$2:$AB$2,AD$7)</f>
        <v>22</v>
      </c>
      <c r="AE88">
        <f t="shared" si="311"/>
        <v>32</v>
      </c>
      <c r="AF88">
        <f t="shared" si="311"/>
        <v>44</v>
      </c>
      <c r="AG88">
        <f t="shared" si="311"/>
        <v>54</v>
      </c>
      <c r="AH88">
        <f t="shared" si="311"/>
        <v>64</v>
      </c>
      <c r="AI88">
        <f t="shared" ref="AI88:AJ107" si="312">SUMIFS($I88:$AB88,$I$3:$AB$3,AI$7)</f>
        <v>74</v>
      </c>
      <c r="AJ88">
        <f t="shared" si="312"/>
        <v>142</v>
      </c>
      <c r="AK88">
        <f t="shared" ref="AK88:AL107" si="313">SUMIFS($I88:$AB88,$I$4:$AB$4,AK$7)</f>
        <v>82</v>
      </c>
      <c r="AL88">
        <f t="shared" si="313"/>
        <v>134</v>
      </c>
      <c r="AN88" s="67">
        <f t="shared" ref="AN88:AV88" si="314">((AD88-MIN($AD88:$AL88))/(MAX($AD88:$AL88)-MIN($AD88:$AL88)))</f>
        <v>0</v>
      </c>
      <c r="AO88" s="67">
        <f t="shared" si="314"/>
        <v>8.3333333333333329E-2</v>
      </c>
      <c r="AP88" s="67">
        <f t="shared" si="314"/>
        <v>0.18333333333333332</v>
      </c>
      <c r="AQ88" s="67">
        <f t="shared" si="314"/>
        <v>0.26666666666666666</v>
      </c>
      <c r="AR88" s="67">
        <f t="shared" si="314"/>
        <v>0.35</v>
      </c>
      <c r="AS88" s="67">
        <f t="shared" si="314"/>
        <v>0.43333333333333335</v>
      </c>
      <c r="AT88" s="67">
        <f t="shared" si="314"/>
        <v>1</v>
      </c>
      <c r="AU88" s="67">
        <f t="shared" si="314"/>
        <v>0.5</v>
      </c>
      <c r="AV88" s="67">
        <f t="shared" si="314"/>
        <v>0.93333333333333335</v>
      </c>
      <c r="AX88">
        <f t="shared" si="241"/>
        <v>0.35</v>
      </c>
      <c r="AY88">
        <f t="shared" si="242"/>
        <v>0.56666666666666665</v>
      </c>
      <c r="AZ88">
        <f t="shared" si="243"/>
        <v>0.43333333333333335</v>
      </c>
      <c r="BB88">
        <f t="shared" ref="BB88:BD88" si="315">AX88/SUM($AX88:$AZ88)</f>
        <v>0.25925925925925924</v>
      </c>
      <c r="BC88">
        <f t="shared" si="315"/>
        <v>0.41975308641975306</v>
      </c>
      <c r="BD88">
        <f t="shared" si="315"/>
        <v>0.32098765432098764</v>
      </c>
      <c r="BF88" t="str">
        <f t="shared" si="245"/>
        <v xml:space="preserve">Brand </v>
      </c>
      <c r="BG88" t="str">
        <f t="shared" si="246"/>
        <v>Super Bowl</v>
      </c>
      <c r="BI88">
        <f t="shared" si="247"/>
        <v>3.5</v>
      </c>
      <c r="BJ88" t="str">
        <f t="shared" si="248"/>
        <v>Super Bowl</v>
      </c>
      <c r="BK88" t="str">
        <f t="shared" si="249"/>
        <v>B</v>
      </c>
      <c r="BS88">
        <f t="shared" si="253"/>
        <v>0.35</v>
      </c>
      <c r="BT88">
        <f t="shared" si="254"/>
        <v>-0.56666666666666665</v>
      </c>
      <c r="BU88">
        <f t="shared" si="255"/>
        <v>0.43333333333333335</v>
      </c>
      <c r="BW88">
        <f t="shared" si="256"/>
        <v>-0.46834151399830348</v>
      </c>
      <c r="BX88">
        <f t="shared" si="257"/>
        <v>-1.2310918937109061</v>
      </c>
      <c r="BY88">
        <f t="shared" si="258"/>
        <v>0.89869090547939667</v>
      </c>
      <c r="CB88">
        <f t="shared" si="259"/>
        <v>0.2695062094897937</v>
      </c>
      <c r="CC88">
        <f t="shared" si="260"/>
        <v>2.8264831439081699</v>
      </c>
      <c r="CD88">
        <f t="shared" si="261"/>
        <v>3.0850796916952108</v>
      </c>
      <c r="CE88">
        <f t="shared" si="262"/>
        <v>1.9421746996403748</v>
      </c>
      <c r="CF88">
        <f t="shared" si="263"/>
        <v>2.3663016650156377</v>
      </c>
      <c r="CG88">
        <f t="shared" si="269"/>
        <v>0.2695062094897937</v>
      </c>
      <c r="CK88" t="str">
        <f t="shared" si="292"/>
        <v>Cluster 1</v>
      </c>
      <c r="CL88" t="str">
        <f t="shared" si="264"/>
        <v>B Super Bowl</v>
      </c>
      <c r="CM88" t="str">
        <f t="shared" si="273"/>
        <v>Super Bowl B</v>
      </c>
      <c r="CN88" t="str">
        <f t="shared" si="265"/>
        <v>Diff</v>
      </c>
    </row>
    <row r="89" spans="8:92">
      <c r="H89">
        <v>82</v>
      </c>
      <c r="I89">
        <v>5</v>
      </c>
      <c r="J89">
        <v>8</v>
      </c>
      <c r="K89">
        <v>12</v>
      </c>
      <c r="L89">
        <v>15</v>
      </c>
      <c r="M89">
        <v>18</v>
      </c>
      <c r="N89">
        <v>1</v>
      </c>
      <c r="O89">
        <v>2</v>
      </c>
      <c r="P89">
        <v>4</v>
      </c>
      <c r="Q89">
        <v>7</v>
      </c>
      <c r="R89">
        <v>10</v>
      </c>
      <c r="S89">
        <v>11</v>
      </c>
      <c r="T89">
        <v>14</v>
      </c>
      <c r="U89">
        <v>17</v>
      </c>
      <c r="V89">
        <v>19</v>
      </c>
      <c r="W89">
        <v>20</v>
      </c>
      <c r="X89">
        <v>3</v>
      </c>
      <c r="Y89">
        <v>6</v>
      </c>
      <c r="Z89">
        <v>9</v>
      </c>
      <c r="AA89">
        <v>13</v>
      </c>
      <c r="AB89">
        <v>16</v>
      </c>
      <c r="AD89">
        <f t="shared" ref="AD89:AH89" si="316">SUMIFS($I89:$AB89,$I$2:$AB$2,AD$7)</f>
        <v>20</v>
      </c>
      <c r="AE89">
        <f t="shared" si="316"/>
        <v>30</v>
      </c>
      <c r="AF89">
        <f t="shared" si="316"/>
        <v>42</v>
      </c>
      <c r="AG89">
        <f t="shared" si="316"/>
        <v>54</v>
      </c>
      <c r="AH89">
        <f t="shared" si="316"/>
        <v>64</v>
      </c>
      <c r="AI89">
        <f t="shared" si="312"/>
        <v>82</v>
      </c>
      <c r="AJ89">
        <f t="shared" si="312"/>
        <v>128</v>
      </c>
      <c r="AK89">
        <f t="shared" si="313"/>
        <v>71</v>
      </c>
      <c r="AL89">
        <f t="shared" si="313"/>
        <v>139</v>
      </c>
      <c r="AN89" s="67">
        <f t="shared" ref="AN89:AV89" si="317">((AD89-MIN($AD89:$AL89))/(MAX($AD89:$AL89)-MIN($AD89:$AL89)))</f>
        <v>0</v>
      </c>
      <c r="AO89" s="67">
        <f t="shared" si="317"/>
        <v>8.4033613445378158E-2</v>
      </c>
      <c r="AP89" s="67">
        <f t="shared" si="317"/>
        <v>0.18487394957983194</v>
      </c>
      <c r="AQ89" s="67">
        <f t="shared" si="317"/>
        <v>0.2857142857142857</v>
      </c>
      <c r="AR89" s="67">
        <f t="shared" si="317"/>
        <v>0.36974789915966388</v>
      </c>
      <c r="AS89" s="67">
        <f t="shared" si="317"/>
        <v>0.52100840336134457</v>
      </c>
      <c r="AT89" s="67">
        <f t="shared" si="317"/>
        <v>0.90756302521008403</v>
      </c>
      <c r="AU89" s="67">
        <f t="shared" si="317"/>
        <v>0.42857142857142855</v>
      </c>
      <c r="AV89" s="67">
        <f t="shared" si="317"/>
        <v>1</v>
      </c>
      <c r="AX89">
        <f t="shared" si="241"/>
        <v>0.36974789915966388</v>
      </c>
      <c r="AY89">
        <f t="shared" si="242"/>
        <v>0.38655462184873945</v>
      </c>
      <c r="AZ89">
        <f t="shared" si="243"/>
        <v>0.5714285714285714</v>
      </c>
      <c r="BB89">
        <f t="shared" ref="BB89:BD89" si="318">AX89/SUM($AX89:$AZ89)</f>
        <v>0.27848101265822789</v>
      </c>
      <c r="BC89">
        <f t="shared" si="318"/>
        <v>0.29113924050632911</v>
      </c>
      <c r="BD89">
        <f t="shared" si="318"/>
        <v>0.43037974683544306</v>
      </c>
      <c r="BF89" t="str">
        <f t="shared" si="245"/>
        <v>Theme</v>
      </c>
      <c r="BG89" t="str">
        <f t="shared" si="246"/>
        <v>B</v>
      </c>
      <c r="BI89">
        <f t="shared" si="247"/>
        <v>3.5</v>
      </c>
      <c r="BJ89" t="str">
        <f t="shared" si="248"/>
        <v>Super Bowl</v>
      </c>
      <c r="BK89" t="str">
        <f t="shared" si="249"/>
        <v>B</v>
      </c>
      <c r="BS89">
        <f t="shared" si="253"/>
        <v>0.36974789915966388</v>
      </c>
      <c r="BT89">
        <f t="shared" si="254"/>
        <v>-0.38655462184873945</v>
      </c>
      <c r="BU89">
        <f t="shared" si="255"/>
        <v>0.5714285714285714</v>
      </c>
      <c r="BW89">
        <f t="shared" si="256"/>
        <v>-0.29438105456653607</v>
      </c>
      <c r="BX89">
        <f t="shared" si="257"/>
        <v>-0.83726531108471813</v>
      </c>
      <c r="BY89">
        <f t="shared" si="258"/>
        <v>1.190447131301168</v>
      </c>
      <c r="CB89">
        <f t="shared" si="259"/>
        <v>0.45197455046105872</v>
      </c>
      <c r="CC89">
        <f t="shared" si="260"/>
        <v>2.6151533698084428</v>
      </c>
      <c r="CD89">
        <f t="shared" si="261"/>
        <v>3.0366509077521306</v>
      </c>
      <c r="CE89">
        <f t="shared" si="262"/>
        <v>2.2651701873409706</v>
      </c>
      <c r="CF89">
        <f t="shared" si="263"/>
        <v>1.9749842512132307</v>
      </c>
      <c r="CG89">
        <f t="shared" si="269"/>
        <v>0.45197455046105872</v>
      </c>
      <c r="CK89" t="str">
        <f t="shared" si="292"/>
        <v>Cluster 1</v>
      </c>
      <c r="CL89" t="str">
        <f t="shared" si="264"/>
        <v>B Super Bowl</v>
      </c>
      <c r="CM89" t="str">
        <f t="shared" si="273"/>
        <v>Super Bowl B</v>
      </c>
      <c r="CN89" t="str">
        <f t="shared" si="265"/>
        <v>Diff</v>
      </c>
    </row>
    <row r="90" spans="8:92">
      <c r="H90">
        <v>83</v>
      </c>
      <c r="I90">
        <v>5</v>
      </c>
      <c r="J90">
        <v>8</v>
      </c>
      <c r="K90">
        <v>12</v>
      </c>
      <c r="L90">
        <v>15</v>
      </c>
      <c r="M90">
        <v>18</v>
      </c>
      <c r="N90">
        <v>10</v>
      </c>
      <c r="O90">
        <v>14</v>
      </c>
      <c r="P90">
        <v>17</v>
      </c>
      <c r="Q90">
        <v>19</v>
      </c>
      <c r="R90">
        <v>20</v>
      </c>
      <c r="S90">
        <v>1</v>
      </c>
      <c r="T90">
        <v>2</v>
      </c>
      <c r="U90">
        <v>5</v>
      </c>
      <c r="V90">
        <v>8</v>
      </c>
      <c r="W90">
        <v>12</v>
      </c>
      <c r="X90">
        <v>3</v>
      </c>
      <c r="Y90">
        <v>6</v>
      </c>
      <c r="Z90">
        <v>10</v>
      </c>
      <c r="AA90">
        <v>14</v>
      </c>
      <c r="AB90">
        <v>17</v>
      </c>
      <c r="AD90">
        <f t="shared" ref="AD90:AH90" si="319">SUMIFS($I90:$AB90,$I$2:$AB$2,AD$7)</f>
        <v>19</v>
      </c>
      <c r="AE90">
        <f t="shared" si="319"/>
        <v>30</v>
      </c>
      <c r="AF90">
        <f t="shared" si="319"/>
        <v>44</v>
      </c>
      <c r="AG90">
        <f t="shared" si="319"/>
        <v>56</v>
      </c>
      <c r="AH90">
        <f t="shared" si="319"/>
        <v>67</v>
      </c>
      <c r="AI90">
        <f t="shared" si="312"/>
        <v>138</v>
      </c>
      <c r="AJ90">
        <f t="shared" si="312"/>
        <v>78</v>
      </c>
      <c r="AK90">
        <f t="shared" si="313"/>
        <v>130</v>
      </c>
      <c r="AL90">
        <f t="shared" si="313"/>
        <v>86</v>
      </c>
      <c r="AN90" s="67">
        <f t="shared" ref="AN90:AV90" si="320">((AD90-MIN($AD90:$AL90))/(MAX($AD90:$AL90)-MIN($AD90:$AL90)))</f>
        <v>0</v>
      </c>
      <c r="AO90" s="67">
        <f t="shared" si="320"/>
        <v>9.2436974789915971E-2</v>
      </c>
      <c r="AP90" s="67">
        <f t="shared" si="320"/>
        <v>0.21008403361344538</v>
      </c>
      <c r="AQ90" s="67">
        <f t="shared" si="320"/>
        <v>0.31092436974789917</v>
      </c>
      <c r="AR90" s="67">
        <f t="shared" si="320"/>
        <v>0.40336134453781514</v>
      </c>
      <c r="AS90" s="67">
        <f t="shared" si="320"/>
        <v>1</v>
      </c>
      <c r="AT90" s="67">
        <f t="shared" si="320"/>
        <v>0.49579831932773111</v>
      </c>
      <c r="AU90" s="67">
        <f t="shared" si="320"/>
        <v>0.9327731092436975</v>
      </c>
      <c r="AV90" s="67">
        <f t="shared" si="320"/>
        <v>0.56302521008403361</v>
      </c>
      <c r="AX90">
        <f t="shared" si="241"/>
        <v>0.40336134453781514</v>
      </c>
      <c r="AY90">
        <f t="shared" si="242"/>
        <v>0.50420168067226889</v>
      </c>
      <c r="AZ90">
        <f t="shared" si="243"/>
        <v>0.36974789915966388</v>
      </c>
      <c r="BB90">
        <f t="shared" ref="BB90:BD90" si="321">AX90/SUM($AX90:$AZ90)</f>
        <v>0.31578947368421056</v>
      </c>
      <c r="BC90">
        <f t="shared" si="321"/>
        <v>0.39473684210526316</v>
      </c>
      <c r="BD90">
        <f t="shared" si="321"/>
        <v>0.28947368421052633</v>
      </c>
      <c r="BF90" t="str">
        <f t="shared" si="245"/>
        <v xml:space="preserve">Brand </v>
      </c>
      <c r="BG90" t="str">
        <f t="shared" si="246"/>
        <v>Tennis</v>
      </c>
      <c r="BI90">
        <f t="shared" si="247"/>
        <v>3.5</v>
      </c>
      <c r="BJ90" t="str">
        <f t="shared" si="248"/>
        <v>Tennis</v>
      </c>
      <c r="BK90" t="str">
        <f t="shared" si="249"/>
        <v>A</v>
      </c>
      <c r="BS90">
        <f t="shared" si="253"/>
        <v>0.40336134453781514</v>
      </c>
      <c r="BT90">
        <f t="shared" si="254"/>
        <v>0.50420168067226889</v>
      </c>
      <c r="BU90">
        <f t="shared" si="255"/>
        <v>-0.36974789915966388</v>
      </c>
      <c r="BW90">
        <f t="shared" si="256"/>
        <v>1.72185510455666E-3</v>
      </c>
      <c r="BX90">
        <f t="shared" si="257"/>
        <v>1.1104306963045163</v>
      </c>
      <c r="BY90">
        <f t="shared" si="258"/>
        <v>-0.79799286618595677</v>
      </c>
      <c r="CB90">
        <f t="shared" si="259"/>
        <v>3.0163971754232248</v>
      </c>
      <c r="CC90">
        <f t="shared" si="260"/>
        <v>2.1707161031776669</v>
      </c>
      <c r="CD90">
        <f t="shared" si="261"/>
        <v>0.62981663263494492</v>
      </c>
      <c r="CE90">
        <f t="shared" si="262"/>
        <v>2.3438073986524404</v>
      </c>
      <c r="CF90">
        <f t="shared" si="263"/>
        <v>1.9896819943177961</v>
      </c>
      <c r="CG90">
        <f t="shared" si="269"/>
        <v>0.62981663263494492</v>
      </c>
      <c r="CK90" t="str">
        <f t="shared" si="292"/>
        <v>Cluster 3</v>
      </c>
      <c r="CL90" t="str">
        <f t="shared" si="264"/>
        <v>A Tennis</v>
      </c>
      <c r="CM90" t="str">
        <f t="shared" si="273"/>
        <v>Tennis A</v>
      </c>
      <c r="CN90" t="str">
        <f t="shared" si="265"/>
        <v>Diff</v>
      </c>
    </row>
    <row r="91" spans="8:92">
      <c r="H91">
        <v>84</v>
      </c>
      <c r="I91">
        <v>1</v>
      </c>
      <c r="J91">
        <v>2</v>
      </c>
      <c r="K91">
        <v>3</v>
      </c>
      <c r="L91">
        <v>6</v>
      </c>
      <c r="M91">
        <v>9</v>
      </c>
      <c r="N91">
        <v>5</v>
      </c>
      <c r="O91">
        <v>8</v>
      </c>
      <c r="P91">
        <v>11</v>
      </c>
      <c r="Q91">
        <v>14</v>
      </c>
      <c r="R91">
        <v>17</v>
      </c>
      <c r="S91">
        <v>4</v>
      </c>
      <c r="T91">
        <v>7</v>
      </c>
      <c r="U91">
        <v>10</v>
      </c>
      <c r="V91">
        <v>13</v>
      </c>
      <c r="W91">
        <v>16</v>
      </c>
      <c r="X91">
        <v>12</v>
      </c>
      <c r="Y91">
        <v>15</v>
      </c>
      <c r="Z91">
        <v>18</v>
      </c>
      <c r="AA91">
        <v>19</v>
      </c>
      <c r="AB91">
        <v>20</v>
      </c>
      <c r="AD91">
        <f t="shared" ref="AD91:AH91" si="322">SUMIFS($I91:$AB91,$I$2:$AB$2,AD$7)</f>
        <v>22</v>
      </c>
      <c r="AE91">
        <f t="shared" si="322"/>
        <v>32</v>
      </c>
      <c r="AF91">
        <f t="shared" si="322"/>
        <v>42</v>
      </c>
      <c r="AG91">
        <f t="shared" si="322"/>
        <v>52</v>
      </c>
      <c r="AH91">
        <f t="shared" si="322"/>
        <v>62</v>
      </c>
      <c r="AI91">
        <f t="shared" si="312"/>
        <v>76</v>
      </c>
      <c r="AJ91">
        <f t="shared" si="312"/>
        <v>134</v>
      </c>
      <c r="AK91">
        <f t="shared" si="313"/>
        <v>139</v>
      </c>
      <c r="AL91">
        <f t="shared" si="313"/>
        <v>71</v>
      </c>
      <c r="AN91" s="67">
        <f t="shared" ref="AN91:AV91" si="323">((AD91-MIN($AD91:$AL91))/(MAX($AD91:$AL91)-MIN($AD91:$AL91)))</f>
        <v>0</v>
      </c>
      <c r="AO91" s="67">
        <f t="shared" si="323"/>
        <v>8.5470085470085472E-2</v>
      </c>
      <c r="AP91" s="67">
        <f t="shared" si="323"/>
        <v>0.17094017094017094</v>
      </c>
      <c r="AQ91" s="67">
        <f t="shared" si="323"/>
        <v>0.25641025641025639</v>
      </c>
      <c r="AR91" s="67">
        <f t="shared" si="323"/>
        <v>0.34188034188034189</v>
      </c>
      <c r="AS91" s="67">
        <f t="shared" si="323"/>
        <v>0.46153846153846156</v>
      </c>
      <c r="AT91" s="67">
        <f t="shared" si="323"/>
        <v>0.95726495726495731</v>
      </c>
      <c r="AU91" s="67">
        <f t="shared" si="323"/>
        <v>1</v>
      </c>
      <c r="AV91" s="67">
        <f t="shared" si="323"/>
        <v>0.41880341880341881</v>
      </c>
      <c r="AX91">
        <f t="shared" si="241"/>
        <v>0.34188034188034189</v>
      </c>
      <c r="AY91">
        <f t="shared" si="242"/>
        <v>0.49572649572649574</v>
      </c>
      <c r="AZ91">
        <f t="shared" si="243"/>
        <v>0.58119658119658113</v>
      </c>
      <c r="BB91">
        <f t="shared" ref="BB91:BD91" si="324">AX91/SUM($AX91:$AZ91)</f>
        <v>0.24096385542168677</v>
      </c>
      <c r="BC91">
        <f t="shared" si="324"/>
        <v>0.34939759036144585</v>
      </c>
      <c r="BD91">
        <f t="shared" si="324"/>
        <v>0.40963855421686746</v>
      </c>
      <c r="BF91" t="str">
        <f t="shared" si="245"/>
        <v>Theme</v>
      </c>
      <c r="BG91" t="str">
        <f t="shared" si="246"/>
        <v>A</v>
      </c>
      <c r="BI91">
        <f t="shared" si="247"/>
        <v>3.5</v>
      </c>
      <c r="BJ91" t="str">
        <f t="shared" si="248"/>
        <v>Super Bowl</v>
      </c>
      <c r="BK91" t="str">
        <f t="shared" si="249"/>
        <v>A</v>
      </c>
      <c r="BS91">
        <f t="shared" si="253"/>
        <v>0.34188034188034189</v>
      </c>
      <c r="BT91">
        <f t="shared" si="254"/>
        <v>-0.49572649572649574</v>
      </c>
      <c r="BU91">
        <f t="shared" si="255"/>
        <v>-0.58119658119658113</v>
      </c>
      <c r="BW91">
        <f t="shared" si="256"/>
        <v>-0.53986808224257044</v>
      </c>
      <c r="BX91">
        <f t="shared" si="257"/>
        <v>-1.0759766424209249</v>
      </c>
      <c r="BY91">
        <f t="shared" si="258"/>
        <v>-1.2447241965127345</v>
      </c>
      <c r="CB91">
        <f t="shared" si="259"/>
        <v>2.3546603796777257</v>
      </c>
      <c r="CC91">
        <f t="shared" si="260"/>
        <v>2.9592896111710933</v>
      </c>
      <c r="CD91">
        <f t="shared" si="261"/>
        <v>2.1200507601416403</v>
      </c>
      <c r="CE91">
        <f t="shared" si="262"/>
        <v>0.23176619278976343</v>
      </c>
      <c r="CF91">
        <f t="shared" si="263"/>
        <v>3.2321932354546554</v>
      </c>
      <c r="CG91">
        <f t="shared" si="269"/>
        <v>0.23176619278976343</v>
      </c>
      <c r="CK91" t="str">
        <f t="shared" si="292"/>
        <v>Cluster 4</v>
      </c>
      <c r="CL91" t="str">
        <f t="shared" si="264"/>
        <v>A Super Bowl</v>
      </c>
      <c r="CM91" t="str">
        <f t="shared" si="273"/>
        <v>Super Bowl A</v>
      </c>
      <c r="CN91" t="str">
        <f t="shared" si="265"/>
        <v>Diff</v>
      </c>
    </row>
    <row r="92" spans="8:92">
      <c r="H92">
        <v>85</v>
      </c>
      <c r="I92">
        <v>1</v>
      </c>
      <c r="J92">
        <v>2</v>
      </c>
      <c r="K92">
        <v>3</v>
      </c>
      <c r="L92">
        <v>5</v>
      </c>
      <c r="M92">
        <v>8</v>
      </c>
      <c r="N92">
        <v>4</v>
      </c>
      <c r="O92">
        <v>7</v>
      </c>
      <c r="P92">
        <v>10</v>
      </c>
      <c r="Q92">
        <v>12</v>
      </c>
      <c r="R92">
        <v>15</v>
      </c>
      <c r="S92">
        <v>6</v>
      </c>
      <c r="T92">
        <v>9</v>
      </c>
      <c r="U92">
        <v>11</v>
      </c>
      <c r="V92">
        <v>14</v>
      </c>
      <c r="W92">
        <v>17</v>
      </c>
      <c r="X92">
        <v>13</v>
      </c>
      <c r="Y92">
        <v>16</v>
      </c>
      <c r="Z92">
        <v>18</v>
      </c>
      <c r="AA92">
        <v>19</v>
      </c>
      <c r="AB92">
        <v>20</v>
      </c>
      <c r="AD92">
        <f t="shared" ref="AD92:AH92" si="325">SUMIFS($I92:$AB92,$I$2:$AB$2,AD$7)</f>
        <v>24</v>
      </c>
      <c r="AE92">
        <f t="shared" si="325"/>
        <v>34</v>
      </c>
      <c r="AF92">
        <f t="shared" si="325"/>
        <v>42</v>
      </c>
      <c r="AG92">
        <f t="shared" si="325"/>
        <v>50</v>
      </c>
      <c r="AH92">
        <f t="shared" si="325"/>
        <v>60</v>
      </c>
      <c r="AI92">
        <f t="shared" si="312"/>
        <v>67</v>
      </c>
      <c r="AJ92">
        <f t="shared" si="312"/>
        <v>143</v>
      </c>
      <c r="AK92">
        <f t="shared" si="313"/>
        <v>134</v>
      </c>
      <c r="AL92">
        <f t="shared" si="313"/>
        <v>76</v>
      </c>
      <c r="AN92" s="67">
        <f t="shared" ref="AN92:AV92" si="326">((AD92-MIN($AD92:$AL92))/(MAX($AD92:$AL92)-MIN($AD92:$AL92)))</f>
        <v>0</v>
      </c>
      <c r="AO92" s="67">
        <f t="shared" si="326"/>
        <v>8.4033613445378158E-2</v>
      </c>
      <c r="AP92" s="67">
        <f t="shared" si="326"/>
        <v>0.15126050420168066</v>
      </c>
      <c r="AQ92" s="67">
        <f t="shared" si="326"/>
        <v>0.21848739495798319</v>
      </c>
      <c r="AR92" s="67">
        <f t="shared" si="326"/>
        <v>0.30252100840336132</v>
      </c>
      <c r="AS92" s="67">
        <f t="shared" si="326"/>
        <v>0.36134453781512604</v>
      </c>
      <c r="AT92" s="67">
        <f t="shared" si="326"/>
        <v>1</v>
      </c>
      <c r="AU92" s="67">
        <f t="shared" si="326"/>
        <v>0.92436974789915971</v>
      </c>
      <c r="AV92" s="67">
        <f t="shared" si="326"/>
        <v>0.43697478991596639</v>
      </c>
      <c r="AX92">
        <f t="shared" si="241"/>
        <v>0.30252100840336132</v>
      </c>
      <c r="AY92">
        <f t="shared" si="242"/>
        <v>0.6386554621848739</v>
      </c>
      <c r="AZ92">
        <f t="shared" si="243"/>
        <v>0.48739495798319332</v>
      </c>
      <c r="BB92">
        <f t="shared" ref="BB92:BD92" si="327">AX92/SUM($AX92:$AZ92)</f>
        <v>0.21176470588235291</v>
      </c>
      <c r="BC92">
        <f t="shared" si="327"/>
        <v>0.44705882352941173</v>
      </c>
      <c r="BD92">
        <f t="shared" si="327"/>
        <v>0.3411764705882353</v>
      </c>
      <c r="BF92" t="str">
        <f t="shared" si="245"/>
        <v xml:space="preserve">Brand </v>
      </c>
      <c r="BG92" t="str">
        <f t="shared" si="246"/>
        <v>Super Bowl</v>
      </c>
      <c r="BI92">
        <f t="shared" si="247"/>
        <v>3.5</v>
      </c>
      <c r="BJ92" t="str">
        <f t="shared" si="248"/>
        <v>Super Bowl</v>
      </c>
      <c r="BK92" t="str">
        <f t="shared" si="249"/>
        <v>A</v>
      </c>
      <c r="BS92">
        <f t="shared" si="253"/>
        <v>0.30252100840336132</v>
      </c>
      <c r="BT92">
        <f t="shared" si="254"/>
        <v>-0.6386554621848739</v>
      </c>
      <c r="BU92">
        <f t="shared" si="255"/>
        <v>-0.48739495798319332</v>
      </c>
      <c r="BW92">
        <f t="shared" si="256"/>
        <v>-0.88658687390872204</v>
      </c>
      <c r="BX92">
        <f t="shared" si="257"/>
        <v>-1.3885000301571429</v>
      </c>
      <c r="BY92">
        <f t="shared" si="258"/>
        <v>-1.0465478658718474</v>
      </c>
      <c r="CB92">
        <f t="shared" si="259"/>
        <v>2.1849487515969077</v>
      </c>
      <c r="CC92">
        <f t="shared" si="260"/>
        <v>3.3073825807764488</v>
      </c>
      <c r="CD92">
        <f t="shared" si="261"/>
        <v>2.4673509065049615</v>
      </c>
      <c r="CE92">
        <f t="shared" si="262"/>
        <v>0.46318802190616126</v>
      </c>
      <c r="CF92">
        <f t="shared" si="263"/>
        <v>3.3402530722852037</v>
      </c>
      <c r="CG92">
        <f t="shared" si="269"/>
        <v>0.46318802190616126</v>
      </c>
      <c r="CK92" t="str">
        <f t="shared" si="292"/>
        <v>Cluster 4</v>
      </c>
      <c r="CL92" t="str">
        <f t="shared" si="264"/>
        <v>A Super Bowl</v>
      </c>
      <c r="CM92" t="str">
        <f t="shared" si="273"/>
        <v>Super Bowl A</v>
      </c>
      <c r="CN92" t="str">
        <f t="shared" si="265"/>
        <v>Diff</v>
      </c>
    </row>
    <row r="93" spans="8:92">
      <c r="H93">
        <v>86</v>
      </c>
      <c r="I93">
        <v>2</v>
      </c>
      <c r="J93">
        <v>6</v>
      </c>
      <c r="K93">
        <v>10</v>
      </c>
      <c r="L93">
        <v>14</v>
      </c>
      <c r="M93">
        <v>18</v>
      </c>
      <c r="N93">
        <v>4</v>
      </c>
      <c r="O93">
        <v>8</v>
      </c>
      <c r="P93">
        <v>12</v>
      </c>
      <c r="Q93">
        <v>16</v>
      </c>
      <c r="R93">
        <v>20</v>
      </c>
      <c r="S93">
        <v>1</v>
      </c>
      <c r="T93">
        <v>5</v>
      </c>
      <c r="U93">
        <v>9</v>
      </c>
      <c r="V93">
        <v>13</v>
      </c>
      <c r="W93">
        <v>17</v>
      </c>
      <c r="X93">
        <v>3</v>
      </c>
      <c r="Y93">
        <v>7</v>
      </c>
      <c r="Z93">
        <v>11</v>
      </c>
      <c r="AA93">
        <v>15</v>
      </c>
      <c r="AB93">
        <v>19</v>
      </c>
      <c r="AD93">
        <f t="shared" ref="AD93:AH93" si="328">SUMIFS($I93:$AB93,$I$2:$AB$2,AD$7)</f>
        <v>10</v>
      </c>
      <c r="AE93">
        <f t="shared" si="328"/>
        <v>26</v>
      </c>
      <c r="AF93">
        <f t="shared" si="328"/>
        <v>42</v>
      </c>
      <c r="AG93">
        <f t="shared" si="328"/>
        <v>58</v>
      </c>
      <c r="AH93">
        <f t="shared" si="328"/>
        <v>74</v>
      </c>
      <c r="AI93">
        <f t="shared" si="312"/>
        <v>110</v>
      </c>
      <c r="AJ93">
        <f t="shared" si="312"/>
        <v>100</v>
      </c>
      <c r="AK93">
        <f t="shared" si="313"/>
        <v>115</v>
      </c>
      <c r="AL93">
        <f t="shared" si="313"/>
        <v>95</v>
      </c>
      <c r="AN93" s="67">
        <f t="shared" ref="AN93:AV93" si="329">((AD93-MIN($AD93:$AL93))/(MAX($AD93:$AL93)-MIN($AD93:$AL93)))</f>
        <v>0</v>
      </c>
      <c r="AO93" s="67">
        <f t="shared" si="329"/>
        <v>0.15238095238095239</v>
      </c>
      <c r="AP93" s="67">
        <f t="shared" si="329"/>
        <v>0.30476190476190479</v>
      </c>
      <c r="AQ93" s="67">
        <f t="shared" si="329"/>
        <v>0.45714285714285713</v>
      </c>
      <c r="AR93" s="67">
        <f t="shared" si="329"/>
        <v>0.60952380952380958</v>
      </c>
      <c r="AS93" s="67">
        <f t="shared" si="329"/>
        <v>0.95238095238095233</v>
      </c>
      <c r="AT93" s="67">
        <f t="shared" si="329"/>
        <v>0.8571428571428571</v>
      </c>
      <c r="AU93" s="67">
        <f t="shared" si="329"/>
        <v>1</v>
      </c>
      <c r="AV93" s="67">
        <f t="shared" si="329"/>
        <v>0.80952380952380953</v>
      </c>
      <c r="AX93">
        <f t="shared" si="241"/>
        <v>0.60952380952380958</v>
      </c>
      <c r="AY93">
        <f t="shared" si="242"/>
        <v>9.5238095238095233E-2</v>
      </c>
      <c r="AZ93">
        <f t="shared" si="243"/>
        <v>0.19047619047619047</v>
      </c>
      <c r="BB93">
        <f t="shared" ref="BB93:BD93" si="330">AX93/SUM($AX93:$AZ93)</f>
        <v>0.68085106382978722</v>
      </c>
      <c r="BC93">
        <f t="shared" si="330"/>
        <v>0.10638297872340424</v>
      </c>
      <c r="BD93">
        <f t="shared" si="330"/>
        <v>0.21276595744680848</v>
      </c>
      <c r="BF93" t="str">
        <f t="shared" si="245"/>
        <v>Price</v>
      </c>
      <c r="BG93">
        <f t="shared" si="246"/>
        <v>3.5</v>
      </c>
      <c r="BI93">
        <f t="shared" si="247"/>
        <v>3.5</v>
      </c>
      <c r="BJ93" t="str">
        <f t="shared" si="248"/>
        <v>Tennis</v>
      </c>
      <c r="BK93" t="str">
        <f t="shared" si="249"/>
        <v>A</v>
      </c>
      <c r="BS93">
        <f t="shared" si="253"/>
        <v>0.60952380952380958</v>
      </c>
      <c r="BT93">
        <f t="shared" si="254"/>
        <v>9.5238095238095233E-2</v>
      </c>
      <c r="BU93">
        <f t="shared" si="255"/>
        <v>-0.19047619047619047</v>
      </c>
      <c r="BW93">
        <f t="shared" si="256"/>
        <v>1.8178197010872597</v>
      </c>
      <c r="BX93">
        <f t="shared" si="257"/>
        <v>0.21620548536480494</v>
      </c>
      <c r="BY93">
        <f t="shared" si="258"/>
        <v>-0.41924239047412343</v>
      </c>
      <c r="CB93">
        <f t="shared" si="259"/>
        <v>3.1785014156279523</v>
      </c>
      <c r="CC93">
        <f t="shared" si="260"/>
        <v>0.44813656952540182</v>
      </c>
      <c r="CD93">
        <f t="shared" si="261"/>
        <v>2.5680894480045837</v>
      </c>
      <c r="CE93">
        <f t="shared" si="262"/>
        <v>2.7535355087866233</v>
      </c>
      <c r="CF93">
        <f t="shared" si="263"/>
        <v>2.941185316104574</v>
      </c>
      <c r="CG93">
        <f t="shared" si="269"/>
        <v>0.44813656952540182</v>
      </c>
      <c r="CK93" t="str">
        <f t="shared" si="292"/>
        <v>Cluster 2</v>
      </c>
      <c r="CL93" t="str">
        <f t="shared" si="264"/>
        <v>Price Only</v>
      </c>
      <c r="CM93" t="str">
        <f t="shared" si="273"/>
        <v>Price Only</v>
      </c>
      <c r="CN93" t="str">
        <f t="shared" si="265"/>
        <v/>
      </c>
    </row>
    <row r="94" spans="8:92">
      <c r="H94">
        <v>87</v>
      </c>
      <c r="I94">
        <v>1</v>
      </c>
      <c r="J94">
        <v>2</v>
      </c>
      <c r="K94">
        <v>3</v>
      </c>
      <c r="L94">
        <v>6</v>
      </c>
      <c r="M94">
        <v>9</v>
      </c>
      <c r="N94">
        <v>4</v>
      </c>
      <c r="O94">
        <v>7</v>
      </c>
      <c r="P94">
        <v>10</v>
      </c>
      <c r="Q94">
        <v>13</v>
      </c>
      <c r="R94">
        <v>16</v>
      </c>
      <c r="S94">
        <v>5</v>
      </c>
      <c r="T94">
        <v>8</v>
      </c>
      <c r="U94">
        <v>11</v>
      </c>
      <c r="V94">
        <v>14</v>
      </c>
      <c r="W94">
        <v>17</v>
      </c>
      <c r="X94">
        <v>12</v>
      </c>
      <c r="Y94">
        <v>15</v>
      </c>
      <c r="Z94">
        <v>18</v>
      </c>
      <c r="AA94">
        <v>19</v>
      </c>
      <c r="AB94">
        <v>20</v>
      </c>
      <c r="AD94">
        <f t="shared" ref="AD94:AH94" si="331">SUMIFS($I94:$AB94,$I$2:$AB$2,AD$7)</f>
        <v>22</v>
      </c>
      <c r="AE94">
        <f t="shared" si="331"/>
        <v>32</v>
      </c>
      <c r="AF94">
        <f t="shared" si="331"/>
        <v>42</v>
      </c>
      <c r="AG94">
        <f t="shared" si="331"/>
        <v>52</v>
      </c>
      <c r="AH94">
        <f t="shared" si="331"/>
        <v>62</v>
      </c>
      <c r="AI94">
        <f t="shared" si="312"/>
        <v>71</v>
      </c>
      <c r="AJ94">
        <f t="shared" si="312"/>
        <v>139</v>
      </c>
      <c r="AK94">
        <f t="shared" si="313"/>
        <v>134</v>
      </c>
      <c r="AL94">
        <f t="shared" si="313"/>
        <v>76</v>
      </c>
      <c r="AN94" s="67">
        <f t="shared" ref="AN94:AV94" si="332">((AD94-MIN($AD94:$AL94))/(MAX($AD94:$AL94)-MIN($AD94:$AL94)))</f>
        <v>0</v>
      </c>
      <c r="AO94" s="67">
        <f t="shared" si="332"/>
        <v>8.5470085470085472E-2</v>
      </c>
      <c r="AP94" s="67">
        <f t="shared" si="332"/>
        <v>0.17094017094017094</v>
      </c>
      <c r="AQ94" s="67">
        <f t="shared" si="332"/>
        <v>0.25641025641025639</v>
      </c>
      <c r="AR94" s="67">
        <f t="shared" si="332"/>
        <v>0.34188034188034189</v>
      </c>
      <c r="AS94" s="67">
        <f t="shared" si="332"/>
        <v>0.41880341880341881</v>
      </c>
      <c r="AT94" s="67">
        <f t="shared" si="332"/>
        <v>1</v>
      </c>
      <c r="AU94" s="67">
        <f t="shared" si="332"/>
        <v>0.95726495726495731</v>
      </c>
      <c r="AV94" s="67">
        <f t="shared" si="332"/>
        <v>0.46153846153846156</v>
      </c>
      <c r="AX94">
        <f t="shared" si="241"/>
        <v>0.34188034188034189</v>
      </c>
      <c r="AY94">
        <f t="shared" si="242"/>
        <v>0.58119658119658113</v>
      </c>
      <c r="AZ94">
        <f t="shared" si="243"/>
        <v>0.49572649572649574</v>
      </c>
      <c r="BB94">
        <f t="shared" ref="BB94:BD94" si="333">AX94/SUM($AX94:$AZ94)</f>
        <v>0.24096385542168677</v>
      </c>
      <c r="BC94">
        <f t="shared" si="333"/>
        <v>0.40963855421686746</v>
      </c>
      <c r="BD94">
        <f t="shared" si="333"/>
        <v>0.34939759036144585</v>
      </c>
      <c r="BF94" t="str">
        <f t="shared" si="245"/>
        <v xml:space="preserve">Brand </v>
      </c>
      <c r="BG94" t="str">
        <f t="shared" si="246"/>
        <v>Super Bowl</v>
      </c>
      <c r="BI94">
        <f t="shared" si="247"/>
        <v>3.5</v>
      </c>
      <c r="BJ94" t="str">
        <f t="shared" si="248"/>
        <v>Super Bowl</v>
      </c>
      <c r="BK94" t="str">
        <f t="shared" si="249"/>
        <v>A</v>
      </c>
      <c r="BS94">
        <f t="shared" si="253"/>
        <v>0.34188034188034189</v>
      </c>
      <c r="BT94">
        <f t="shared" si="254"/>
        <v>-0.58119658119658113</v>
      </c>
      <c r="BU94">
        <f t="shared" si="255"/>
        <v>-0.49572649572649574</v>
      </c>
      <c r="BW94">
        <f t="shared" si="256"/>
        <v>-0.53986808224257044</v>
      </c>
      <c r="BX94">
        <f t="shared" si="257"/>
        <v>-1.2628624873486129</v>
      </c>
      <c r="BY94">
        <f t="shared" si="258"/>
        <v>-1.0641500514417885</v>
      </c>
      <c r="CB94">
        <f t="shared" si="259"/>
        <v>2.1763758373755766</v>
      </c>
      <c r="CC94">
        <f t="shared" si="260"/>
        <v>2.9745424632431559</v>
      </c>
      <c r="CD94">
        <f t="shared" si="261"/>
        <v>2.3093173582565556</v>
      </c>
      <c r="CE94">
        <f t="shared" si="262"/>
        <v>0.11317281708711198</v>
      </c>
      <c r="CF94">
        <f t="shared" si="263"/>
        <v>3.2375612512415834</v>
      </c>
      <c r="CG94">
        <f t="shared" si="269"/>
        <v>0.11317281708711198</v>
      </c>
      <c r="CK94" t="str">
        <f t="shared" si="292"/>
        <v>Cluster 4</v>
      </c>
      <c r="CL94" t="str">
        <f t="shared" si="264"/>
        <v>A Super Bowl</v>
      </c>
      <c r="CM94" t="str">
        <f t="shared" si="273"/>
        <v>Super Bowl A</v>
      </c>
      <c r="CN94" t="str">
        <f t="shared" si="265"/>
        <v>Diff</v>
      </c>
    </row>
    <row r="95" spans="8:92">
      <c r="H95">
        <v>88</v>
      </c>
      <c r="I95">
        <v>5</v>
      </c>
      <c r="J95">
        <v>8</v>
      </c>
      <c r="K95">
        <v>11</v>
      </c>
      <c r="L95">
        <v>14</v>
      </c>
      <c r="M95">
        <v>17</v>
      </c>
      <c r="N95">
        <v>1</v>
      </c>
      <c r="O95">
        <v>2</v>
      </c>
      <c r="P95">
        <v>3</v>
      </c>
      <c r="Q95">
        <v>6</v>
      </c>
      <c r="R95">
        <v>9</v>
      </c>
      <c r="S95">
        <v>12</v>
      </c>
      <c r="T95">
        <v>15</v>
      </c>
      <c r="U95">
        <v>18</v>
      </c>
      <c r="V95">
        <v>19</v>
      </c>
      <c r="W95">
        <v>20</v>
      </c>
      <c r="X95">
        <v>4</v>
      </c>
      <c r="Y95">
        <v>7</v>
      </c>
      <c r="Z95">
        <v>10</v>
      </c>
      <c r="AA95">
        <v>13</v>
      </c>
      <c r="AB95">
        <v>16</v>
      </c>
      <c r="AD95">
        <f t="shared" ref="AD95:AH95" si="334">SUMIFS($I95:$AB95,$I$2:$AB$2,AD$7)</f>
        <v>22</v>
      </c>
      <c r="AE95">
        <f t="shared" si="334"/>
        <v>32</v>
      </c>
      <c r="AF95">
        <f t="shared" si="334"/>
        <v>42</v>
      </c>
      <c r="AG95">
        <f t="shared" si="334"/>
        <v>52</v>
      </c>
      <c r="AH95">
        <f t="shared" si="334"/>
        <v>62</v>
      </c>
      <c r="AI95">
        <f t="shared" si="312"/>
        <v>76</v>
      </c>
      <c r="AJ95">
        <f t="shared" si="312"/>
        <v>134</v>
      </c>
      <c r="AK95">
        <f t="shared" si="313"/>
        <v>71</v>
      </c>
      <c r="AL95">
        <f t="shared" si="313"/>
        <v>139</v>
      </c>
      <c r="AN95" s="67">
        <f t="shared" ref="AN95:AV95" si="335">((AD95-MIN($AD95:$AL95))/(MAX($AD95:$AL95)-MIN($AD95:$AL95)))</f>
        <v>0</v>
      </c>
      <c r="AO95" s="67">
        <f t="shared" si="335"/>
        <v>8.5470085470085472E-2</v>
      </c>
      <c r="AP95" s="67">
        <f t="shared" si="335"/>
        <v>0.17094017094017094</v>
      </c>
      <c r="AQ95" s="67">
        <f t="shared" si="335"/>
        <v>0.25641025641025639</v>
      </c>
      <c r="AR95" s="67">
        <f t="shared" si="335"/>
        <v>0.34188034188034189</v>
      </c>
      <c r="AS95" s="67">
        <f t="shared" si="335"/>
        <v>0.46153846153846156</v>
      </c>
      <c r="AT95" s="67">
        <f t="shared" si="335"/>
        <v>0.95726495726495731</v>
      </c>
      <c r="AU95" s="67">
        <f t="shared" si="335"/>
        <v>0.41880341880341881</v>
      </c>
      <c r="AV95" s="67">
        <f t="shared" si="335"/>
        <v>1</v>
      </c>
      <c r="AX95">
        <f t="shared" si="241"/>
        <v>0.34188034188034189</v>
      </c>
      <c r="AY95">
        <f t="shared" si="242"/>
        <v>0.49572649572649574</v>
      </c>
      <c r="AZ95">
        <f t="shared" si="243"/>
        <v>0.58119658119658113</v>
      </c>
      <c r="BB95">
        <f t="shared" ref="BB95:BD95" si="336">AX95/SUM($AX95:$AZ95)</f>
        <v>0.24096385542168677</v>
      </c>
      <c r="BC95">
        <f t="shared" si="336"/>
        <v>0.34939759036144585</v>
      </c>
      <c r="BD95">
        <f t="shared" si="336"/>
        <v>0.40963855421686746</v>
      </c>
      <c r="BF95" t="str">
        <f t="shared" si="245"/>
        <v>Theme</v>
      </c>
      <c r="BG95" t="str">
        <f t="shared" si="246"/>
        <v>B</v>
      </c>
      <c r="BI95">
        <f t="shared" si="247"/>
        <v>3.5</v>
      </c>
      <c r="BJ95" t="str">
        <f t="shared" si="248"/>
        <v>Super Bowl</v>
      </c>
      <c r="BK95" t="str">
        <f t="shared" si="249"/>
        <v>B</v>
      </c>
      <c r="BS95">
        <f t="shared" si="253"/>
        <v>0.34188034188034189</v>
      </c>
      <c r="BT95">
        <f t="shared" si="254"/>
        <v>-0.49572649572649574</v>
      </c>
      <c r="BU95">
        <f t="shared" si="255"/>
        <v>0.58119658119658113</v>
      </c>
      <c r="BW95">
        <f t="shared" si="256"/>
        <v>-0.53986808224257044</v>
      </c>
      <c r="BX95">
        <f t="shared" si="257"/>
        <v>-1.0759766424209249</v>
      </c>
      <c r="BY95">
        <f t="shared" si="258"/>
        <v>1.2110841764521332</v>
      </c>
      <c r="CB95">
        <f t="shared" si="259"/>
        <v>0.14518421319048438</v>
      </c>
      <c r="CC95">
        <f t="shared" si="260"/>
        <v>2.9214573570791518</v>
      </c>
      <c r="CD95">
        <f t="shared" si="261"/>
        <v>3.1998056505731678</v>
      </c>
      <c r="CE95">
        <f t="shared" si="262"/>
        <v>2.2564514213556155</v>
      </c>
      <c r="CF95">
        <f t="shared" si="263"/>
        <v>2.2019278871561045</v>
      </c>
      <c r="CG95">
        <f t="shared" si="269"/>
        <v>0.14518421319048438</v>
      </c>
      <c r="CK95" t="str">
        <f t="shared" si="292"/>
        <v>Cluster 1</v>
      </c>
      <c r="CL95" t="str">
        <f t="shared" si="264"/>
        <v>B Super Bowl</v>
      </c>
      <c r="CM95" t="str">
        <f t="shared" si="273"/>
        <v>Super Bowl B</v>
      </c>
      <c r="CN95" t="str">
        <f t="shared" si="265"/>
        <v>Diff</v>
      </c>
    </row>
    <row r="96" spans="8:92">
      <c r="H96">
        <v>89</v>
      </c>
      <c r="I96">
        <v>4</v>
      </c>
      <c r="J96">
        <v>8</v>
      </c>
      <c r="K96">
        <v>12</v>
      </c>
      <c r="L96">
        <v>16</v>
      </c>
      <c r="M96">
        <v>20</v>
      </c>
      <c r="N96">
        <v>2</v>
      </c>
      <c r="O96">
        <v>6</v>
      </c>
      <c r="P96">
        <v>10</v>
      </c>
      <c r="Q96">
        <v>14</v>
      </c>
      <c r="R96">
        <v>18</v>
      </c>
      <c r="S96">
        <v>3</v>
      </c>
      <c r="T96">
        <v>7</v>
      </c>
      <c r="U96">
        <v>11</v>
      </c>
      <c r="V96">
        <v>15</v>
      </c>
      <c r="W96">
        <v>19</v>
      </c>
      <c r="X96">
        <v>1</v>
      </c>
      <c r="Y96">
        <v>5</v>
      </c>
      <c r="Z96">
        <v>9</v>
      </c>
      <c r="AA96">
        <v>13</v>
      </c>
      <c r="AB96">
        <v>17</v>
      </c>
      <c r="AD96">
        <f t="shared" ref="AD96:AH96" si="337">SUMIFS($I96:$AB96,$I$2:$AB$2,AD$7)</f>
        <v>10</v>
      </c>
      <c r="AE96">
        <f t="shared" si="337"/>
        <v>26</v>
      </c>
      <c r="AF96">
        <f t="shared" si="337"/>
        <v>42</v>
      </c>
      <c r="AG96">
        <f t="shared" si="337"/>
        <v>58</v>
      </c>
      <c r="AH96">
        <f t="shared" si="337"/>
        <v>74</v>
      </c>
      <c r="AI96">
        <f t="shared" si="312"/>
        <v>110</v>
      </c>
      <c r="AJ96">
        <f t="shared" si="312"/>
        <v>100</v>
      </c>
      <c r="AK96">
        <f t="shared" si="313"/>
        <v>95</v>
      </c>
      <c r="AL96">
        <f t="shared" si="313"/>
        <v>115</v>
      </c>
      <c r="AN96" s="67">
        <f t="shared" ref="AN96:AV96" si="338">((AD96-MIN($AD96:$AL96))/(MAX($AD96:$AL96)-MIN($AD96:$AL96)))</f>
        <v>0</v>
      </c>
      <c r="AO96" s="67">
        <f t="shared" si="338"/>
        <v>0.15238095238095239</v>
      </c>
      <c r="AP96" s="67">
        <f t="shared" si="338"/>
        <v>0.30476190476190479</v>
      </c>
      <c r="AQ96" s="67">
        <f t="shared" si="338"/>
        <v>0.45714285714285713</v>
      </c>
      <c r="AR96" s="67">
        <f t="shared" si="338"/>
        <v>0.60952380952380958</v>
      </c>
      <c r="AS96" s="67">
        <f t="shared" si="338"/>
        <v>0.95238095238095233</v>
      </c>
      <c r="AT96" s="67">
        <f t="shared" si="338"/>
        <v>0.8571428571428571</v>
      </c>
      <c r="AU96" s="67">
        <f t="shared" si="338"/>
        <v>0.80952380952380953</v>
      </c>
      <c r="AV96" s="67">
        <f t="shared" si="338"/>
        <v>1</v>
      </c>
      <c r="AX96">
        <f t="shared" si="241"/>
        <v>0.60952380952380958</v>
      </c>
      <c r="AY96">
        <f t="shared" si="242"/>
        <v>9.5238095238095233E-2</v>
      </c>
      <c r="AZ96">
        <f t="shared" si="243"/>
        <v>0.19047619047619047</v>
      </c>
      <c r="BB96">
        <f t="shared" ref="BB96:BD96" si="339">AX96/SUM($AX96:$AZ96)</f>
        <v>0.68085106382978722</v>
      </c>
      <c r="BC96">
        <f t="shared" si="339"/>
        <v>0.10638297872340424</v>
      </c>
      <c r="BD96">
        <f t="shared" si="339"/>
        <v>0.21276595744680848</v>
      </c>
      <c r="BF96" t="str">
        <f t="shared" si="245"/>
        <v>Price</v>
      </c>
      <c r="BG96">
        <f t="shared" si="246"/>
        <v>3.5</v>
      </c>
      <c r="BI96">
        <f t="shared" si="247"/>
        <v>3.5</v>
      </c>
      <c r="BJ96" t="str">
        <f t="shared" si="248"/>
        <v>Tennis</v>
      </c>
      <c r="BK96" t="str">
        <f t="shared" si="249"/>
        <v>B</v>
      </c>
      <c r="BS96">
        <f t="shared" si="253"/>
        <v>0.60952380952380958</v>
      </c>
      <c r="BT96">
        <f t="shared" si="254"/>
        <v>9.5238095238095233E-2</v>
      </c>
      <c r="BU96">
        <f t="shared" si="255"/>
        <v>0.19047619047619047</v>
      </c>
      <c r="BW96">
        <f t="shared" si="256"/>
        <v>1.8178197010872597</v>
      </c>
      <c r="BX96">
        <f t="shared" si="257"/>
        <v>0.21620548536480494</v>
      </c>
      <c r="BY96">
        <f t="shared" si="258"/>
        <v>0.38560237041352236</v>
      </c>
      <c r="CB96">
        <f t="shared" si="259"/>
        <v>2.879704618054391</v>
      </c>
      <c r="CC96">
        <f t="shared" si="260"/>
        <v>0.35764807334825383</v>
      </c>
      <c r="CD96">
        <f t="shared" si="261"/>
        <v>2.9116347659148465</v>
      </c>
      <c r="CE96">
        <f t="shared" si="262"/>
        <v>3.038588541311825</v>
      </c>
      <c r="CF96">
        <f t="shared" si="263"/>
        <v>2.6106972500267807</v>
      </c>
      <c r="CG96">
        <f t="shared" si="269"/>
        <v>0.35764807334825383</v>
      </c>
      <c r="CK96" t="str">
        <f t="shared" si="292"/>
        <v>Cluster 2</v>
      </c>
      <c r="CL96" t="str">
        <f t="shared" si="264"/>
        <v>Price Only</v>
      </c>
      <c r="CM96" t="str">
        <f t="shared" si="273"/>
        <v>Price Only</v>
      </c>
      <c r="CN96" t="str">
        <f t="shared" si="265"/>
        <v/>
      </c>
    </row>
    <row r="97" spans="8:92">
      <c r="H97">
        <v>90</v>
      </c>
      <c r="I97">
        <v>1</v>
      </c>
      <c r="J97">
        <v>5</v>
      </c>
      <c r="K97">
        <v>9</v>
      </c>
      <c r="L97">
        <v>13</v>
      </c>
      <c r="M97">
        <v>17</v>
      </c>
      <c r="N97">
        <v>3</v>
      </c>
      <c r="O97">
        <v>7</v>
      </c>
      <c r="P97">
        <v>11</v>
      </c>
      <c r="Q97">
        <v>15</v>
      </c>
      <c r="R97">
        <v>19</v>
      </c>
      <c r="S97">
        <v>2</v>
      </c>
      <c r="T97">
        <v>6</v>
      </c>
      <c r="U97">
        <v>10</v>
      </c>
      <c r="V97">
        <v>14</v>
      </c>
      <c r="W97">
        <v>18</v>
      </c>
      <c r="X97">
        <v>4</v>
      </c>
      <c r="Y97">
        <v>8</v>
      </c>
      <c r="Z97">
        <v>12</v>
      </c>
      <c r="AA97">
        <v>16</v>
      </c>
      <c r="AB97">
        <v>20</v>
      </c>
      <c r="AD97">
        <f t="shared" ref="AD97:AH97" si="340">SUMIFS($I97:$AB97,$I$2:$AB$2,AD$7)</f>
        <v>10</v>
      </c>
      <c r="AE97">
        <f t="shared" si="340"/>
        <v>26</v>
      </c>
      <c r="AF97">
        <f t="shared" si="340"/>
        <v>42</v>
      </c>
      <c r="AG97">
        <f t="shared" si="340"/>
        <v>58</v>
      </c>
      <c r="AH97">
        <f t="shared" si="340"/>
        <v>74</v>
      </c>
      <c r="AI97">
        <f t="shared" si="312"/>
        <v>100</v>
      </c>
      <c r="AJ97">
        <f t="shared" si="312"/>
        <v>110</v>
      </c>
      <c r="AK97">
        <f t="shared" si="313"/>
        <v>115</v>
      </c>
      <c r="AL97">
        <f t="shared" si="313"/>
        <v>95</v>
      </c>
      <c r="AN97" s="67">
        <f t="shared" ref="AN97:AV97" si="341">((AD97-MIN($AD97:$AL97))/(MAX($AD97:$AL97)-MIN($AD97:$AL97)))</f>
        <v>0</v>
      </c>
      <c r="AO97" s="67">
        <f t="shared" si="341"/>
        <v>0.15238095238095239</v>
      </c>
      <c r="AP97" s="67">
        <f t="shared" si="341"/>
        <v>0.30476190476190479</v>
      </c>
      <c r="AQ97" s="67">
        <f t="shared" si="341"/>
        <v>0.45714285714285713</v>
      </c>
      <c r="AR97" s="67">
        <f t="shared" si="341"/>
        <v>0.60952380952380958</v>
      </c>
      <c r="AS97" s="67">
        <f t="shared" si="341"/>
        <v>0.8571428571428571</v>
      </c>
      <c r="AT97" s="67">
        <f t="shared" si="341"/>
        <v>0.95238095238095233</v>
      </c>
      <c r="AU97" s="67">
        <f t="shared" si="341"/>
        <v>1</v>
      </c>
      <c r="AV97" s="67">
        <f t="shared" si="341"/>
        <v>0.80952380952380953</v>
      </c>
      <c r="AX97">
        <f t="shared" si="241"/>
        <v>0.60952380952380958</v>
      </c>
      <c r="AY97">
        <f t="shared" si="242"/>
        <v>9.5238095238095233E-2</v>
      </c>
      <c r="AZ97">
        <f t="shared" si="243"/>
        <v>0.19047619047619047</v>
      </c>
      <c r="BB97">
        <f t="shared" ref="BB97:BD97" si="342">AX97/SUM($AX97:$AZ97)</f>
        <v>0.68085106382978722</v>
      </c>
      <c r="BC97">
        <f t="shared" si="342"/>
        <v>0.10638297872340424</v>
      </c>
      <c r="BD97">
        <f t="shared" si="342"/>
        <v>0.21276595744680848</v>
      </c>
      <c r="BF97" t="str">
        <f t="shared" si="245"/>
        <v>Price</v>
      </c>
      <c r="BG97">
        <f t="shared" si="246"/>
        <v>3.5</v>
      </c>
      <c r="BI97">
        <f t="shared" si="247"/>
        <v>3.5</v>
      </c>
      <c r="BJ97" t="str">
        <f t="shared" si="248"/>
        <v>Super Bowl</v>
      </c>
      <c r="BK97" t="str">
        <f t="shared" si="249"/>
        <v>A</v>
      </c>
      <c r="BS97">
        <f t="shared" si="253"/>
        <v>0.60952380952380958</v>
      </c>
      <c r="BT97">
        <f t="shared" si="254"/>
        <v>-9.5238095238095233E-2</v>
      </c>
      <c r="BU97">
        <f t="shared" si="255"/>
        <v>-0.19047619047619047</v>
      </c>
      <c r="BW97">
        <f t="shared" si="256"/>
        <v>1.8178197010872597</v>
      </c>
      <c r="BX97">
        <f t="shared" si="257"/>
        <v>-0.2002829690454716</v>
      </c>
      <c r="BY97">
        <f t="shared" si="258"/>
        <v>-0.41924239047412343</v>
      </c>
      <c r="CB97">
        <f t="shared" si="259"/>
        <v>3.0236668291796973</v>
      </c>
      <c r="CC97">
        <f t="shared" si="260"/>
        <v>0.61144163909422833</v>
      </c>
      <c r="CD97">
        <f t="shared" si="261"/>
        <v>2.7307457287229773</v>
      </c>
      <c r="CE97">
        <f t="shared" si="262"/>
        <v>2.5690728729265433</v>
      </c>
      <c r="CF97">
        <f t="shared" si="263"/>
        <v>3.0951992474027037</v>
      </c>
      <c r="CG97">
        <f t="shared" si="269"/>
        <v>0.61144163909422833</v>
      </c>
      <c r="CK97" t="str">
        <f t="shared" si="292"/>
        <v>Cluster 2</v>
      </c>
      <c r="CL97" t="str">
        <f t="shared" si="264"/>
        <v>Price Only</v>
      </c>
      <c r="CM97" t="str">
        <f t="shared" si="273"/>
        <v>Price Only</v>
      </c>
      <c r="CN97" t="str">
        <f t="shared" si="265"/>
        <v/>
      </c>
    </row>
    <row r="98" spans="8:92">
      <c r="H98">
        <v>91</v>
      </c>
      <c r="I98">
        <v>2</v>
      </c>
      <c r="J98">
        <v>6</v>
      </c>
      <c r="K98">
        <v>10</v>
      </c>
      <c r="L98">
        <v>14</v>
      </c>
      <c r="M98">
        <v>18</v>
      </c>
      <c r="N98">
        <v>4</v>
      </c>
      <c r="O98">
        <v>8</v>
      </c>
      <c r="P98">
        <v>12</v>
      </c>
      <c r="Q98">
        <v>16</v>
      </c>
      <c r="R98">
        <v>20</v>
      </c>
      <c r="S98">
        <v>2</v>
      </c>
      <c r="T98">
        <v>6</v>
      </c>
      <c r="U98">
        <v>10</v>
      </c>
      <c r="V98">
        <v>14</v>
      </c>
      <c r="W98">
        <v>18</v>
      </c>
      <c r="X98">
        <v>4</v>
      </c>
      <c r="Y98">
        <v>8</v>
      </c>
      <c r="Z98">
        <v>12</v>
      </c>
      <c r="AA98">
        <v>16</v>
      </c>
      <c r="AB98">
        <v>20</v>
      </c>
      <c r="AD98">
        <f t="shared" ref="AD98:AH98" si="343">SUMIFS($I98:$AB98,$I$2:$AB$2,AD$7)</f>
        <v>12</v>
      </c>
      <c r="AE98">
        <f t="shared" si="343"/>
        <v>28</v>
      </c>
      <c r="AF98">
        <f t="shared" si="343"/>
        <v>44</v>
      </c>
      <c r="AG98">
        <f t="shared" si="343"/>
        <v>60</v>
      </c>
      <c r="AH98">
        <f t="shared" si="343"/>
        <v>76</v>
      </c>
      <c r="AI98">
        <f t="shared" si="312"/>
        <v>110</v>
      </c>
      <c r="AJ98">
        <f t="shared" si="312"/>
        <v>110</v>
      </c>
      <c r="AK98">
        <f t="shared" si="313"/>
        <v>120</v>
      </c>
      <c r="AL98">
        <f t="shared" si="313"/>
        <v>100</v>
      </c>
      <c r="AN98" s="67">
        <f t="shared" ref="AN98:AV98" si="344">((AD98-MIN($AD98:$AL98))/(MAX($AD98:$AL98)-MIN($AD98:$AL98)))</f>
        <v>0</v>
      </c>
      <c r="AO98" s="67">
        <f t="shared" si="344"/>
        <v>0.14814814814814814</v>
      </c>
      <c r="AP98" s="67">
        <f t="shared" si="344"/>
        <v>0.29629629629629628</v>
      </c>
      <c r="AQ98" s="67">
        <f t="shared" si="344"/>
        <v>0.44444444444444442</v>
      </c>
      <c r="AR98" s="67">
        <f t="shared" si="344"/>
        <v>0.59259259259259256</v>
      </c>
      <c r="AS98" s="67">
        <f t="shared" si="344"/>
        <v>0.90740740740740744</v>
      </c>
      <c r="AT98" s="67">
        <f t="shared" si="344"/>
        <v>0.90740740740740744</v>
      </c>
      <c r="AU98" s="67">
        <f t="shared" si="344"/>
        <v>1</v>
      </c>
      <c r="AV98" s="67">
        <f t="shared" si="344"/>
        <v>0.81481481481481477</v>
      </c>
      <c r="AX98">
        <f t="shared" si="241"/>
        <v>0.59259259259259256</v>
      </c>
      <c r="AY98">
        <f t="shared" si="242"/>
        <v>0</v>
      </c>
      <c r="AZ98">
        <f t="shared" si="243"/>
        <v>0.18518518518518523</v>
      </c>
      <c r="BB98">
        <f t="shared" ref="BB98:BD98" si="345">AX98/SUM($AX98:$AZ98)</f>
        <v>0.76190476190476186</v>
      </c>
      <c r="BC98">
        <f t="shared" si="345"/>
        <v>0</v>
      </c>
      <c r="BD98">
        <f t="shared" si="345"/>
        <v>0.23809523809523814</v>
      </c>
      <c r="BF98" t="str">
        <f t="shared" si="245"/>
        <v>Price</v>
      </c>
      <c r="BG98">
        <f t="shared" si="246"/>
        <v>3.5</v>
      </c>
      <c r="BI98">
        <f t="shared" si="247"/>
        <v>3.5</v>
      </c>
      <c r="BJ98" t="str">
        <f t="shared" si="248"/>
        <v>Super Bowl</v>
      </c>
      <c r="BK98" t="str">
        <f t="shared" si="249"/>
        <v>A</v>
      </c>
      <c r="BS98">
        <f t="shared" si="253"/>
        <v>0.59259259259259256</v>
      </c>
      <c r="BT98">
        <f t="shared" si="254"/>
        <v>0</v>
      </c>
      <c r="BU98">
        <f t="shared" si="255"/>
        <v>-0.18518518518518523</v>
      </c>
      <c r="BW98">
        <f t="shared" si="256"/>
        <v>1.6686715688084861</v>
      </c>
      <c r="BX98">
        <f t="shared" si="257"/>
        <v>7.9612581596666537E-3</v>
      </c>
      <c r="BY98">
        <f t="shared" si="258"/>
        <v>-0.40806399101735069</v>
      </c>
      <c r="CB98">
        <f t="shared" si="259"/>
        <v>2.9735301007419594</v>
      </c>
      <c r="CC98">
        <f t="shared" si="260"/>
        <v>0.50057402705841503</v>
      </c>
      <c r="CD98">
        <f t="shared" si="261"/>
        <v>2.5167286281323902</v>
      </c>
      <c r="CE98">
        <f t="shared" si="262"/>
        <v>2.5296658873496298</v>
      </c>
      <c r="CF98">
        <f t="shared" si="263"/>
        <v>2.892007121753998</v>
      </c>
      <c r="CG98">
        <f t="shared" si="269"/>
        <v>0.50057402705841503</v>
      </c>
      <c r="CK98" t="str">
        <f t="shared" si="292"/>
        <v>Cluster 2</v>
      </c>
      <c r="CL98" t="str">
        <f t="shared" si="264"/>
        <v>Price Only</v>
      </c>
      <c r="CM98" t="str">
        <f t="shared" si="273"/>
        <v>Price Only</v>
      </c>
      <c r="CN98" t="str">
        <f t="shared" si="265"/>
        <v/>
      </c>
    </row>
    <row r="99" spans="8:92">
      <c r="H99">
        <v>92</v>
      </c>
      <c r="I99">
        <v>6</v>
      </c>
      <c r="J99">
        <v>9</v>
      </c>
      <c r="K99">
        <v>11</v>
      </c>
      <c r="L99">
        <v>14</v>
      </c>
      <c r="M99">
        <v>17</v>
      </c>
      <c r="N99">
        <v>1</v>
      </c>
      <c r="O99">
        <v>2</v>
      </c>
      <c r="P99">
        <v>3</v>
      </c>
      <c r="Q99">
        <v>5</v>
      </c>
      <c r="R99">
        <v>8</v>
      </c>
      <c r="S99">
        <v>13</v>
      </c>
      <c r="T99">
        <v>16</v>
      </c>
      <c r="U99">
        <v>18</v>
      </c>
      <c r="V99">
        <v>19</v>
      </c>
      <c r="W99">
        <v>20</v>
      </c>
      <c r="X99">
        <v>4</v>
      </c>
      <c r="Y99">
        <v>7</v>
      </c>
      <c r="Z99">
        <v>10</v>
      </c>
      <c r="AA99">
        <v>12</v>
      </c>
      <c r="AB99">
        <v>15</v>
      </c>
      <c r="AD99">
        <f t="shared" ref="AD99:AH99" si="346">SUMIFS($I99:$AB99,$I$2:$AB$2,AD$7)</f>
        <v>24</v>
      </c>
      <c r="AE99">
        <f t="shared" si="346"/>
        <v>34</v>
      </c>
      <c r="AF99">
        <f t="shared" si="346"/>
        <v>42</v>
      </c>
      <c r="AG99">
        <f t="shared" si="346"/>
        <v>50</v>
      </c>
      <c r="AH99">
        <f t="shared" si="346"/>
        <v>60</v>
      </c>
      <c r="AI99">
        <f t="shared" si="312"/>
        <v>76</v>
      </c>
      <c r="AJ99">
        <f t="shared" si="312"/>
        <v>134</v>
      </c>
      <c r="AK99">
        <f t="shared" si="313"/>
        <v>67</v>
      </c>
      <c r="AL99">
        <f t="shared" si="313"/>
        <v>143</v>
      </c>
      <c r="AN99" s="67">
        <f t="shared" ref="AN99:AV99" si="347">((AD99-MIN($AD99:$AL99))/(MAX($AD99:$AL99)-MIN($AD99:$AL99)))</f>
        <v>0</v>
      </c>
      <c r="AO99" s="67">
        <f t="shared" si="347"/>
        <v>8.4033613445378158E-2</v>
      </c>
      <c r="AP99" s="67">
        <f t="shared" si="347"/>
        <v>0.15126050420168066</v>
      </c>
      <c r="AQ99" s="67">
        <f t="shared" si="347"/>
        <v>0.21848739495798319</v>
      </c>
      <c r="AR99" s="67">
        <f t="shared" si="347"/>
        <v>0.30252100840336132</v>
      </c>
      <c r="AS99" s="67">
        <f t="shared" si="347"/>
        <v>0.43697478991596639</v>
      </c>
      <c r="AT99" s="67">
        <f t="shared" si="347"/>
        <v>0.92436974789915971</v>
      </c>
      <c r="AU99" s="67">
        <f t="shared" si="347"/>
        <v>0.36134453781512604</v>
      </c>
      <c r="AV99" s="67">
        <f t="shared" si="347"/>
        <v>1</v>
      </c>
      <c r="AX99">
        <f t="shared" si="241"/>
        <v>0.30252100840336132</v>
      </c>
      <c r="AY99">
        <f t="shared" si="242"/>
        <v>0.48739495798319332</v>
      </c>
      <c r="AZ99">
        <f t="shared" si="243"/>
        <v>0.6386554621848739</v>
      </c>
      <c r="BB99">
        <f t="shared" ref="BB99:BD99" si="348">AX99/SUM($AX99:$AZ99)</f>
        <v>0.21176470588235291</v>
      </c>
      <c r="BC99">
        <f t="shared" si="348"/>
        <v>0.3411764705882353</v>
      </c>
      <c r="BD99">
        <f t="shared" si="348"/>
        <v>0.44705882352941173</v>
      </c>
      <c r="BF99" t="str">
        <f t="shared" si="245"/>
        <v>Theme</v>
      </c>
      <c r="BG99" t="str">
        <f t="shared" si="246"/>
        <v>B</v>
      </c>
      <c r="BI99">
        <f t="shared" si="247"/>
        <v>3.5</v>
      </c>
      <c r="BJ99" t="str">
        <f t="shared" si="248"/>
        <v>Super Bowl</v>
      </c>
      <c r="BK99" t="str">
        <f t="shared" si="249"/>
        <v>B</v>
      </c>
      <c r="BS99">
        <f t="shared" si="253"/>
        <v>0.30252100840336132</v>
      </c>
      <c r="BT99">
        <f t="shared" si="254"/>
        <v>-0.48739495798319332</v>
      </c>
      <c r="BU99">
        <f t="shared" si="255"/>
        <v>0.6386554621848739</v>
      </c>
      <c r="BW99">
        <f t="shared" si="256"/>
        <v>-0.88658687390872204</v>
      </c>
      <c r="BX99">
        <f t="shared" si="257"/>
        <v>-1.0577591987136883</v>
      </c>
      <c r="BY99">
        <f t="shared" si="258"/>
        <v>1.3324785596931055</v>
      </c>
      <c r="CB99">
        <f t="shared" si="259"/>
        <v>0.36313398647236633</v>
      </c>
      <c r="CC99">
        <f t="shared" si="260"/>
        <v>3.2452684033404569</v>
      </c>
      <c r="CD99">
        <f t="shared" si="261"/>
        <v>3.3036117124536943</v>
      </c>
      <c r="CE99">
        <f t="shared" si="262"/>
        <v>2.4125702752198896</v>
      </c>
      <c r="CF99">
        <f t="shared" si="263"/>
        <v>2.2229233553675778</v>
      </c>
      <c r="CG99">
        <f t="shared" si="269"/>
        <v>0.36313398647236633</v>
      </c>
      <c r="CK99" t="str">
        <f t="shared" si="292"/>
        <v>Cluster 1</v>
      </c>
      <c r="CL99" t="str">
        <f t="shared" si="264"/>
        <v>B Super Bowl</v>
      </c>
      <c r="CM99" t="str">
        <f t="shared" si="273"/>
        <v>Super Bowl B</v>
      </c>
      <c r="CN99" t="str">
        <f t="shared" si="265"/>
        <v>Diff</v>
      </c>
    </row>
    <row r="100" spans="8:92">
      <c r="H100">
        <v>93</v>
      </c>
      <c r="I100">
        <v>4</v>
      </c>
      <c r="J100">
        <v>8</v>
      </c>
      <c r="K100">
        <v>12</v>
      </c>
      <c r="L100">
        <v>16</v>
      </c>
      <c r="M100">
        <v>20</v>
      </c>
      <c r="N100">
        <v>3</v>
      </c>
      <c r="O100">
        <v>7</v>
      </c>
      <c r="P100">
        <v>11</v>
      </c>
      <c r="Q100">
        <v>15</v>
      </c>
      <c r="R100">
        <v>19</v>
      </c>
      <c r="S100">
        <v>2</v>
      </c>
      <c r="T100">
        <v>6</v>
      </c>
      <c r="U100">
        <v>10</v>
      </c>
      <c r="V100">
        <v>14</v>
      </c>
      <c r="W100">
        <v>18</v>
      </c>
      <c r="X100">
        <v>1</v>
      </c>
      <c r="Y100">
        <v>5</v>
      </c>
      <c r="Z100">
        <v>9</v>
      </c>
      <c r="AA100">
        <v>13</v>
      </c>
      <c r="AB100">
        <v>17</v>
      </c>
      <c r="AD100">
        <f t="shared" ref="AD100:AH100" si="349">SUMIFS($I100:$AB100,$I$2:$AB$2,AD$7)</f>
        <v>10</v>
      </c>
      <c r="AE100">
        <f t="shared" si="349"/>
        <v>26</v>
      </c>
      <c r="AF100">
        <f t="shared" si="349"/>
        <v>42</v>
      </c>
      <c r="AG100">
        <f t="shared" si="349"/>
        <v>58</v>
      </c>
      <c r="AH100">
        <f t="shared" si="349"/>
        <v>74</v>
      </c>
      <c r="AI100">
        <f t="shared" si="312"/>
        <v>115</v>
      </c>
      <c r="AJ100">
        <f t="shared" si="312"/>
        <v>95</v>
      </c>
      <c r="AK100">
        <f t="shared" si="313"/>
        <v>100</v>
      </c>
      <c r="AL100">
        <f t="shared" si="313"/>
        <v>110</v>
      </c>
      <c r="AN100" s="67">
        <f t="shared" ref="AN100:AV100" si="350">((AD100-MIN($AD100:$AL100))/(MAX($AD100:$AL100)-MIN($AD100:$AL100)))</f>
        <v>0</v>
      </c>
      <c r="AO100" s="67">
        <f t="shared" si="350"/>
        <v>0.15238095238095239</v>
      </c>
      <c r="AP100" s="67">
        <f t="shared" si="350"/>
        <v>0.30476190476190479</v>
      </c>
      <c r="AQ100" s="67">
        <f t="shared" si="350"/>
        <v>0.45714285714285713</v>
      </c>
      <c r="AR100" s="67">
        <f t="shared" si="350"/>
        <v>0.60952380952380958</v>
      </c>
      <c r="AS100" s="67">
        <f t="shared" si="350"/>
        <v>1</v>
      </c>
      <c r="AT100" s="67">
        <f t="shared" si="350"/>
        <v>0.80952380952380953</v>
      </c>
      <c r="AU100" s="67">
        <f t="shared" si="350"/>
        <v>0.8571428571428571</v>
      </c>
      <c r="AV100" s="67">
        <f t="shared" si="350"/>
        <v>0.95238095238095233</v>
      </c>
      <c r="AX100">
        <f t="shared" si="241"/>
        <v>0.60952380952380958</v>
      </c>
      <c r="AY100">
        <f t="shared" si="242"/>
        <v>0.19047619047619047</v>
      </c>
      <c r="AZ100">
        <f t="shared" si="243"/>
        <v>9.5238095238095233E-2</v>
      </c>
      <c r="BB100">
        <f t="shared" ref="BB100:BD100" si="351">AX100/SUM($AX100:$AZ100)</f>
        <v>0.68085106382978722</v>
      </c>
      <c r="BC100">
        <f t="shared" si="351"/>
        <v>0.21276595744680848</v>
      </c>
      <c r="BD100">
        <f t="shared" si="351"/>
        <v>0.10638297872340424</v>
      </c>
      <c r="BF100" t="str">
        <f t="shared" si="245"/>
        <v>Price</v>
      </c>
      <c r="BG100">
        <f t="shared" si="246"/>
        <v>3.5</v>
      </c>
      <c r="BI100">
        <f t="shared" si="247"/>
        <v>3.5</v>
      </c>
      <c r="BJ100" t="str">
        <f t="shared" si="248"/>
        <v>Tennis</v>
      </c>
      <c r="BK100" t="str">
        <f t="shared" si="249"/>
        <v>B</v>
      </c>
      <c r="BS100">
        <f t="shared" si="253"/>
        <v>0.60952380952380958</v>
      </c>
      <c r="BT100">
        <f t="shared" si="254"/>
        <v>0.19047619047619047</v>
      </c>
      <c r="BU100">
        <f t="shared" si="255"/>
        <v>9.5238095238095233E-2</v>
      </c>
      <c r="BW100">
        <f t="shared" si="256"/>
        <v>1.8178197010872597</v>
      </c>
      <c r="BX100">
        <f t="shared" si="257"/>
        <v>0.42444971256994318</v>
      </c>
      <c r="BY100">
        <f t="shared" si="258"/>
        <v>0.18439118019161094</v>
      </c>
      <c r="CB100">
        <f t="shared" si="259"/>
        <v>3.0387556747186748</v>
      </c>
      <c r="CC100">
        <f t="shared" si="260"/>
        <v>0.26127112978457395</v>
      </c>
      <c r="CD100">
        <f t="shared" si="261"/>
        <v>2.7540294742593474</v>
      </c>
      <c r="CE100">
        <f t="shared" si="262"/>
        <v>3.0528355709459638</v>
      </c>
      <c r="CF100">
        <f t="shared" si="263"/>
        <v>2.6111766219359862</v>
      </c>
      <c r="CG100">
        <f t="shared" si="269"/>
        <v>0.26127112978457395</v>
      </c>
      <c r="CK100" t="str">
        <f t="shared" si="292"/>
        <v>Cluster 2</v>
      </c>
      <c r="CL100" t="str">
        <f t="shared" si="264"/>
        <v>Price Only</v>
      </c>
      <c r="CM100" t="str">
        <f t="shared" si="273"/>
        <v>Price Only</v>
      </c>
      <c r="CN100" t="str">
        <f t="shared" si="265"/>
        <v/>
      </c>
    </row>
    <row r="101" spans="8:92">
      <c r="H101">
        <v>94</v>
      </c>
      <c r="I101">
        <v>1</v>
      </c>
      <c r="J101">
        <v>2</v>
      </c>
      <c r="K101">
        <v>5</v>
      </c>
      <c r="L101">
        <v>8</v>
      </c>
      <c r="M101">
        <v>12</v>
      </c>
      <c r="N101">
        <v>4</v>
      </c>
      <c r="O101">
        <v>7</v>
      </c>
      <c r="P101">
        <v>11</v>
      </c>
      <c r="Q101">
        <v>15</v>
      </c>
      <c r="R101">
        <v>18</v>
      </c>
      <c r="S101">
        <v>4</v>
      </c>
      <c r="T101">
        <v>7</v>
      </c>
      <c r="U101">
        <v>11</v>
      </c>
      <c r="V101">
        <v>15</v>
      </c>
      <c r="W101">
        <v>18</v>
      </c>
      <c r="X101">
        <v>9</v>
      </c>
      <c r="Y101">
        <v>13</v>
      </c>
      <c r="Z101">
        <v>16</v>
      </c>
      <c r="AA101">
        <v>19</v>
      </c>
      <c r="AB101">
        <v>20</v>
      </c>
      <c r="AD101">
        <f t="shared" ref="AD101:AH101" si="352">SUMIFS($I101:$AB101,$I$2:$AB$2,AD$7)</f>
        <v>18</v>
      </c>
      <c r="AE101">
        <f t="shared" si="352"/>
        <v>29</v>
      </c>
      <c r="AF101">
        <f t="shared" si="352"/>
        <v>43</v>
      </c>
      <c r="AG101">
        <f t="shared" si="352"/>
        <v>57</v>
      </c>
      <c r="AH101">
        <f t="shared" si="352"/>
        <v>68</v>
      </c>
      <c r="AI101">
        <f t="shared" si="312"/>
        <v>83</v>
      </c>
      <c r="AJ101">
        <f t="shared" si="312"/>
        <v>132</v>
      </c>
      <c r="AK101">
        <f t="shared" si="313"/>
        <v>132</v>
      </c>
      <c r="AL101">
        <f t="shared" si="313"/>
        <v>83</v>
      </c>
      <c r="AN101" s="67">
        <f t="shared" ref="AN101:AV101" si="353">((AD101-MIN($AD101:$AL101))/(MAX($AD101:$AL101)-MIN($AD101:$AL101)))</f>
        <v>0</v>
      </c>
      <c r="AO101" s="67">
        <f t="shared" si="353"/>
        <v>9.6491228070175433E-2</v>
      </c>
      <c r="AP101" s="67">
        <f t="shared" si="353"/>
        <v>0.21929824561403508</v>
      </c>
      <c r="AQ101" s="67">
        <f t="shared" si="353"/>
        <v>0.34210526315789475</v>
      </c>
      <c r="AR101" s="67">
        <f t="shared" si="353"/>
        <v>0.43859649122807015</v>
      </c>
      <c r="AS101" s="67">
        <f t="shared" si="353"/>
        <v>0.57017543859649122</v>
      </c>
      <c r="AT101" s="67">
        <f t="shared" si="353"/>
        <v>1</v>
      </c>
      <c r="AU101" s="67">
        <f t="shared" si="353"/>
        <v>1</v>
      </c>
      <c r="AV101" s="67">
        <f t="shared" si="353"/>
        <v>0.57017543859649122</v>
      </c>
      <c r="AX101">
        <f t="shared" si="241"/>
        <v>0.43859649122807015</v>
      </c>
      <c r="AY101">
        <f t="shared" si="242"/>
        <v>0.42982456140350878</v>
      </c>
      <c r="AZ101">
        <f t="shared" si="243"/>
        <v>0.42982456140350878</v>
      </c>
      <c r="BB101">
        <f t="shared" ref="BB101:BD101" si="354">AX101/SUM($AX101:$AZ101)</f>
        <v>0.33783783783783783</v>
      </c>
      <c r="BC101">
        <f t="shared" si="354"/>
        <v>0.33108108108108109</v>
      </c>
      <c r="BD101">
        <f t="shared" si="354"/>
        <v>0.33108108108108109</v>
      </c>
      <c r="BF101" t="str">
        <f t="shared" si="245"/>
        <v>Price</v>
      </c>
      <c r="BG101">
        <f t="shared" si="246"/>
        <v>3.5</v>
      </c>
      <c r="BI101">
        <f t="shared" si="247"/>
        <v>3.5</v>
      </c>
      <c r="BJ101" t="str">
        <f t="shared" si="248"/>
        <v>Super Bowl</v>
      </c>
      <c r="BK101" t="str">
        <f t="shared" si="249"/>
        <v>A</v>
      </c>
      <c r="BS101">
        <f t="shared" si="253"/>
        <v>0.43859649122807015</v>
      </c>
      <c r="BT101">
        <f t="shared" si="254"/>
        <v>-0.42982456140350878</v>
      </c>
      <c r="BU101">
        <f t="shared" si="255"/>
        <v>-0.42982456140350878</v>
      </c>
      <c r="BW101">
        <f t="shared" si="256"/>
        <v>0.31211043147030715</v>
      </c>
      <c r="BX101">
        <f t="shared" si="257"/>
        <v>-0.93187781988457585</v>
      </c>
      <c r="BY101">
        <f t="shared" si="258"/>
        <v>-0.92491788168971667</v>
      </c>
      <c r="CB101">
        <f t="shared" si="259"/>
        <v>2.2442287892521495</v>
      </c>
      <c r="CC101">
        <f t="shared" si="260"/>
        <v>2.1059960989564952</v>
      </c>
      <c r="CD101">
        <f t="shared" si="261"/>
        <v>2.1470255389592867</v>
      </c>
      <c r="CE101">
        <f t="shared" si="262"/>
        <v>0.83357463045088398</v>
      </c>
      <c r="CF101">
        <f t="shared" si="263"/>
        <v>3.0178091685171933</v>
      </c>
      <c r="CG101">
        <f t="shared" si="269"/>
        <v>0.83357463045088398</v>
      </c>
      <c r="CK101" t="str">
        <f t="shared" si="292"/>
        <v>Cluster 4</v>
      </c>
      <c r="CL101" t="str">
        <f t="shared" si="264"/>
        <v>A Super Bowl</v>
      </c>
      <c r="CM101" t="str">
        <f t="shared" si="273"/>
        <v>Price Only</v>
      </c>
      <c r="CN101" t="str">
        <f t="shared" si="265"/>
        <v>Diff</v>
      </c>
    </row>
    <row r="102" spans="8:92">
      <c r="H102">
        <v>95</v>
      </c>
      <c r="I102">
        <v>3</v>
      </c>
      <c r="J102">
        <v>6</v>
      </c>
      <c r="K102">
        <v>9</v>
      </c>
      <c r="L102">
        <v>13</v>
      </c>
      <c r="M102">
        <v>16</v>
      </c>
      <c r="N102">
        <v>11</v>
      </c>
      <c r="O102">
        <v>14</v>
      </c>
      <c r="P102">
        <v>17</v>
      </c>
      <c r="Q102">
        <v>19</v>
      </c>
      <c r="R102">
        <v>20</v>
      </c>
      <c r="S102">
        <v>1</v>
      </c>
      <c r="T102">
        <v>2</v>
      </c>
      <c r="U102">
        <v>4</v>
      </c>
      <c r="V102">
        <v>7</v>
      </c>
      <c r="W102">
        <v>11</v>
      </c>
      <c r="X102">
        <v>5</v>
      </c>
      <c r="Y102">
        <v>8</v>
      </c>
      <c r="Z102">
        <v>12</v>
      </c>
      <c r="AA102">
        <v>15</v>
      </c>
      <c r="AB102">
        <v>18</v>
      </c>
      <c r="AD102">
        <f t="shared" ref="AD102:AH102" si="355">SUMIFS($I102:$AB102,$I$2:$AB$2,AD$7)</f>
        <v>20</v>
      </c>
      <c r="AE102">
        <f t="shared" si="355"/>
        <v>30</v>
      </c>
      <c r="AF102">
        <f t="shared" si="355"/>
        <v>42</v>
      </c>
      <c r="AG102">
        <f t="shared" si="355"/>
        <v>54</v>
      </c>
      <c r="AH102">
        <f t="shared" si="355"/>
        <v>65</v>
      </c>
      <c r="AI102">
        <f t="shared" si="312"/>
        <v>128</v>
      </c>
      <c r="AJ102">
        <f t="shared" si="312"/>
        <v>83</v>
      </c>
      <c r="AK102">
        <f t="shared" si="313"/>
        <v>139</v>
      </c>
      <c r="AL102">
        <f t="shared" si="313"/>
        <v>72</v>
      </c>
      <c r="AN102" s="67">
        <f t="shared" ref="AN102:AV102" si="356">((AD102-MIN($AD102:$AL102))/(MAX($AD102:$AL102)-MIN($AD102:$AL102)))</f>
        <v>0</v>
      </c>
      <c r="AO102" s="67">
        <f t="shared" si="356"/>
        <v>8.4033613445378158E-2</v>
      </c>
      <c r="AP102" s="67">
        <f t="shared" si="356"/>
        <v>0.18487394957983194</v>
      </c>
      <c r="AQ102" s="67">
        <f t="shared" si="356"/>
        <v>0.2857142857142857</v>
      </c>
      <c r="AR102" s="67">
        <f t="shared" si="356"/>
        <v>0.37815126050420167</v>
      </c>
      <c r="AS102" s="67">
        <f t="shared" si="356"/>
        <v>0.90756302521008403</v>
      </c>
      <c r="AT102" s="67">
        <f t="shared" si="356"/>
        <v>0.52941176470588236</v>
      </c>
      <c r="AU102" s="67">
        <f t="shared" si="356"/>
        <v>1</v>
      </c>
      <c r="AV102" s="67">
        <f t="shared" si="356"/>
        <v>0.43697478991596639</v>
      </c>
      <c r="AX102">
        <f t="shared" si="241"/>
        <v>0.37815126050420167</v>
      </c>
      <c r="AY102">
        <f t="shared" si="242"/>
        <v>0.37815126050420167</v>
      </c>
      <c r="AZ102">
        <f t="shared" si="243"/>
        <v>0.56302521008403361</v>
      </c>
      <c r="BB102">
        <f t="shared" ref="BB102:BD102" si="357">AX102/SUM($AX102:$AZ102)</f>
        <v>0.28662420382165604</v>
      </c>
      <c r="BC102">
        <f t="shared" si="357"/>
        <v>0.28662420382165604</v>
      </c>
      <c r="BD102">
        <f t="shared" si="357"/>
        <v>0.42675159235668791</v>
      </c>
      <c r="BF102" t="str">
        <f t="shared" si="245"/>
        <v>Theme</v>
      </c>
      <c r="BG102" t="str">
        <f t="shared" si="246"/>
        <v>A</v>
      </c>
      <c r="BI102">
        <f t="shared" si="247"/>
        <v>3.5</v>
      </c>
      <c r="BJ102" t="str">
        <f t="shared" si="248"/>
        <v>Tennis</v>
      </c>
      <c r="BK102" t="str">
        <f t="shared" si="249"/>
        <v>A</v>
      </c>
      <c r="BS102">
        <f t="shared" si="253"/>
        <v>0.37815126050420167</v>
      </c>
      <c r="BT102">
        <f t="shared" si="254"/>
        <v>0.37815126050420167</v>
      </c>
      <c r="BU102">
        <f t="shared" si="255"/>
        <v>-0.56302521008403361</v>
      </c>
      <c r="BW102">
        <f t="shared" si="256"/>
        <v>-0.22035532714876313</v>
      </c>
      <c r="BX102">
        <f t="shared" si="257"/>
        <v>0.83481333676830383</v>
      </c>
      <c r="BY102">
        <f t="shared" si="258"/>
        <v>-1.2063332228127772</v>
      </c>
      <c r="CB102">
        <f t="shared" si="259"/>
        <v>3.0708147734143574</v>
      </c>
      <c r="CC102">
        <f t="shared" si="260"/>
        <v>2.4461866881527858</v>
      </c>
      <c r="CD102">
        <f t="shared" si="261"/>
        <v>0.34063594772865885</v>
      </c>
      <c r="CE102">
        <f t="shared" si="262"/>
        <v>2.0286244119552257</v>
      </c>
      <c r="CF102">
        <f t="shared" si="263"/>
        <v>2.3658416651656955</v>
      </c>
      <c r="CG102">
        <f t="shared" si="269"/>
        <v>0.34063594772865885</v>
      </c>
      <c r="CK102" t="str">
        <f t="shared" si="292"/>
        <v>Cluster 3</v>
      </c>
      <c r="CL102" t="str">
        <f t="shared" si="264"/>
        <v>A Tennis</v>
      </c>
      <c r="CM102" t="str">
        <f t="shared" si="273"/>
        <v>Tennis A</v>
      </c>
      <c r="CN102" t="str">
        <f t="shared" si="265"/>
        <v>Diff</v>
      </c>
    </row>
    <row r="103" spans="8:92">
      <c r="H103">
        <v>96</v>
      </c>
      <c r="I103">
        <v>5</v>
      </c>
      <c r="J103">
        <v>8</v>
      </c>
      <c r="K103">
        <v>12</v>
      </c>
      <c r="L103">
        <v>15</v>
      </c>
      <c r="M103">
        <v>18</v>
      </c>
      <c r="N103">
        <v>1</v>
      </c>
      <c r="O103">
        <v>2</v>
      </c>
      <c r="P103">
        <v>4</v>
      </c>
      <c r="Q103">
        <v>7</v>
      </c>
      <c r="R103">
        <v>10</v>
      </c>
      <c r="S103">
        <v>11</v>
      </c>
      <c r="T103">
        <v>14</v>
      </c>
      <c r="U103">
        <v>17</v>
      </c>
      <c r="V103">
        <v>19</v>
      </c>
      <c r="W103">
        <v>20</v>
      </c>
      <c r="X103">
        <v>3</v>
      </c>
      <c r="Y103">
        <v>6</v>
      </c>
      <c r="Z103">
        <v>9</v>
      </c>
      <c r="AA103">
        <v>13</v>
      </c>
      <c r="AB103">
        <v>16</v>
      </c>
      <c r="AD103">
        <f t="shared" ref="AD103:AH103" si="358">SUMIFS($I103:$AB103,$I$2:$AB$2,AD$7)</f>
        <v>20</v>
      </c>
      <c r="AE103">
        <f t="shared" si="358"/>
        <v>30</v>
      </c>
      <c r="AF103">
        <f t="shared" si="358"/>
        <v>42</v>
      </c>
      <c r="AG103">
        <f t="shared" si="358"/>
        <v>54</v>
      </c>
      <c r="AH103">
        <f t="shared" si="358"/>
        <v>64</v>
      </c>
      <c r="AI103">
        <f t="shared" si="312"/>
        <v>82</v>
      </c>
      <c r="AJ103">
        <f t="shared" si="312"/>
        <v>128</v>
      </c>
      <c r="AK103">
        <f t="shared" si="313"/>
        <v>71</v>
      </c>
      <c r="AL103">
        <f t="shared" si="313"/>
        <v>139</v>
      </c>
      <c r="AN103" s="67">
        <f t="shared" ref="AN103:AV103" si="359">((AD103-MIN($AD103:$AL103))/(MAX($AD103:$AL103)-MIN($AD103:$AL103)))</f>
        <v>0</v>
      </c>
      <c r="AO103" s="67">
        <f t="shared" si="359"/>
        <v>8.4033613445378158E-2</v>
      </c>
      <c r="AP103" s="67">
        <f t="shared" si="359"/>
        <v>0.18487394957983194</v>
      </c>
      <c r="AQ103" s="67">
        <f t="shared" si="359"/>
        <v>0.2857142857142857</v>
      </c>
      <c r="AR103" s="67">
        <f t="shared" si="359"/>
        <v>0.36974789915966388</v>
      </c>
      <c r="AS103" s="67">
        <f t="shared" si="359"/>
        <v>0.52100840336134457</v>
      </c>
      <c r="AT103" s="67">
        <f t="shared" si="359"/>
        <v>0.90756302521008403</v>
      </c>
      <c r="AU103" s="67">
        <f t="shared" si="359"/>
        <v>0.42857142857142855</v>
      </c>
      <c r="AV103" s="67">
        <f t="shared" si="359"/>
        <v>1</v>
      </c>
      <c r="AX103">
        <f t="shared" si="241"/>
        <v>0.36974789915966388</v>
      </c>
      <c r="AY103">
        <f t="shared" si="242"/>
        <v>0.38655462184873945</v>
      </c>
      <c r="AZ103">
        <f t="shared" si="243"/>
        <v>0.5714285714285714</v>
      </c>
      <c r="BB103">
        <f t="shared" ref="BB103:BD103" si="360">AX103/SUM($AX103:$AZ103)</f>
        <v>0.27848101265822789</v>
      </c>
      <c r="BC103">
        <f t="shared" si="360"/>
        <v>0.29113924050632911</v>
      </c>
      <c r="BD103">
        <f t="shared" si="360"/>
        <v>0.43037974683544306</v>
      </c>
      <c r="BF103" t="str">
        <f t="shared" si="245"/>
        <v>Theme</v>
      </c>
      <c r="BG103" t="str">
        <f t="shared" si="246"/>
        <v>B</v>
      </c>
      <c r="BI103">
        <f t="shared" si="247"/>
        <v>3.5</v>
      </c>
      <c r="BJ103" t="str">
        <f t="shared" si="248"/>
        <v>Super Bowl</v>
      </c>
      <c r="BK103" t="str">
        <f t="shared" si="249"/>
        <v>B</v>
      </c>
      <c r="BS103">
        <f t="shared" si="253"/>
        <v>0.36974789915966388</v>
      </c>
      <c r="BT103">
        <f t="shared" si="254"/>
        <v>-0.38655462184873945</v>
      </c>
      <c r="BU103">
        <f t="shared" si="255"/>
        <v>0.5714285714285714</v>
      </c>
      <c r="BW103">
        <f t="shared" si="256"/>
        <v>-0.29438105456653607</v>
      </c>
      <c r="BX103">
        <f t="shared" si="257"/>
        <v>-0.83726531108471813</v>
      </c>
      <c r="BY103">
        <f t="shared" si="258"/>
        <v>1.190447131301168</v>
      </c>
      <c r="CB103">
        <f t="shared" si="259"/>
        <v>0.45197455046105872</v>
      </c>
      <c r="CC103">
        <f t="shared" si="260"/>
        <v>2.6151533698084428</v>
      </c>
      <c r="CD103">
        <f t="shared" si="261"/>
        <v>3.0366509077521306</v>
      </c>
      <c r="CE103">
        <f t="shared" si="262"/>
        <v>2.2651701873409706</v>
      </c>
      <c r="CF103">
        <f t="shared" si="263"/>
        <v>1.9749842512132307</v>
      </c>
      <c r="CG103">
        <f t="shared" si="269"/>
        <v>0.45197455046105872</v>
      </c>
      <c r="CK103" t="str">
        <f t="shared" si="292"/>
        <v>Cluster 1</v>
      </c>
      <c r="CL103" t="str">
        <f t="shared" si="264"/>
        <v>B Super Bowl</v>
      </c>
      <c r="CM103" t="str">
        <f t="shared" si="273"/>
        <v>Super Bowl B</v>
      </c>
      <c r="CN103" t="str">
        <f t="shared" si="265"/>
        <v>Diff</v>
      </c>
    </row>
    <row r="104" spans="8:92">
      <c r="H104">
        <v>97</v>
      </c>
      <c r="I104">
        <v>4</v>
      </c>
      <c r="J104">
        <v>7</v>
      </c>
      <c r="K104">
        <v>10</v>
      </c>
      <c r="L104">
        <v>12</v>
      </c>
      <c r="M104">
        <v>15</v>
      </c>
      <c r="N104">
        <v>13</v>
      </c>
      <c r="O104">
        <v>16</v>
      </c>
      <c r="P104">
        <v>18</v>
      </c>
      <c r="Q104">
        <v>19</v>
      </c>
      <c r="R104">
        <v>20</v>
      </c>
      <c r="S104">
        <v>1</v>
      </c>
      <c r="T104">
        <v>2</v>
      </c>
      <c r="U104">
        <v>3</v>
      </c>
      <c r="V104">
        <v>5</v>
      </c>
      <c r="W104">
        <v>8</v>
      </c>
      <c r="X104">
        <v>6</v>
      </c>
      <c r="Y104">
        <v>9</v>
      </c>
      <c r="Z104">
        <v>11</v>
      </c>
      <c r="AA104">
        <v>14</v>
      </c>
      <c r="AB104">
        <v>17</v>
      </c>
      <c r="AD104">
        <f t="shared" ref="AD104:AH104" si="361">SUMIFS($I104:$AB104,$I$2:$AB$2,AD$7)</f>
        <v>24</v>
      </c>
      <c r="AE104">
        <f t="shared" si="361"/>
        <v>34</v>
      </c>
      <c r="AF104">
        <f t="shared" si="361"/>
        <v>42</v>
      </c>
      <c r="AG104">
        <f t="shared" si="361"/>
        <v>50</v>
      </c>
      <c r="AH104">
        <f t="shared" si="361"/>
        <v>60</v>
      </c>
      <c r="AI104">
        <f t="shared" si="312"/>
        <v>134</v>
      </c>
      <c r="AJ104">
        <f t="shared" si="312"/>
        <v>76</v>
      </c>
      <c r="AK104">
        <f t="shared" si="313"/>
        <v>143</v>
      </c>
      <c r="AL104">
        <f t="shared" si="313"/>
        <v>67</v>
      </c>
      <c r="AN104" s="67">
        <f t="shared" ref="AN104:AV104" si="362">((AD104-MIN($AD104:$AL104))/(MAX($AD104:$AL104)-MIN($AD104:$AL104)))</f>
        <v>0</v>
      </c>
      <c r="AO104" s="67">
        <f t="shared" si="362"/>
        <v>8.4033613445378158E-2</v>
      </c>
      <c r="AP104" s="67">
        <f t="shared" si="362"/>
        <v>0.15126050420168066</v>
      </c>
      <c r="AQ104" s="67">
        <f t="shared" si="362"/>
        <v>0.21848739495798319</v>
      </c>
      <c r="AR104" s="67">
        <f t="shared" si="362"/>
        <v>0.30252100840336132</v>
      </c>
      <c r="AS104" s="67">
        <f t="shared" si="362"/>
        <v>0.92436974789915971</v>
      </c>
      <c r="AT104" s="67">
        <f t="shared" si="362"/>
        <v>0.43697478991596639</v>
      </c>
      <c r="AU104" s="67">
        <f t="shared" si="362"/>
        <v>1</v>
      </c>
      <c r="AV104" s="67">
        <f t="shared" si="362"/>
        <v>0.36134453781512604</v>
      </c>
      <c r="AX104">
        <f t="shared" si="241"/>
        <v>0.30252100840336132</v>
      </c>
      <c r="AY104">
        <f t="shared" si="242"/>
        <v>0.48739495798319332</v>
      </c>
      <c r="AZ104">
        <f t="shared" si="243"/>
        <v>0.6386554621848739</v>
      </c>
      <c r="BB104">
        <f t="shared" ref="BB104:BD104" si="363">AX104/SUM($AX104:$AZ104)</f>
        <v>0.21176470588235291</v>
      </c>
      <c r="BC104">
        <f t="shared" si="363"/>
        <v>0.3411764705882353</v>
      </c>
      <c r="BD104">
        <f t="shared" si="363"/>
        <v>0.44705882352941173</v>
      </c>
      <c r="BF104" t="str">
        <f t="shared" si="245"/>
        <v>Theme</v>
      </c>
      <c r="BG104" t="str">
        <f t="shared" si="246"/>
        <v>A</v>
      </c>
      <c r="BI104">
        <f t="shared" si="247"/>
        <v>3.5</v>
      </c>
      <c r="BJ104" t="str">
        <f t="shared" si="248"/>
        <v>Tennis</v>
      </c>
      <c r="BK104" t="str">
        <f t="shared" si="249"/>
        <v>A</v>
      </c>
      <c r="BS104">
        <f t="shared" si="253"/>
        <v>0.30252100840336132</v>
      </c>
      <c r="BT104">
        <f t="shared" si="254"/>
        <v>0.48739495798319332</v>
      </c>
      <c r="BU104">
        <f t="shared" si="255"/>
        <v>-0.6386554621848739</v>
      </c>
      <c r="BW104">
        <f t="shared" si="256"/>
        <v>-0.88658687390872204</v>
      </c>
      <c r="BX104">
        <f t="shared" si="257"/>
        <v>1.0736817150330213</v>
      </c>
      <c r="BY104">
        <f t="shared" si="258"/>
        <v>-1.3661185797537068</v>
      </c>
      <c r="CB104">
        <f t="shared" si="259"/>
        <v>3.3340361205485207</v>
      </c>
      <c r="CC104">
        <f t="shared" si="260"/>
        <v>3.1449506680952926</v>
      </c>
      <c r="CD104">
        <f t="shared" si="261"/>
        <v>0.4370161757631229</v>
      </c>
      <c r="CE104">
        <f t="shared" si="262"/>
        <v>2.3041701716870109</v>
      </c>
      <c r="CF104">
        <f t="shared" si="263"/>
        <v>2.5170730746365857</v>
      </c>
      <c r="CG104">
        <f t="shared" si="269"/>
        <v>0.4370161757631229</v>
      </c>
      <c r="CK104" t="str">
        <f t="shared" si="292"/>
        <v>Cluster 3</v>
      </c>
      <c r="CL104" t="str">
        <f t="shared" si="264"/>
        <v>A Tennis</v>
      </c>
      <c r="CM104" t="str">
        <f t="shared" si="273"/>
        <v>Tennis A</v>
      </c>
      <c r="CN104" t="str">
        <f t="shared" si="265"/>
        <v>Diff</v>
      </c>
    </row>
    <row r="105" spans="8:92">
      <c r="H105">
        <v>98</v>
      </c>
      <c r="I105">
        <v>4</v>
      </c>
      <c r="J105">
        <v>7</v>
      </c>
      <c r="K105">
        <v>10</v>
      </c>
      <c r="L105">
        <v>13</v>
      </c>
      <c r="M105">
        <v>16</v>
      </c>
      <c r="N105">
        <v>1</v>
      </c>
      <c r="O105">
        <v>2</v>
      </c>
      <c r="P105">
        <v>3</v>
      </c>
      <c r="Q105">
        <v>6</v>
      </c>
      <c r="R105">
        <v>9</v>
      </c>
      <c r="S105">
        <v>12</v>
      </c>
      <c r="T105">
        <v>15</v>
      </c>
      <c r="U105">
        <v>18</v>
      </c>
      <c r="V105">
        <v>19</v>
      </c>
      <c r="W105">
        <v>20</v>
      </c>
      <c r="X105">
        <v>5</v>
      </c>
      <c r="Y105">
        <v>8</v>
      </c>
      <c r="Z105">
        <v>11</v>
      </c>
      <c r="AA105">
        <v>14</v>
      </c>
      <c r="AB105">
        <v>17</v>
      </c>
      <c r="AD105">
        <f t="shared" ref="AD105:AH105" si="364">SUMIFS($I105:$AB105,$I$2:$AB$2,AD$7)</f>
        <v>22</v>
      </c>
      <c r="AE105">
        <f t="shared" si="364"/>
        <v>32</v>
      </c>
      <c r="AF105">
        <f t="shared" si="364"/>
        <v>42</v>
      </c>
      <c r="AG105">
        <f t="shared" si="364"/>
        <v>52</v>
      </c>
      <c r="AH105">
        <f t="shared" si="364"/>
        <v>62</v>
      </c>
      <c r="AI105">
        <f t="shared" si="312"/>
        <v>71</v>
      </c>
      <c r="AJ105">
        <f t="shared" si="312"/>
        <v>139</v>
      </c>
      <c r="AK105">
        <f t="shared" si="313"/>
        <v>76</v>
      </c>
      <c r="AL105">
        <f t="shared" si="313"/>
        <v>134</v>
      </c>
      <c r="AN105" s="67">
        <f t="shared" ref="AN105:AV105" si="365">((AD105-MIN($AD105:$AL105))/(MAX($AD105:$AL105)-MIN($AD105:$AL105)))</f>
        <v>0</v>
      </c>
      <c r="AO105" s="67">
        <f t="shared" si="365"/>
        <v>8.5470085470085472E-2</v>
      </c>
      <c r="AP105" s="67">
        <f t="shared" si="365"/>
        <v>0.17094017094017094</v>
      </c>
      <c r="AQ105" s="67">
        <f t="shared" si="365"/>
        <v>0.25641025641025639</v>
      </c>
      <c r="AR105" s="67">
        <f t="shared" si="365"/>
        <v>0.34188034188034189</v>
      </c>
      <c r="AS105" s="67">
        <f t="shared" si="365"/>
        <v>0.41880341880341881</v>
      </c>
      <c r="AT105" s="67">
        <f t="shared" si="365"/>
        <v>1</v>
      </c>
      <c r="AU105" s="67">
        <f t="shared" si="365"/>
        <v>0.46153846153846156</v>
      </c>
      <c r="AV105" s="67">
        <f t="shared" si="365"/>
        <v>0.95726495726495731</v>
      </c>
      <c r="AX105">
        <f t="shared" si="241"/>
        <v>0.34188034188034189</v>
      </c>
      <c r="AY105">
        <f t="shared" si="242"/>
        <v>0.58119658119658113</v>
      </c>
      <c r="AZ105">
        <f t="shared" si="243"/>
        <v>0.49572649572649574</v>
      </c>
      <c r="BB105">
        <f t="shared" ref="BB105:BD105" si="366">AX105/SUM($AX105:$AZ105)</f>
        <v>0.24096385542168677</v>
      </c>
      <c r="BC105">
        <f t="shared" si="366"/>
        <v>0.40963855421686746</v>
      </c>
      <c r="BD105">
        <f t="shared" si="366"/>
        <v>0.34939759036144585</v>
      </c>
      <c r="BF105" t="str">
        <f t="shared" si="245"/>
        <v xml:space="preserve">Brand </v>
      </c>
      <c r="BG105" t="str">
        <f t="shared" si="246"/>
        <v>Super Bowl</v>
      </c>
      <c r="BI105">
        <f t="shared" si="247"/>
        <v>3.5</v>
      </c>
      <c r="BJ105" t="str">
        <f t="shared" si="248"/>
        <v>Super Bowl</v>
      </c>
      <c r="BK105" t="str">
        <f t="shared" si="249"/>
        <v>B</v>
      </c>
      <c r="BS105">
        <f t="shared" ref="BS105:BS139" si="367">AR105-AN105</f>
        <v>0.34188034188034189</v>
      </c>
      <c r="BT105">
        <f t="shared" ref="BT105:BT139" si="368">AS105-AT105</f>
        <v>-0.58119658119658113</v>
      </c>
      <c r="BU105">
        <f t="shared" ref="BU105:BU139" si="369">AV105-AU105</f>
        <v>0.49572649572649574</v>
      </c>
      <c r="BW105">
        <f t="shared" ref="BW105:BW139" si="370">(BS105-$BW$4)/$BW$5</f>
        <v>-0.53986808224257044</v>
      </c>
      <c r="BX105">
        <f t="shared" ref="BX105:BX139" si="371">(BT105-$BX$4)/$BX$5</f>
        <v>-1.2628624873486129</v>
      </c>
      <c r="BY105">
        <f t="shared" ref="BY105:BY139" si="372">(BU105-$BY$4)/$BY$5</f>
        <v>1.0305100313811875</v>
      </c>
      <c r="CB105">
        <f t="shared" ref="CB105:CB139" si="373">(($CB$3-BW105)^2+($CB$4-BX105)^2+($CB$5-BY105)^2)^(1/2)</f>
        <v>0.15975498881570852</v>
      </c>
      <c r="CC105">
        <f t="shared" ref="CC105:CC139" si="374">(($CC$3-BW105)^2+($CC$4-BX105)^2+($CC$5-BY105)^2)^(1/2)</f>
        <v>2.9424715598535731</v>
      </c>
      <c r="CD105">
        <f t="shared" ref="CD105:CD139" si="375">(($CD$3-BW105)^2+($CD$4-BX105)^2+($CD$5-BY105)^2)^(1/2)</f>
        <v>3.1988061871439464</v>
      </c>
      <c r="CE105">
        <f t="shared" ref="CE105:CE139" si="376">(($CE$3-BW105)^2+($CE$4-BX105)^2+($CE$5-BY105)^2)^(1/2)</f>
        <v>2.0760067788456191</v>
      </c>
      <c r="CF105">
        <f t="shared" ref="CF105:CF139" si="377">(($CF$3-BW105)^2+($CF$4-BX105)^2+($CF$5-BY105)^2)^(1/2)</f>
        <v>2.3888360631646486</v>
      </c>
      <c r="CG105">
        <f t="shared" si="269"/>
        <v>0.15975498881570852</v>
      </c>
      <c r="CK105" t="str">
        <f t="shared" si="292"/>
        <v>Cluster 1</v>
      </c>
      <c r="CL105" t="str">
        <f t="shared" ref="CL105:CL139" si="378">INDEX($CB$2:$CF$2,,MATCH(CK105,$CB$7:$CF$7,0))</f>
        <v>B Super Bowl</v>
      </c>
      <c r="CM105" t="str">
        <f t="shared" si="273"/>
        <v>Super Bowl B</v>
      </c>
      <c r="CN105" t="str">
        <f t="shared" ref="CN105:CN139" si="379">IF(CL105=CM105,"","Diff")</f>
        <v>Diff</v>
      </c>
    </row>
    <row r="106" spans="8:92">
      <c r="H106">
        <v>99</v>
      </c>
      <c r="I106">
        <v>1</v>
      </c>
      <c r="J106">
        <v>2</v>
      </c>
      <c r="K106">
        <v>4</v>
      </c>
      <c r="L106">
        <v>7</v>
      </c>
      <c r="M106">
        <v>10</v>
      </c>
      <c r="N106">
        <v>6</v>
      </c>
      <c r="O106">
        <v>9</v>
      </c>
      <c r="P106">
        <v>13</v>
      </c>
      <c r="Q106">
        <v>16</v>
      </c>
      <c r="R106">
        <v>18</v>
      </c>
      <c r="S106">
        <v>3</v>
      </c>
      <c r="T106">
        <v>5</v>
      </c>
      <c r="U106">
        <v>8</v>
      </c>
      <c r="V106">
        <v>12</v>
      </c>
      <c r="W106">
        <v>15</v>
      </c>
      <c r="X106">
        <v>11</v>
      </c>
      <c r="Y106">
        <v>14</v>
      </c>
      <c r="Z106">
        <v>17</v>
      </c>
      <c r="AA106">
        <v>19</v>
      </c>
      <c r="AB106">
        <v>20</v>
      </c>
      <c r="AD106">
        <f t="shared" ref="AD106:AH106" si="380">SUMIFS($I106:$AB106,$I$2:$AB$2,AD$7)</f>
        <v>21</v>
      </c>
      <c r="AE106">
        <f t="shared" si="380"/>
        <v>30</v>
      </c>
      <c r="AF106">
        <f t="shared" si="380"/>
        <v>42</v>
      </c>
      <c r="AG106">
        <f t="shared" si="380"/>
        <v>54</v>
      </c>
      <c r="AH106">
        <f t="shared" si="380"/>
        <v>63</v>
      </c>
      <c r="AI106">
        <f t="shared" si="312"/>
        <v>86</v>
      </c>
      <c r="AJ106">
        <f t="shared" si="312"/>
        <v>124</v>
      </c>
      <c r="AK106">
        <f t="shared" si="313"/>
        <v>143</v>
      </c>
      <c r="AL106">
        <f t="shared" si="313"/>
        <v>67</v>
      </c>
      <c r="AN106" s="67">
        <f t="shared" ref="AN106:AV106" si="381">((AD106-MIN($AD106:$AL106))/(MAX($AD106:$AL106)-MIN($AD106:$AL106)))</f>
        <v>0</v>
      </c>
      <c r="AO106" s="67">
        <f t="shared" si="381"/>
        <v>7.3770491803278687E-2</v>
      </c>
      <c r="AP106" s="67">
        <f t="shared" si="381"/>
        <v>0.1721311475409836</v>
      </c>
      <c r="AQ106" s="67">
        <f t="shared" si="381"/>
        <v>0.27049180327868855</v>
      </c>
      <c r="AR106" s="67">
        <f t="shared" si="381"/>
        <v>0.34426229508196721</v>
      </c>
      <c r="AS106" s="67">
        <f t="shared" si="381"/>
        <v>0.53278688524590168</v>
      </c>
      <c r="AT106" s="67">
        <f t="shared" si="381"/>
        <v>0.84426229508196726</v>
      </c>
      <c r="AU106" s="67">
        <f t="shared" si="381"/>
        <v>1</v>
      </c>
      <c r="AV106" s="67">
        <f t="shared" si="381"/>
        <v>0.37704918032786883</v>
      </c>
      <c r="AX106">
        <f t="shared" si="241"/>
        <v>0.34426229508196721</v>
      </c>
      <c r="AY106">
        <f t="shared" si="242"/>
        <v>0.31147540983606559</v>
      </c>
      <c r="AZ106">
        <f t="shared" si="243"/>
        <v>0.62295081967213117</v>
      </c>
      <c r="BB106">
        <f t="shared" ref="BB106:BD106" si="382">AX106/SUM($AX106:$AZ106)</f>
        <v>0.26923076923076922</v>
      </c>
      <c r="BC106">
        <f t="shared" si="382"/>
        <v>0.24358974358974358</v>
      </c>
      <c r="BD106">
        <f t="shared" si="382"/>
        <v>0.48717948717948717</v>
      </c>
      <c r="BF106" t="str">
        <f t="shared" si="245"/>
        <v>Theme</v>
      </c>
      <c r="BG106" t="str">
        <f t="shared" si="246"/>
        <v>A</v>
      </c>
      <c r="BI106">
        <f t="shared" si="247"/>
        <v>3.5</v>
      </c>
      <c r="BJ106" t="str">
        <f t="shared" si="248"/>
        <v>Super Bowl</v>
      </c>
      <c r="BK106" t="str">
        <f t="shared" si="249"/>
        <v>A</v>
      </c>
      <c r="BS106">
        <f t="shared" si="367"/>
        <v>0.34426229508196721</v>
      </c>
      <c r="BT106">
        <f t="shared" si="368"/>
        <v>-0.31147540983606559</v>
      </c>
      <c r="BU106">
        <f t="shared" si="369"/>
        <v>-0.62295081967213117</v>
      </c>
      <c r="BW106">
        <f t="shared" si="370"/>
        <v>-0.51888530984994685</v>
      </c>
      <c r="BX106">
        <f t="shared" si="371"/>
        <v>-0.67309977999484305</v>
      </c>
      <c r="BY106">
        <f t="shared" si="372"/>
        <v>-1.3329391067277214</v>
      </c>
      <c r="CB106">
        <f t="shared" si="373"/>
        <v>2.4877080897774895</v>
      </c>
      <c r="CC106">
        <f t="shared" si="374"/>
        <v>2.8308409433057942</v>
      </c>
      <c r="CD106">
        <f t="shared" si="375"/>
        <v>1.7222743281667909</v>
      </c>
      <c r="CE106">
        <f t="shared" si="376"/>
        <v>0.57763743850739635</v>
      </c>
      <c r="CF106">
        <f t="shared" si="377"/>
        <v>3.0432987383269738</v>
      </c>
      <c r="CG106">
        <f t="shared" si="269"/>
        <v>0.57763743850739635</v>
      </c>
      <c r="CK106" t="str">
        <f t="shared" si="292"/>
        <v>Cluster 4</v>
      </c>
      <c r="CL106" t="str">
        <f t="shared" si="378"/>
        <v>A Super Bowl</v>
      </c>
      <c r="CM106" t="str">
        <f t="shared" si="273"/>
        <v>Super Bowl A</v>
      </c>
      <c r="CN106" t="str">
        <f t="shared" si="379"/>
        <v>Diff</v>
      </c>
    </row>
    <row r="107" spans="8:92">
      <c r="H107">
        <v>100</v>
      </c>
      <c r="I107">
        <v>4</v>
      </c>
      <c r="J107">
        <v>7</v>
      </c>
      <c r="K107">
        <v>10</v>
      </c>
      <c r="L107">
        <v>13</v>
      </c>
      <c r="M107">
        <v>16</v>
      </c>
      <c r="N107">
        <v>1</v>
      </c>
      <c r="O107">
        <v>2</v>
      </c>
      <c r="P107">
        <v>3</v>
      </c>
      <c r="Q107">
        <v>6</v>
      </c>
      <c r="R107">
        <v>9</v>
      </c>
      <c r="S107">
        <v>12</v>
      </c>
      <c r="T107">
        <v>15</v>
      </c>
      <c r="U107">
        <v>18</v>
      </c>
      <c r="V107">
        <v>19</v>
      </c>
      <c r="W107">
        <v>20</v>
      </c>
      <c r="X107">
        <v>5</v>
      </c>
      <c r="Y107">
        <v>8</v>
      </c>
      <c r="Z107">
        <v>11</v>
      </c>
      <c r="AA107">
        <v>14</v>
      </c>
      <c r="AB107">
        <v>17</v>
      </c>
      <c r="AD107">
        <f t="shared" ref="AD107:AH107" si="383">SUMIFS($I107:$AB107,$I$2:$AB$2,AD$7)</f>
        <v>22</v>
      </c>
      <c r="AE107">
        <f t="shared" si="383"/>
        <v>32</v>
      </c>
      <c r="AF107">
        <f t="shared" si="383"/>
        <v>42</v>
      </c>
      <c r="AG107">
        <f t="shared" si="383"/>
        <v>52</v>
      </c>
      <c r="AH107">
        <f t="shared" si="383"/>
        <v>62</v>
      </c>
      <c r="AI107">
        <f t="shared" si="312"/>
        <v>71</v>
      </c>
      <c r="AJ107">
        <f t="shared" si="312"/>
        <v>139</v>
      </c>
      <c r="AK107">
        <f t="shared" si="313"/>
        <v>76</v>
      </c>
      <c r="AL107">
        <f t="shared" si="313"/>
        <v>134</v>
      </c>
      <c r="AN107" s="67">
        <f t="shared" ref="AN107:AV107" si="384">((AD107-MIN($AD107:$AL107))/(MAX($AD107:$AL107)-MIN($AD107:$AL107)))</f>
        <v>0</v>
      </c>
      <c r="AO107" s="67">
        <f t="shared" si="384"/>
        <v>8.5470085470085472E-2</v>
      </c>
      <c r="AP107" s="67">
        <f t="shared" si="384"/>
        <v>0.17094017094017094</v>
      </c>
      <c r="AQ107" s="67">
        <f t="shared" si="384"/>
        <v>0.25641025641025639</v>
      </c>
      <c r="AR107" s="67">
        <f t="shared" si="384"/>
        <v>0.34188034188034189</v>
      </c>
      <c r="AS107" s="67">
        <f t="shared" si="384"/>
        <v>0.41880341880341881</v>
      </c>
      <c r="AT107" s="67">
        <f t="shared" si="384"/>
        <v>1</v>
      </c>
      <c r="AU107" s="67">
        <f t="shared" si="384"/>
        <v>0.46153846153846156</v>
      </c>
      <c r="AV107" s="67">
        <f t="shared" si="384"/>
        <v>0.95726495726495731</v>
      </c>
      <c r="AX107">
        <f t="shared" si="241"/>
        <v>0.34188034188034189</v>
      </c>
      <c r="AY107">
        <f t="shared" si="242"/>
        <v>0.58119658119658113</v>
      </c>
      <c r="AZ107">
        <f t="shared" si="243"/>
        <v>0.49572649572649574</v>
      </c>
      <c r="BB107">
        <f t="shared" ref="BB107:BD107" si="385">AX107/SUM($AX107:$AZ107)</f>
        <v>0.24096385542168677</v>
      </c>
      <c r="BC107">
        <f t="shared" si="385"/>
        <v>0.40963855421686746</v>
      </c>
      <c r="BD107">
        <f t="shared" si="385"/>
        <v>0.34939759036144585</v>
      </c>
      <c r="BF107" t="str">
        <f t="shared" si="245"/>
        <v xml:space="preserve">Brand </v>
      </c>
      <c r="BG107" t="str">
        <f t="shared" si="246"/>
        <v>Super Bowl</v>
      </c>
      <c r="BI107">
        <f t="shared" si="247"/>
        <v>3.5</v>
      </c>
      <c r="BJ107" t="str">
        <f t="shared" si="248"/>
        <v>Super Bowl</v>
      </c>
      <c r="BK107" t="str">
        <f t="shared" si="249"/>
        <v>B</v>
      </c>
      <c r="BS107">
        <f t="shared" si="367"/>
        <v>0.34188034188034189</v>
      </c>
      <c r="BT107">
        <f t="shared" si="368"/>
        <v>-0.58119658119658113</v>
      </c>
      <c r="BU107">
        <f t="shared" si="369"/>
        <v>0.49572649572649574</v>
      </c>
      <c r="BW107">
        <f t="shared" si="370"/>
        <v>-0.53986808224257044</v>
      </c>
      <c r="BX107">
        <f t="shared" si="371"/>
        <v>-1.2628624873486129</v>
      </c>
      <c r="BY107">
        <f t="shared" si="372"/>
        <v>1.0305100313811875</v>
      </c>
      <c r="CB107">
        <f t="shared" si="373"/>
        <v>0.15975498881570852</v>
      </c>
      <c r="CC107">
        <f t="shared" si="374"/>
        <v>2.9424715598535731</v>
      </c>
      <c r="CD107">
        <f t="shared" si="375"/>
        <v>3.1988061871439464</v>
      </c>
      <c r="CE107">
        <f t="shared" si="376"/>
        <v>2.0760067788456191</v>
      </c>
      <c r="CF107">
        <f t="shared" si="377"/>
        <v>2.3888360631646486</v>
      </c>
      <c r="CG107">
        <f t="shared" si="269"/>
        <v>0.15975498881570852</v>
      </c>
      <c r="CK107" t="str">
        <f t="shared" si="292"/>
        <v>Cluster 1</v>
      </c>
      <c r="CL107" t="str">
        <f t="shared" si="378"/>
        <v>B Super Bowl</v>
      </c>
      <c r="CM107" t="str">
        <f t="shared" ref="CM107:CM139" si="386">IF(BG107=3.5,"Price Only",BJ107&amp;" "&amp;BK107)</f>
        <v>Super Bowl B</v>
      </c>
      <c r="CN107" t="str">
        <f t="shared" si="379"/>
        <v>Diff</v>
      </c>
    </row>
    <row r="108" spans="8:92">
      <c r="H108">
        <v>101</v>
      </c>
      <c r="I108">
        <v>6</v>
      </c>
      <c r="J108">
        <v>9</v>
      </c>
      <c r="K108">
        <v>11</v>
      </c>
      <c r="L108">
        <v>14</v>
      </c>
      <c r="M108">
        <v>17</v>
      </c>
      <c r="N108">
        <v>1</v>
      </c>
      <c r="O108">
        <v>2</v>
      </c>
      <c r="P108">
        <v>3</v>
      </c>
      <c r="Q108">
        <v>5</v>
      </c>
      <c r="R108">
        <v>8</v>
      </c>
      <c r="S108">
        <v>13</v>
      </c>
      <c r="T108">
        <v>16</v>
      </c>
      <c r="U108">
        <v>18</v>
      </c>
      <c r="V108">
        <v>19</v>
      </c>
      <c r="W108">
        <v>20</v>
      </c>
      <c r="X108">
        <v>4</v>
      </c>
      <c r="Y108">
        <v>7</v>
      </c>
      <c r="Z108">
        <v>10</v>
      </c>
      <c r="AA108">
        <v>12</v>
      </c>
      <c r="AB108">
        <v>15</v>
      </c>
      <c r="AD108">
        <f t="shared" ref="AD108:AH108" si="387">SUMIFS($I108:$AB108,$I$2:$AB$2,AD$7)</f>
        <v>24</v>
      </c>
      <c r="AE108">
        <f t="shared" si="387"/>
        <v>34</v>
      </c>
      <c r="AF108">
        <f t="shared" si="387"/>
        <v>42</v>
      </c>
      <c r="AG108">
        <f t="shared" si="387"/>
        <v>50</v>
      </c>
      <c r="AH108">
        <f t="shared" si="387"/>
        <v>60</v>
      </c>
      <c r="AI108">
        <f t="shared" ref="AI108:AJ127" si="388">SUMIFS($I108:$AB108,$I$3:$AB$3,AI$7)</f>
        <v>76</v>
      </c>
      <c r="AJ108">
        <f t="shared" si="388"/>
        <v>134</v>
      </c>
      <c r="AK108">
        <f t="shared" ref="AK108:AL127" si="389">SUMIFS($I108:$AB108,$I$4:$AB$4,AK$7)</f>
        <v>67</v>
      </c>
      <c r="AL108">
        <f t="shared" si="389"/>
        <v>143</v>
      </c>
      <c r="AN108" s="67">
        <f t="shared" ref="AN108:AV108" si="390">((AD108-MIN($AD108:$AL108))/(MAX($AD108:$AL108)-MIN($AD108:$AL108)))</f>
        <v>0</v>
      </c>
      <c r="AO108" s="67">
        <f t="shared" si="390"/>
        <v>8.4033613445378158E-2</v>
      </c>
      <c r="AP108" s="67">
        <f t="shared" si="390"/>
        <v>0.15126050420168066</v>
      </c>
      <c r="AQ108" s="67">
        <f t="shared" si="390"/>
        <v>0.21848739495798319</v>
      </c>
      <c r="AR108" s="67">
        <f t="shared" si="390"/>
        <v>0.30252100840336132</v>
      </c>
      <c r="AS108" s="67">
        <f t="shared" si="390"/>
        <v>0.43697478991596639</v>
      </c>
      <c r="AT108" s="67">
        <f t="shared" si="390"/>
        <v>0.92436974789915971</v>
      </c>
      <c r="AU108" s="67">
        <f t="shared" si="390"/>
        <v>0.36134453781512604</v>
      </c>
      <c r="AV108" s="67">
        <f t="shared" si="390"/>
        <v>1</v>
      </c>
      <c r="AX108">
        <f t="shared" si="241"/>
        <v>0.30252100840336132</v>
      </c>
      <c r="AY108">
        <f t="shared" si="242"/>
        <v>0.48739495798319332</v>
      </c>
      <c r="AZ108">
        <f t="shared" si="243"/>
        <v>0.6386554621848739</v>
      </c>
      <c r="BB108">
        <f t="shared" ref="BB108:BD108" si="391">AX108/SUM($AX108:$AZ108)</f>
        <v>0.21176470588235291</v>
      </c>
      <c r="BC108">
        <f t="shared" si="391"/>
        <v>0.3411764705882353</v>
      </c>
      <c r="BD108">
        <f t="shared" si="391"/>
        <v>0.44705882352941173</v>
      </c>
      <c r="BF108" t="str">
        <f t="shared" si="245"/>
        <v>Theme</v>
      </c>
      <c r="BG108" t="str">
        <f t="shared" si="246"/>
        <v>B</v>
      </c>
      <c r="BI108">
        <f t="shared" si="247"/>
        <v>3.5</v>
      </c>
      <c r="BJ108" t="str">
        <f t="shared" si="248"/>
        <v>Super Bowl</v>
      </c>
      <c r="BK108" t="str">
        <f t="shared" si="249"/>
        <v>B</v>
      </c>
      <c r="BS108">
        <f t="shared" si="367"/>
        <v>0.30252100840336132</v>
      </c>
      <c r="BT108">
        <f t="shared" si="368"/>
        <v>-0.48739495798319332</v>
      </c>
      <c r="BU108">
        <f t="shared" si="369"/>
        <v>0.6386554621848739</v>
      </c>
      <c r="BW108">
        <f t="shared" si="370"/>
        <v>-0.88658687390872204</v>
      </c>
      <c r="BX108">
        <f t="shared" si="371"/>
        <v>-1.0577591987136883</v>
      </c>
      <c r="BY108">
        <f t="shared" si="372"/>
        <v>1.3324785596931055</v>
      </c>
      <c r="CB108">
        <f t="shared" si="373"/>
        <v>0.36313398647236633</v>
      </c>
      <c r="CC108">
        <f t="shared" si="374"/>
        <v>3.2452684033404569</v>
      </c>
      <c r="CD108">
        <f t="shared" si="375"/>
        <v>3.3036117124536943</v>
      </c>
      <c r="CE108">
        <f t="shared" si="376"/>
        <v>2.4125702752198896</v>
      </c>
      <c r="CF108">
        <f t="shared" si="377"/>
        <v>2.2229233553675778</v>
      </c>
      <c r="CG108">
        <f t="shared" si="269"/>
        <v>0.36313398647236633</v>
      </c>
      <c r="CK108" t="str">
        <f t="shared" si="292"/>
        <v>Cluster 1</v>
      </c>
      <c r="CL108" t="str">
        <f t="shared" si="378"/>
        <v>B Super Bowl</v>
      </c>
      <c r="CM108" t="str">
        <f t="shared" si="386"/>
        <v>Super Bowl B</v>
      </c>
      <c r="CN108" t="str">
        <f t="shared" si="379"/>
        <v>Diff</v>
      </c>
    </row>
    <row r="109" spans="8:92">
      <c r="H109">
        <v>102</v>
      </c>
      <c r="I109">
        <v>1</v>
      </c>
      <c r="J109">
        <v>2</v>
      </c>
      <c r="K109">
        <v>4</v>
      </c>
      <c r="L109">
        <v>7</v>
      </c>
      <c r="M109">
        <v>10</v>
      </c>
      <c r="N109">
        <v>3</v>
      </c>
      <c r="O109">
        <v>6</v>
      </c>
      <c r="P109">
        <v>9</v>
      </c>
      <c r="Q109">
        <v>13</v>
      </c>
      <c r="R109">
        <v>16</v>
      </c>
      <c r="S109">
        <v>6</v>
      </c>
      <c r="T109">
        <v>9</v>
      </c>
      <c r="U109">
        <v>13</v>
      </c>
      <c r="V109">
        <v>16</v>
      </c>
      <c r="W109">
        <v>18</v>
      </c>
      <c r="X109">
        <v>11</v>
      </c>
      <c r="Y109">
        <v>14</v>
      </c>
      <c r="Z109">
        <v>17</v>
      </c>
      <c r="AA109">
        <v>19</v>
      </c>
      <c r="AB109">
        <v>20</v>
      </c>
      <c r="AD109">
        <f t="shared" ref="AD109:AH109" si="392">SUMIFS($I109:$AB109,$I$2:$AB$2,AD$7)</f>
        <v>21</v>
      </c>
      <c r="AE109">
        <f t="shared" si="392"/>
        <v>31</v>
      </c>
      <c r="AF109">
        <f t="shared" si="392"/>
        <v>43</v>
      </c>
      <c r="AG109">
        <f t="shared" si="392"/>
        <v>55</v>
      </c>
      <c r="AH109">
        <f t="shared" si="392"/>
        <v>64</v>
      </c>
      <c r="AI109">
        <f t="shared" si="388"/>
        <v>71</v>
      </c>
      <c r="AJ109">
        <f t="shared" si="388"/>
        <v>143</v>
      </c>
      <c r="AK109">
        <f t="shared" si="389"/>
        <v>128</v>
      </c>
      <c r="AL109">
        <f t="shared" si="389"/>
        <v>86</v>
      </c>
      <c r="AN109" s="67">
        <f t="shared" ref="AN109:AV109" si="393">((AD109-MIN($AD109:$AL109))/(MAX($AD109:$AL109)-MIN($AD109:$AL109)))</f>
        <v>0</v>
      </c>
      <c r="AO109" s="67">
        <f t="shared" si="393"/>
        <v>8.1967213114754092E-2</v>
      </c>
      <c r="AP109" s="67">
        <f t="shared" si="393"/>
        <v>0.18032786885245902</v>
      </c>
      <c r="AQ109" s="67">
        <f t="shared" si="393"/>
        <v>0.27868852459016391</v>
      </c>
      <c r="AR109" s="67">
        <f t="shared" si="393"/>
        <v>0.35245901639344263</v>
      </c>
      <c r="AS109" s="67">
        <f t="shared" si="393"/>
        <v>0.4098360655737705</v>
      </c>
      <c r="AT109" s="67">
        <f t="shared" si="393"/>
        <v>1</v>
      </c>
      <c r="AU109" s="67">
        <f t="shared" si="393"/>
        <v>0.87704918032786883</v>
      </c>
      <c r="AV109" s="67">
        <f t="shared" si="393"/>
        <v>0.53278688524590168</v>
      </c>
      <c r="AX109">
        <f t="shared" si="241"/>
        <v>0.35245901639344263</v>
      </c>
      <c r="AY109">
        <f t="shared" si="242"/>
        <v>0.5901639344262295</v>
      </c>
      <c r="AZ109">
        <f t="shared" si="243"/>
        <v>0.34426229508196715</v>
      </c>
      <c r="BB109">
        <f t="shared" ref="BB109:BD109" si="394">AX109/SUM($AX109:$AZ109)</f>
        <v>0.27388535031847133</v>
      </c>
      <c r="BC109">
        <f t="shared" si="394"/>
        <v>0.45859872611464969</v>
      </c>
      <c r="BD109">
        <f t="shared" si="394"/>
        <v>0.26751592356687892</v>
      </c>
      <c r="BF109" t="str">
        <f t="shared" si="245"/>
        <v xml:space="preserve">Brand </v>
      </c>
      <c r="BG109" t="str">
        <f t="shared" si="246"/>
        <v>Super Bowl</v>
      </c>
      <c r="BI109">
        <f t="shared" si="247"/>
        <v>3.5</v>
      </c>
      <c r="BJ109" t="str">
        <f t="shared" si="248"/>
        <v>Super Bowl</v>
      </c>
      <c r="BK109" t="str">
        <f t="shared" si="249"/>
        <v>A</v>
      </c>
      <c r="BS109">
        <f t="shared" si="367"/>
        <v>0.35245901639344263</v>
      </c>
      <c r="BT109">
        <f t="shared" si="368"/>
        <v>-0.5901639344262295</v>
      </c>
      <c r="BU109">
        <f t="shared" si="369"/>
        <v>-0.34426229508196715</v>
      </c>
      <c r="BW109">
        <f t="shared" si="370"/>
        <v>-0.44667988720474172</v>
      </c>
      <c r="BX109">
        <f t="shared" si="371"/>
        <v>-1.2824701825541409</v>
      </c>
      <c r="BY109">
        <f t="shared" si="372"/>
        <v>-0.74414898452098022</v>
      </c>
      <c r="CB109">
        <f t="shared" si="373"/>
        <v>1.864592001950929</v>
      </c>
      <c r="CC109">
        <f t="shared" si="374"/>
        <v>2.8075353175808186</v>
      </c>
      <c r="CD109">
        <f t="shared" si="375"/>
        <v>2.3671980653434859</v>
      </c>
      <c r="CE109">
        <f t="shared" si="376"/>
        <v>0.32012718771283322</v>
      </c>
      <c r="CF109">
        <f t="shared" si="377"/>
        <v>3.0467453509052373</v>
      </c>
      <c r="CG109">
        <f t="shared" si="269"/>
        <v>0.32012718771283322</v>
      </c>
      <c r="CK109" t="str">
        <f t="shared" si="292"/>
        <v>Cluster 4</v>
      </c>
      <c r="CL109" t="str">
        <f t="shared" si="378"/>
        <v>A Super Bowl</v>
      </c>
      <c r="CM109" t="str">
        <f t="shared" si="386"/>
        <v>Super Bowl A</v>
      </c>
      <c r="CN109" t="str">
        <f t="shared" si="379"/>
        <v>Diff</v>
      </c>
    </row>
    <row r="110" spans="8:92">
      <c r="H110">
        <v>103</v>
      </c>
      <c r="I110">
        <v>3</v>
      </c>
      <c r="J110">
        <v>7</v>
      </c>
      <c r="K110">
        <v>11</v>
      </c>
      <c r="L110">
        <v>15</v>
      </c>
      <c r="M110">
        <v>19</v>
      </c>
      <c r="N110">
        <v>4</v>
      </c>
      <c r="O110">
        <v>8</v>
      </c>
      <c r="P110">
        <v>12</v>
      </c>
      <c r="Q110">
        <v>16</v>
      </c>
      <c r="R110">
        <v>20</v>
      </c>
      <c r="S110">
        <v>1</v>
      </c>
      <c r="T110">
        <v>5</v>
      </c>
      <c r="U110">
        <v>9</v>
      </c>
      <c r="V110">
        <v>13</v>
      </c>
      <c r="W110">
        <v>17</v>
      </c>
      <c r="X110">
        <v>2</v>
      </c>
      <c r="Y110">
        <v>6</v>
      </c>
      <c r="Z110">
        <v>10</v>
      </c>
      <c r="AA110">
        <v>14</v>
      </c>
      <c r="AB110">
        <v>18</v>
      </c>
      <c r="AD110">
        <f t="shared" ref="AD110:AH110" si="395">SUMIFS($I110:$AB110,$I$2:$AB$2,AD$7)</f>
        <v>10</v>
      </c>
      <c r="AE110">
        <f t="shared" si="395"/>
        <v>26</v>
      </c>
      <c r="AF110">
        <f t="shared" si="395"/>
        <v>42</v>
      </c>
      <c r="AG110">
        <f t="shared" si="395"/>
        <v>58</v>
      </c>
      <c r="AH110">
        <f t="shared" si="395"/>
        <v>74</v>
      </c>
      <c r="AI110">
        <f t="shared" si="388"/>
        <v>115</v>
      </c>
      <c r="AJ110">
        <f t="shared" si="388"/>
        <v>95</v>
      </c>
      <c r="AK110">
        <f t="shared" si="389"/>
        <v>110</v>
      </c>
      <c r="AL110">
        <f t="shared" si="389"/>
        <v>100</v>
      </c>
      <c r="AN110" s="67">
        <f t="shared" ref="AN110:AV110" si="396">((AD110-MIN($AD110:$AL110))/(MAX($AD110:$AL110)-MIN($AD110:$AL110)))</f>
        <v>0</v>
      </c>
      <c r="AO110" s="67">
        <f t="shared" si="396"/>
        <v>0.15238095238095239</v>
      </c>
      <c r="AP110" s="67">
        <f t="shared" si="396"/>
        <v>0.30476190476190479</v>
      </c>
      <c r="AQ110" s="67">
        <f t="shared" si="396"/>
        <v>0.45714285714285713</v>
      </c>
      <c r="AR110" s="67">
        <f t="shared" si="396"/>
        <v>0.60952380952380958</v>
      </c>
      <c r="AS110" s="67">
        <f t="shared" si="396"/>
        <v>1</v>
      </c>
      <c r="AT110" s="67">
        <f t="shared" si="396"/>
        <v>0.80952380952380953</v>
      </c>
      <c r="AU110" s="67">
        <f t="shared" si="396"/>
        <v>0.95238095238095233</v>
      </c>
      <c r="AV110" s="67">
        <f t="shared" si="396"/>
        <v>0.8571428571428571</v>
      </c>
      <c r="AX110">
        <f t="shared" si="241"/>
        <v>0.60952380952380958</v>
      </c>
      <c r="AY110">
        <f t="shared" si="242"/>
        <v>0.19047619047619047</v>
      </c>
      <c r="AZ110">
        <f t="shared" si="243"/>
        <v>9.5238095238095233E-2</v>
      </c>
      <c r="BB110">
        <f t="shared" ref="BB110:BD110" si="397">AX110/SUM($AX110:$AZ110)</f>
        <v>0.68085106382978722</v>
      </c>
      <c r="BC110">
        <f t="shared" si="397"/>
        <v>0.21276595744680848</v>
      </c>
      <c r="BD110">
        <f t="shared" si="397"/>
        <v>0.10638297872340424</v>
      </c>
      <c r="BF110" t="str">
        <f t="shared" si="245"/>
        <v>Price</v>
      </c>
      <c r="BG110">
        <f t="shared" si="246"/>
        <v>3.5</v>
      </c>
      <c r="BI110">
        <f t="shared" si="247"/>
        <v>3.5</v>
      </c>
      <c r="BJ110" t="str">
        <f t="shared" si="248"/>
        <v>Tennis</v>
      </c>
      <c r="BK110" t="str">
        <f t="shared" si="249"/>
        <v>A</v>
      </c>
      <c r="BS110">
        <f t="shared" si="367"/>
        <v>0.60952380952380958</v>
      </c>
      <c r="BT110">
        <f t="shared" si="368"/>
        <v>0.19047619047619047</v>
      </c>
      <c r="BU110">
        <f t="shared" si="369"/>
        <v>-9.5238095238095233E-2</v>
      </c>
      <c r="BW110">
        <f t="shared" si="370"/>
        <v>1.8178197010872597</v>
      </c>
      <c r="BX110">
        <f t="shared" si="371"/>
        <v>0.42444971256994318</v>
      </c>
      <c r="BY110">
        <f t="shared" si="372"/>
        <v>-0.21803120025221195</v>
      </c>
      <c r="CB110">
        <f t="shared" si="373"/>
        <v>3.1841988523940374</v>
      </c>
      <c r="CC110">
        <f t="shared" si="374"/>
        <v>0.32360426997653524</v>
      </c>
      <c r="CD110">
        <f t="shared" si="375"/>
        <v>2.5774816287460633</v>
      </c>
      <c r="CE110">
        <f t="shared" si="376"/>
        <v>2.914493740019287</v>
      </c>
      <c r="CF110">
        <f t="shared" si="377"/>
        <v>2.7813052362390778</v>
      </c>
      <c r="CG110">
        <f t="shared" si="269"/>
        <v>0.32360426997653524</v>
      </c>
      <c r="CK110" t="str">
        <f t="shared" si="292"/>
        <v>Cluster 2</v>
      </c>
      <c r="CL110" t="str">
        <f t="shared" si="378"/>
        <v>Price Only</v>
      </c>
      <c r="CM110" t="str">
        <f t="shared" si="386"/>
        <v>Price Only</v>
      </c>
      <c r="CN110" t="str">
        <f t="shared" si="379"/>
        <v/>
      </c>
    </row>
    <row r="111" spans="8:92">
      <c r="H111">
        <v>104</v>
      </c>
      <c r="I111">
        <v>4</v>
      </c>
      <c r="J111">
        <v>7</v>
      </c>
      <c r="K111">
        <v>11</v>
      </c>
      <c r="L111">
        <v>15</v>
      </c>
      <c r="M111">
        <v>18</v>
      </c>
      <c r="N111">
        <v>1</v>
      </c>
      <c r="O111">
        <v>2</v>
      </c>
      <c r="P111">
        <v>5</v>
      </c>
      <c r="Q111">
        <v>8</v>
      </c>
      <c r="R111">
        <v>12</v>
      </c>
      <c r="S111">
        <v>9</v>
      </c>
      <c r="T111">
        <v>13</v>
      </c>
      <c r="U111">
        <v>16</v>
      </c>
      <c r="V111">
        <v>19</v>
      </c>
      <c r="W111">
        <v>20</v>
      </c>
      <c r="X111">
        <v>3</v>
      </c>
      <c r="Y111">
        <v>6</v>
      </c>
      <c r="Z111">
        <v>10</v>
      </c>
      <c r="AA111">
        <v>14</v>
      </c>
      <c r="AB111">
        <v>17</v>
      </c>
      <c r="AD111">
        <f t="shared" ref="AD111:AH111" si="398">SUMIFS($I111:$AB111,$I$2:$AB$2,AD$7)</f>
        <v>17</v>
      </c>
      <c r="AE111">
        <f t="shared" si="398"/>
        <v>28</v>
      </c>
      <c r="AF111">
        <f t="shared" si="398"/>
        <v>42</v>
      </c>
      <c r="AG111">
        <f t="shared" si="398"/>
        <v>56</v>
      </c>
      <c r="AH111">
        <f t="shared" si="398"/>
        <v>67</v>
      </c>
      <c r="AI111">
        <f t="shared" si="388"/>
        <v>83</v>
      </c>
      <c r="AJ111">
        <f t="shared" si="388"/>
        <v>127</v>
      </c>
      <c r="AK111">
        <f t="shared" si="389"/>
        <v>78</v>
      </c>
      <c r="AL111">
        <f t="shared" si="389"/>
        <v>132</v>
      </c>
      <c r="AN111" s="67">
        <f t="shared" ref="AN111:AV111" si="399">((AD111-MIN($AD111:$AL111))/(MAX($AD111:$AL111)-MIN($AD111:$AL111)))</f>
        <v>0</v>
      </c>
      <c r="AO111" s="67">
        <f t="shared" si="399"/>
        <v>9.5652173913043481E-2</v>
      </c>
      <c r="AP111" s="67">
        <f t="shared" si="399"/>
        <v>0.21739130434782608</v>
      </c>
      <c r="AQ111" s="67">
        <f t="shared" si="399"/>
        <v>0.33913043478260868</v>
      </c>
      <c r="AR111" s="67">
        <f t="shared" si="399"/>
        <v>0.43478260869565216</v>
      </c>
      <c r="AS111" s="67">
        <f t="shared" si="399"/>
        <v>0.57391304347826089</v>
      </c>
      <c r="AT111" s="67">
        <f t="shared" si="399"/>
        <v>0.95652173913043481</v>
      </c>
      <c r="AU111" s="67">
        <f t="shared" si="399"/>
        <v>0.5304347826086957</v>
      </c>
      <c r="AV111" s="67">
        <f t="shared" si="399"/>
        <v>1</v>
      </c>
      <c r="AX111">
        <f t="shared" si="241"/>
        <v>0.43478260869565216</v>
      </c>
      <c r="AY111">
        <f t="shared" si="242"/>
        <v>0.38260869565217392</v>
      </c>
      <c r="AZ111">
        <f t="shared" si="243"/>
        <v>0.4695652173913043</v>
      </c>
      <c r="BB111">
        <f t="shared" ref="BB111:BD111" si="400">AX111/SUM($AX111:$AZ111)</f>
        <v>0.33783783783783783</v>
      </c>
      <c r="BC111">
        <f t="shared" si="400"/>
        <v>0.29729729729729731</v>
      </c>
      <c r="BD111">
        <f t="shared" si="400"/>
        <v>0.36486486486486486</v>
      </c>
      <c r="BF111" t="str">
        <f t="shared" si="245"/>
        <v>Theme</v>
      </c>
      <c r="BG111" t="str">
        <f t="shared" si="246"/>
        <v>B</v>
      </c>
      <c r="BI111">
        <f t="shared" si="247"/>
        <v>3.5</v>
      </c>
      <c r="BJ111" t="str">
        <f t="shared" si="248"/>
        <v>Super Bowl</v>
      </c>
      <c r="BK111" t="str">
        <f t="shared" si="249"/>
        <v>B</v>
      </c>
      <c r="BS111">
        <f t="shared" si="367"/>
        <v>0.43478260869565216</v>
      </c>
      <c r="BT111">
        <f t="shared" si="368"/>
        <v>-0.38260869565217392</v>
      </c>
      <c r="BU111">
        <f t="shared" si="369"/>
        <v>0.4695652173913043</v>
      </c>
      <c r="BW111">
        <f t="shared" si="370"/>
        <v>0.27851370544927367</v>
      </c>
      <c r="BX111">
        <f t="shared" si="371"/>
        <v>-0.8286372893948889</v>
      </c>
      <c r="BY111">
        <f t="shared" si="372"/>
        <v>0.97523864088990631</v>
      </c>
      <c r="CB111">
        <f t="shared" si="373"/>
        <v>0.95705058606701909</v>
      </c>
      <c r="CC111">
        <f t="shared" si="374"/>
        <v>2.0729993954491834</v>
      </c>
      <c r="CD111">
        <f t="shared" si="375"/>
        <v>2.9603963170109826</v>
      </c>
      <c r="CE111">
        <f t="shared" si="376"/>
        <v>2.1818351018095519</v>
      </c>
      <c r="CF111">
        <f t="shared" si="377"/>
        <v>2.1134044323237013</v>
      </c>
      <c r="CG111">
        <f t="shared" si="269"/>
        <v>0.95705058606701909</v>
      </c>
      <c r="CK111" t="str">
        <f t="shared" si="292"/>
        <v>Cluster 1</v>
      </c>
      <c r="CL111" t="str">
        <f t="shared" si="378"/>
        <v>B Super Bowl</v>
      </c>
      <c r="CM111" t="str">
        <f t="shared" si="386"/>
        <v>Super Bowl B</v>
      </c>
      <c r="CN111" t="str">
        <f t="shared" si="379"/>
        <v>Diff</v>
      </c>
    </row>
    <row r="112" spans="8:92">
      <c r="H112">
        <v>105</v>
      </c>
      <c r="I112">
        <v>5</v>
      </c>
      <c r="J112">
        <v>8</v>
      </c>
      <c r="K112">
        <v>11</v>
      </c>
      <c r="L112">
        <v>14</v>
      </c>
      <c r="M112">
        <v>17</v>
      </c>
      <c r="N112">
        <v>12</v>
      </c>
      <c r="O112">
        <v>15</v>
      </c>
      <c r="P112">
        <v>18</v>
      </c>
      <c r="Q112">
        <v>19</v>
      </c>
      <c r="R112">
        <v>20</v>
      </c>
      <c r="S112">
        <v>1</v>
      </c>
      <c r="T112">
        <v>2</v>
      </c>
      <c r="U112">
        <v>3</v>
      </c>
      <c r="V112">
        <v>6</v>
      </c>
      <c r="W112">
        <v>9</v>
      </c>
      <c r="X112">
        <v>4</v>
      </c>
      <c r="Y112">
        <v>7</v>
      </c>
      <c r="Z112">
        <v>10</v>
      </c>
      <c r="AA112">
        <v>13</v>
      </c>
      <c r="AB112">
        <v>16</v>
      </c>
      <c r="AD112">
        <f t="shared" ref="AD112:AH112" si="401">SUMIFS($I112:$AB112,$I$2:$AB$2,AD$7)</f>
        <v>22</v>
      </c>
      <c r="AE112">
        <f t="shared" si="401"/>
        <v>32</v>
      </c>
      <c r="AF112">
        <f t="shared" si="401"/>
        <v>42</v>
      </c>
      <c r="AG112">
        <f t="shared" si="401"/>
        <v>52</v>
      </c>
      <c r="AH112">
        <f t="shared" si="401"/>
        <v>62</v>
      </c>
      <c r="AI112">
        <f t="shared" si="388"/>
        <v>139</v>
      </c>
      <c r="AJ112">
        <f t="shared" si="388"/>
        <v>71</v>
      </c>
      <c r="AK112">
        <f t="shared" si="389"/>
        <v>134</v>
      </c>
      <c r="AL112">
        <f t="shared" si="389"/>
        <v>76</v>
      </c>
      <c r="AN112" s="67">
        <f t="shared" ref="AN112:AV112" si="402">((AD112-MIN($AD112:$AL112))/(MAX($AD112:$AL112)-MIN($AD112:$AL112)))</f>
        <v>0</v>
      </c>
      <c r="AO112" s="67">
        <f t="shared" si="402"/>
        <v>8.5470085470085472E-2</v>
      </c>
      <c r="AP112" s="67">
        <f t="shared" si="402"/>
        <v>0.17094017094017094</v>
      </c>
      <c r="AQ112" s="67">
        <f t="shared" si="402"/>
        <v>0.25641025641025639</v>
      </c>
      <c r="AR112" s="67">
        <f t="shared" si="402"/>
        <v>0.34188034188034189</v>
      </c>
      <c r="AS112" s="67">
        <f t="shared" si="402"/>
        <v>1</v>
      </c>
      <c r="AT112" s="67">
        <f t="shared" si="402"/>
        <v>0.41880341880341881</v>
      </c>
      <c r="AU112" s="67">
        <f t="shared" si="402"/>
        <v>0.95726495726495731</v>
      </c>
      <c r="AV112" s="67">
        <f t="shared" si="402"/>
        <v>0.46153846153846156</v>
      </c>
      <c r="AX112">
        <f t="shared" si="241"/>
        <v>0.34188034188034189</v>
      </c>
      <c r="AY112">
        <f t="shared" si="242"/>
        <v>0.58119658119658113</v>
      </c>
      <c r="AZ112">
        <f t="shared" si="243"/>
        <v>0.49572649572649574</v>
      </c>
      <c r="BB112">
        <f t="shared" ref="BB112:BD112" si="403">AX112/SUM($AX112:$AZ112)</f>
        <v>0.24096385542168677</v>
      </c>
      <c r="BC112">
        <f t="shared" si="403"/>
        <v>0.40963855421686746</v>
      </c>
      <c r="BD112">
        <f t="shared" si="403"/>
        <v>0.34939759036144585</v>
      </c>
      <c r="BF112" t="str">
        <f t="shared" si="245"/>
        <v xml:space="preserve">Brand </v>
      </c>
      <c r="BG112" t="str">
        <f t="shared" si="246"/>
        <v>Tennis</v>
      </c>
      <c r="BI112">
        <f t="shared" si="247"/>
        <v>3.5</v>
      </c>
      <c r="BJ112" t="str">
        <f t="shared" si="248"/>
        <v>Tennis</v>
      </c>
      <c r="BK112" t="str">
        <f t="shared" si="249"/>
        <v>A</v>
      </c>
      <c r="BS112">
        <f t="shared" si="367"/>
        <v>0.34188034188034189</v>
      </c>
      <c r="BT112">
        <f t="shared" si="368"/>
        <v>0.58119658119658113</v>
      </c>
      <c r="BU112">
        <f t="shared" si="369"/>
        <v>-0.49572649572649574</v>
      </c>
      <c r="BW112">
        <f t="shared" si="370"/>
        <v>-0.53986808224257044</v>
      </c>
      <c r="BX112">
        <f t="shared" si="371"/>
        <v>1.2787850036679462</v>
      </c>
      <c r="BY112">
        <f t="shared" si="372"/>
        <v>-1.0641500514417885</v>
      </c>
      <c r="CB112">
        <f t="shared" si="373"/>
        <v>3.255298153222554</v>
      </c>
      <c r="CC112">
        <f t="shared" si="374"/>
        <v>2.7914062369545261</v>
      </c>
      <c r="CD112">
        <f t="shared" si="375"/>
        <v>0.27058247483936959</v>
      </c>
      <c r="CE112">
        <f t="shared" si="376"/>
        <v>2.4503963041543044</v>
      </c>
      <c r="CF112">
        <f t="shared" si="377"/>
        <v>2.1927896400344826</v>
      </c>
      <c r="CG112">
        <f t="shared" si="269"/>
        <v>0.27058247483936959</v>
      </c>
      <c r="CK112" t="str">
        <f t="shared" si="292"/>
        <v>Cluster 3</v>
      </c>
      <c r="CL112" t="str">
        <f t="shared" si="378"/>
        <v>A Tennis</v>
      </c>
      <c r="CM112" t="str">
        <f t="shared" si="386"/>
        <v>Tennis A</v>
      </c>
      <c r="CN112" t="str">
        <f t="shared" si="379"/>
        <v>Diff</v>
      </c>
    </row>
    <row r="113" spans="8:92">
      <c r="H113">
        <v>106</v>
      </c>
      <c r="I113">
        <v>1</v>
      </c>
      <c r="J113">
        <v>2</v>
      </c>
      <c r="K113">
        <v>4</v>
      </c>
      <c r="L113">
        <v>6</v>
      </c>
      <c r="M113">
        <v>9</v>
      </c>
      <c r="N113">
        <v>3</v>
      </c>
      <c r="O113">
        <v>5</v>
      </c>
      <c r="P113">
        <v>8</v>
      </c>
      <c r="Q113">
        <v>11</v>
      </c>
      <c r="R113">
        <v>14</v>
      </c>
      <c r="S113">
        <v>7</v>
      </c>
      <c r="T113">
        <v>10</v>
      </c>
      <c r="U113">
        <v>13</v>
      </c>
      <c r="V113">
        <v>16</v>
      </c>
      <c r="W113">
        <v>18</v>
      </c>
      <c r="X113">
        <v>12</v>
      </c>
      <c r="Y113">
        <v>15</v>
      </c>
      <c r="Z113">
        <v>17</v>
      </c>
      <c r="AA113">
        <v>19</v>
      </c>
      <c r="AB113">
        <v>20</v>
      </c>
      <c r="AD113">
        <f t="shared" ref="AD113:AH113" si="404">SUMIFS($I113:$AB113,$I$2:$AB$2,AD$7)</f>
        <v>23</v>
      </c>
      <c r="AE113">
        <f t="shared" si="404"/>
        <v>32</v>
      </c>
      <c r="AF113">
        <f t="shared" si="404"/>
        <v>42</v>
      </c>
      <c r="AG113">
        <f t="shared" si="404"/>
        <v>52</v>
      </c>
      <c r="AH113">
        <f t="shared" si="404"/>
        <v>61</v>
      </c>
      <c r="AI113">
        <f t="shared" si="388"/>
        <v>63</v>
      </c>
      <c r="AJ113">
        <f t="shared" si="388"/>
        <v>147</v>
      </c>
      <c r="AK113">
        <f t="shared" si="389"/>
        <v>124</v>
      </c>
      <c r="AL113">
        <f t="shared" si="389"/>
        <v>86</v>
      </c>
      <c r="AN113" s="67">
        <f t="shared" ref="AN113:AV113" si="405">((AD113-MIN($AD113:$AL113))/(MAX($AD113:$AL113)-MIN($AD113:$AL113)))</f>
        <v>0</v>
      </c>
      <c r="AO113" s="67">
        <f t="shared" si="405"/>
        <v>7.2580645161290328E-2</v>
      </c>
      <c r="AP113" s="67">
        <f t="shared" si="405"/>
        <v>0.15322580645161291</v>
      </c>
      <c r="AQ113" s="67">
        <f t="shared" si="405"/>
        <v>0.23387096774193547</v>
      </c>
      <c r="AR113" s="67">
        <f t="shared" si="405"/>
        <v>0.30645161290322581</v>
      </c>
      <c r="AS113" s="67">
        <f t="shared" si="405"/>
        <v>0.32258064516129031</v>
      </c>
      <c r="AT113" s="67">
        <f t="shared" si="405"/>
        <v>1</v>
      </c>
      <c r="AU113" s="67">
        <f t="shared" si="405"/>
        <v>0.81451612903225812</v>
      </c>
      <c r="AV113" s="67">
        <f t="shared" si="405"/>
        <v>0.50806451612903225</v>
      </c>
      <c r="AX113">
        <f t="shared" si="241"/>
        <v>0.30645161290322581</v>
      </c>
      <c r="AY113">
        <f t="shared" si="242"/>
        <v>0.67741935483870974</v>
      </c>
      <c r="AZ113">
        <f t="shared" si="243"/>
        <v>0.30645161290322587</v>
      </c>
      <c r="BB113">
        <f t="shared" ref="BB113:BD113" si="406">AX113/SUM($AX113:$AZ113)</f>
        <v>0.23749999999999996</v>
      </c>
      <c r="BC113">
        <f t="shared" si="406"/>
        <v>0.52500000000000002</v>
      </c>
      <c r="BD113">
        <f t="shared" si="406"/>
        <v>0.23750000000000002</v>
      </c>
      <c r="BF113" t="str">
        <f t="shared" si="245"/>
        <v xml:space="preserve">Brand </v>
      </c>
      <c r="BG113" t="str">
        <f t="shared" si="246"/>
        <v>Super Bowl</v>
      </c>
      <c r="BI113">
        <f t="shared" si="247"/>
        <v>3.5</v>
      </c>
      <c r="BJ113" t="str">
        <f t="shared" si="248"/>
        <v>Super Bowl</v>
      </c>
      <c r="BK113" t="str">
        <f t="shared" si="249"/>
        <v>A</v>
      </c>
      <c r="BS113">
        <f t="shared" si="367"/>
        <v>0.30645161290322581</v>
      </c>
      <c r="BT113">
        <f t="shared" si="368"/>
        <v>-0.67741935483870974</v>
      </c>
      <c r="BU113">
        <f t="shared" si="369"/>
        <v>-0.30645161290322587</v>
      </c>
      <c r="BW113">
        <f t="shared" si="370"/>
        <v>-0.85196193689073108</v>
      </c>
      <c r="BX113">
        <f t="shared" si="371"/>
        <v>-1.4732597772833331</v>
      </c>
      <c r="BY113">
        <f t="shared" si="372"/>
        <v>-0.6642656946959673</v>
      </c>
      <c r="CB113">
        <f t="shared" si="373"/>
        <v>1.8176711839560478</v>
      </c>
      <c r="CC113">
        <f t="shared" si="374"/>
        <v>3.2182878428880359</v>
      </c>
      <c r="CD113">
        <f t="shared" si="375"/>
        <v>2.5949643552008119</v>
      </c>
      <c r="CE113">
        <f t="shared" si="376"/>
        <v>0.61204282810773558</v>
      </c>
      <c r="CF113">
        <f t="shared" si="377"/>
        <v>3.170693794688372</v>
      </c>
      <c r="CG113">
        <f t="shared" si="269"/>
        <v>0.61204282810773558</v>
      </c>
      <c r="CK113" t="str">
        <f t="shared" ref="CK113:CK139" si="407">INDEX($CB$7:$CF$7,,MATCH(MIN(CB113:CF113),CB113:CF113,0))</f>
        <v>Cluster 4</v>
      </c>
      <c r="CL113" t="str">
        <f t="shared" si="378"/>
        <v>A Super Bowl</v>
      </c>
      <c r="CM113" t="str">
        <f t="shared" si="386"/>
        <v>Super Bowl A</v>
      </c>
      <c r="CN113" t="str">
        <f t="shared" si="379"/>
        <v>Diff</v>
      </c>
    </row>
    <row r="114" spans="8:92">
      <c r="H114">
        <v>107</v>
      </c>
      <c r="I114">
        <v>1</v>
      </c>
      <c r="J114">
        <v>5</v>
      </c>
      <c r="K114">
        <v>9</v>
      </c>
      <c r="L114">
        <v>13</v>
      </c>
      <c r="M114">
        <v>17</v>
      </c>
      <c r="N114">
        <v>3</v>
      </c>
      <c r="O114">
        <v>7</v>
      </c>
      <c r="P114">
        <v>11</v>
      </c>
      <c r="Q114">
        <v>15</v>
      </c>
      <c r="R114">
        <v>19</v>
      </c>
      <c r="S114">
        <v>2</v>
      </c>
      <c r="T114">
        <v>6</v>
      </c>
      <c r="U114">
        <v>10</v>
      </c>
      <c r="V114">
        <v>14</v>
      </c>
      <c r="W114">
        <v>18</v>
      </c>
      <c r="X114">
        <v>4</v>
      </c>
      <c r="Y114">
        <v>8</v>
      </c>
      <c r="Z114">
        <v>12</v>
      </c>
      <c r="AA114">
        <v>16</v>
      </c>
      <c r="AB114">
        <v>20</v>
      </c>
      <c r="AD114">
        <f t="shared" ref="AD114:AH114" si="408">SUMIFS($I114:$AB114,$I$2:$AB$2,AD$7)</f>
        <v>10</v>
      </c>
      <c r="AE114">
        <f t="shared" si="408"/>
        <v>26</v>
      </c>
      <c r="AF114">
        <f t="shared" si="408"/>
        <v>42</v>
      </c>
      <c r="AG114">
        <f t="shared" si="408"/>
        <v>58</v>
      </c>
      <c r="AH114">
        <f t="shared" si="408"/>
        <v>74</v>
      </c>
      <c r="AI114">
        <f t="shared" si="388"/>
        <v>100</v>
      </c>
      <c r="AJ114">
        <f t="shared" si="388"/>
        <v>110</v>
      </c>
      <c r="AK114">
        <f t="shared" si="389"/>
        <v>115</v>
      </c>
      <c r="AL114">
        <f t="shared" si="389"/>
        <v>95</v>
      </c>
      <c r="AN114" s="67">
        <f t="shared" ref="AN114:AV114" si="409">((AD114-MIN($AD114:$AL114))/(MAX($AD114:$AL114)-MIN($AD114:$AL114)))</f>
        <v>0</v>
      </c>
      <c r="AO114" s="67">
        <f t="shared" si="409"/>
        <v>0.15238095238095239</v>
      </c>
      <c r="AP114" s="67">
        <f t="shared" si="409"/>
        <v>0.30476190476190479</v>
      </c>
      <c r="AQ114" s="67">
        <f t="shared" si="409"/>
        <v>0.45714285714285713</v>
      </c>
      <c r="AR114" s="67">
        <f t="shared" si="409"/>
        <v>0.60952380952380958</v>
      </c>
      <c r="AS114" s="67">
        <f t="shared" si="409"/>
        <v>0.8571428571428571</v>
      </c>
      <c r="AT114" s="67">
        <f t="shared" si="409"/>
        <v>0.95238095238095233</v>
      </c>
      <c r="AU114" s="67">
        <f t="shared" si="409"/>
        <v>1</v>
      </c>
      <c r="AV114" s="67">
        <f t="shared" si="409"/>
        <v>0.80952380952380953</v>
      </c>
      <c r="AX114">
        <f t="shared" si="241"/>
        <v>0.60952380952380958</v>
      </c>
      <c r="AY114">
        <f t="shared" si="242"/>
        <v>9.5238095238095233E-2</v>
      </c>
      <c r="AZ114">
        <f t="shared" si="243"/>
        <v>0.19047619047619047</v>
      </c>
      <c r="BB114">
        <f t="shared" ref="BB114:BD114" si="410">AX114/SUM($AX114:$AZ114)</f>
        <v>0.68085106382978722</v>
      </c>
      <c r="BC114">
        <f t="shared" si="410"/>
        <v>0.10638297872340424</v>
      </c>
      <c r="BD114">
        <f t="shared" si="410"/>
        <v>0.21276595744680848</v>
      </c>
      <c r="BF114" t="str">
        <f t="shared" si="245"/>
        <v>Price</v>
      </c>
      <c r="BG114">
        <f t="shared" si="246"/>
        <v>3.5</v>
      </c>
      <c r="BI114">
        <f t="shared" si="247"/>
        <v>3.5</v>
      </c>
      <c r="BJ114" t="str">
        <f t="shared" si="248"/>
        <v>Super Bowl</v>
      </c>
      <c r="BK114" t="str">
        <f t="shared" si="249"/>
        <v>A</v>
      </c>
      <c r="BS114">
        <f t="shared" si="367"/>
        <v>0.60952380952380958</v>
      </c>
      <c r="BT114">
        <f t="shared" si="368"/>
        <v>-9.5238095238095233E-2</v>
      </c>
      <c r="BU114">
        <f t="shared" si="369"/>
        <v>-0.19047619047619047</v>
      </c>
      <c r="BW114">
        <f t="shared" si="370"/>
        <v>1.8178197010872597</v>
      </c>
      <c r="BX114">
        <f t="shared" si="371"/>
        <v>-0.2002829690454716</v>
      </c>
      <c r="BY114">
        <f t="shared" si="372"/>
        <v>-0.41924239047412343</v>
      </c>
      <c r="CB114">
        <f t="shared" si="373"/>
        <v>3.0236668291796973</v>
      </c>
      <c r="CC114">
        <f t="shared" si="374"/>
        <v>0.61144163909422833</v>
      </c>
      <c r="CD114">
        <f t="shared" si="375"/>
        <v>2.7307457287229773</v>
      </c>
      <c r="CE114">
        <f t="shared" si="376"/>
        <v>2.5690728729265433</v>
      </c>
      <c r="CF114">
        <f t="shared" si="377"/>
        <v>3.0951992474027037</v>
      </c>
      <c r="CG114">
        <f t="shared" si="269"/>
        <v>0.61144163909422833</v>
      </c>
      <c r="CK114" t="str">
        <f t="shared" si="407"/>
        <v>Cluster 2</v>
      </c>
      <c r="CL114" t="str">
        <f t="shared" si="378"/>
        <v>Price Only</v>
      </c>
      <c r="CM114" t="str">
        <f t="shared" si="386"/>
        <v>Price Only</v>
      </c>
      <c r="CN114" t="str">
        <f t="shared" si="379"/>
        <v/>
      </c>
    </row>
    <row r="115" spans="8:92">
      <c r="H115">
        <v>108</v>
      </c>
      <c r="I115">
        <v>1</v>
      </c>
      <c r="J115">
        <v>2</v>
      </c>
      <c r="K115">
        <v>4</v>
      </c>
      <c r="L115">
        <v>7</v>
      </c>
      <c r="M115">
        <v>11</v>
      </c>
      <c r="N115">
        <v>3</v>
      </c>
      <c r="O115">
        <v>6</v>
      </c>
      <c r="P115">
        <v>9</v>
      </c>
      <c r="Q115">
        <v>13</v>
      </c>
      <c r="R115">
        <v>16</v>
      </c>
      <c r="S115">
        <v>5</v>
      </c>
      <c r="T115">
        <v>8</v>
      </c>
      <c r="U115">
        <v>12</v>
      </c>
      <c r="V115">
        <v>15</v>
      </c>
      <c r="W115">
        <v>18</v>
      </c>
      <c r="X115">
        <v>10</v>
      </c>
      <c r="Y115">
        <v>14</v>
      </c>
      <c r="Z115">
        <v>17</v>
      </c>
      <c r="AA115">
        <v>19</v>
      </c>
      <c r="AB115">
        <v>20</v>
      </c>
      <c r="AD115">
        <f t="shared" ref="AD115:AH115" si="411">SUMIFS($I115:$AB115,$I$2:$AB$2,AD$7)</f>
        <v>19</v>
      </c>
      <c r="AE115">
        <f t="shared" si="411"/>
        <v>30</v>
      </c>
      <c r="AF115">
        <f t="shared" si="411"/>
        <v>42</v>
      </c>
      <c r="AG115">
        <f t="shared" si="411"/>
        <v>54</v>
      </c>
      <c r="AH115">
        <f t="shared" si="411"/>
        <v>65</v>
      </c>
      <c r="AI115">
        <f t="shared" si="388"/>
        <v>72</v>
      </c>
      <c r="AJ115">
        <f t="shared" si="388"/>
        <v>138</v>
      </c>
      <c r="AK115">
        <f t="shared" si="389"/>
        <v>127</v>
      </c>
      <c r="AL115">
        <f t="shared" si="389"/>
        <v>83</v>
      </c>
      <c r="AN115" s="67">
        <f t="shared" ref="AN115:AV115" si="412">((AD115-MIN($AD115:$AL115))/(MAX($AD115:$AL115)-MIN($AD115:$AL115)))</f>
        <v>0</v>
      </c>
      <c r="AO115" s="67">
        <f t="shared" si="412"/>
        <v>9.2436974789915971E-2</v>
      </c>
      <c r="AP115" s="67">
        <f t="shared" si="412"/>
        <v>0.19327731092436976</v>
      </c>
      <c r="AQ115" s="67">
        <f t="shared" si="412"/>
        <v>0.29411764705882354</v>
      </c>
      <c r="AR115" s="67">
        <f t="shared" si="412"/>
        <v>0.38655462184873951</v>
      </c>
      <c r="AS115" s="67">
        <f t="shared" si="412"/>
        <v>0.44537815126050423</v>
      </c>
      <c r="AT115" s="67">
        <f t="shared" si="412"/>
        <v>1</v>
      </c>
      <c r="AU115" s="67">
        <f t="shared" si="412"/>
        <v>0.90756302521008403</v>
      </c>
      <c r="AV115" s="67">
        <f t="shared" si="412"/>
        <v>0.53781512605042014</v>
      </c>
      <c r="AX115">
        <f t="shared" si="241"/>
        <v>0.38655462184873951</v>
      </c>
      <c r="AY115">
        <f t="shared" si="242"/>
        <v>0.55462184873949583</v>
      </c>
      <c r="AZ115">
        <f t="shared" si="243"/>
        <v>0.36974789915966388</v>
      </c>
      <c r="BB115">
        <f t="shared" ref="BB115:BD115" si="413">AX115/SUM($AX115:$AZ115)</f>
        <v>0.29487179487179488</v>
      </c>
      <c r="BC115">
        <f t="shared" si="413"/>
        <v>0.42307692307692307</v>
      </c>
      <c r="BD115">
        <f t="shared" si="413"/>
        <v>0.28205128205128205</v>
      </c>
      <c r="BF115" t="str">
        <f t="shared" si="245"/>
        <v xml:space="preserve">Brand </v>
      </c>
      <c r="BG115" t="str">
        <f t="shared" si="246"/>
        <v>Super Bowl</v>
      </c>
      <c r="BI115">
        <f t="shared" si="247"/>
        <v>3.5</v>
      </c>
      <c r="BJ115" t="str">
        <f t="shared" si="248"/>
        <v>Super Bowl</v>
      </c>
      <c r="BK115" t="str">
        <f t="shared" si="249"/>
        <v>A</v>
      </c>
      <c r="BS115">
        <f t="shared" si="367"/>
        <v>0.38655462184873951</v>
      </c>
      <c r="BT115">
        <f t="shared" si="368"/>
        <v>-0.55462184873949583</v>
      </c>
      <c r="BU115">
        <f t="shared" si="369"/>
        <v>-0.36974789915966388</v>
      </c>
      <c r="BW115">
        <f t="shared" si="370"/>
        <v>-0.14632959973098972</v>
      </c>
      <c r="BX115">
        <f t="shared" si="371"/>
        <v>-1.2047551237996681</v>
      </c>
      <c r="BY115">
        <f t="shared" si="372"/>
        <v>-0.79799286618595677</v>
      </c>
      <c r="CB115">
        <f t="shared" si="373"/>
        <v>1.9634167435530543</v>
      </c>
      <c r="CC115">
        <f t="shared" si="374"/>
        <v>2.5461869691156265</v>
      </c>
      <c r="CD115">
        <f t="shared" si="375"/>
        <v>2.3063980807701525</v>
      </c>
      <c r="CE115">
        <f t="shared" si="376"/>
        <v>0.41331352184468678</v>
      </c>
      <c r="CF115">
        <f t="shared" si="377"/>
        <v>3.041480138464681</v>
      </c>
      <c r="CG115">
        <f t="shared" si="269"/>
        <v>0.41331352184468678</v>
      </c>
      <c r="CK115" t="str">
        <f t="shared" si="407"/>
        <v>Cluster 4</v>
      </c>
      <c r="CL115" t="str">
        <f t="shared" si="378"/>
        <v>A Super Bowl</v>
      </c>
      <c r="CM115" t="str">
        <f t="shared" si="386"/>
        <v>Super Bowl A</v>
      </c>
      <c r="CN115" t="str">
        <f t="shared" si="379"/>
        <v>Diff</v>
      </c>
    </row>
    <row r="116" spans="8:92">
      <c r="H116">
        <v>109</v>
      </c>
      <c r="I116">
        <v>5</v>
      </c>
      <c r="J116">
        <v>8</v>
      </c>
      <c r="K116">
        <v>12</v>
      </c>
      <c r="L116">
        <v>15</v>
      </c>
      <c r="M116">
        <v>18</v>
      </c>
      <c r="N116">
        <v>1</v>
      </c>
      <c r="O116">
        <v>2</v>
      </c>
      <c r="P116">
        <v>4</v>
      </c>
      <c r="Q116">
        <v>7</v>
      </c>
      <c r="R116">
        <v>10</v>
      </c>
      <c r="S116">
        <v>11</v>
      </c>
      <c r="T116">
        <v>14</v>
      </c>
      <c r="U116">
        <v>17</v>
      </c>
      <c r="V116">
        <v>19</v>
      </c>
      <c r="W116">
        <v>20</v>
      </c>
      <c r="X116">
        <v>3</v>
      </c>
      <c r="Y116">
        <v>6</v>
      </c>
      <c r="Z116">
        <v>9</v>
      </c>
      <c r="AA116">
        <v>13</v>
      </c>
      <c r="AB116">
        <v>16</v>
      </c>
      <c r="AD116">
        <f t="shared" ref="AD116:AH116" si="414">SUMIFS($I116:$AB116,$I$2:$AB$2,AD$7)</f>
        <v>20</v>
      </c>
      <c r="AE116">
        <f t="shared" si="414"/>
        <v>30</v>
      </c>
      <c r="AF116">
        <f t="shared" si="414"/>
        <v>42</v>
      </c>
      <c r="AG116">
        <f t="shared" si="414"/>
        <v>54</v>
      </c>
      <c r="AH116">
        <f t="shared" si="414"/>
        <v>64</v>
      </c>
      <c r="AI116">
        <f t="shared" si="388"/>
        <v>82</v>
      </c>
      <c r="AJ116">
        <f t="shared" si="388"/>
        <v>128</v>
      </c>
      <c r="AK116">
        <f t="shared" si="389"/>
        <v>71</v>
      </c>
      <c r="AL116">
        <f t="shared" si="389"/>
        <v>139</v>
      </c>
      <c r="AN116" s="67">
        <f t="shared" ref="AN116:AV116" si="415">((AD116-MIN($AD116:$AL116))/(MAX($AD116:$AL116)-MIN($AD116:$AL116)))</f>
        <v>0</v>
      </c>
      <c r="AO116" s="67">
        <f t="shared" si="415"/>
        <v>8.4033613445378158E-2</v>
      </c>
      <c r="AP116" s="67">
        <f t="shared" si="415"/>
        <v>0.18487394957983194</v>
      </c>
      <c r="AQ116" s="67">
        <f t="shared" si="415"/>
        <v>0.2857142857142857</v>
      </c>
      <c r="AR116" s="67">
        <f t="shared" si="415"/>
        <v>0.36974789915966388</v>
      </c>
      <c r="AS116" s="67">
        <f t="shared" si="415"/>
        <v>0.52100840336134457</v>
      </c>
      <c r="AT116" s="67">
        <f t="shared" si="415"/>
        <v>0.90756302521008403</v>
      </c>
      <c r="AU116" s="67">
        <f t="shared" si="415"/>
        <v>0.42857142857142855</v>
      </c>
      <c r="AV116" s="67">
        <f t="shared" si="415"/>
        <v>1</v>
      </c>
      <c r="AX116">
        <f t="shared" si="241"/>
        <v>0.36974789915966388</v>
      </c>
      <c r="AY116">
        <f t="shared" si="242"/>
        <v>0.38655462184873945</v>
      </c>
      <c r="AZ116">
        <f t="shared" si="243"/>
        <v>0.5714285714285714</v>
      </c>
      <c r="BB116">
        <f t="shared" ref="BB116:BD116" si="416">AX116/SUM($AX116:$AZ116)</f>
        <v>0.27848101265822789</v>
      </c>
      <c r="BC116">
        <f t="shared" si="416"/>
        <v>0.29113924050632911</v>
      </c>
      <c r="BD116">
        <f t="shared" si="416"/>
        <v>0.43037974683544306</v>
      </c>
      <c r="BF116" t="str">
        <f t="shared" si="245"/>
        <v>Theme</v>
      </c>
      <c r="BG116" t="str">
        <f t="shared" si="246"/>
        <v>B</v>
      </c>
      <c r="BI116">
        <f t="shared" si="247"/>
        <v>3.5</v>
      </c>
      <c r="BJ116" t="str">
        <f t="shared" si="248"/>
        <v>Super Bowl</v>
      </c>
      <c r="BK116" t="str">
        <f t="shared" si="249"/>
        <v>B</v>
      </c>
      <c r="BS116">
        <f t="shared" si="367"/>
        <v>0.36974789915966388</v>
      </c>
      <c r="BT116">
        <f t="shared" si="368"/>
        <v>-0.38655462184873945</v>
      </c>
      <c r="BU116">
        <f t="shared" si="369"/>
        <v>0.5714285714285714</v>
      </c>
      <c r="BW116">
        <f t="shared" si="370"/>
        <v>-0.29438105456653607</v>
      </c>
      <c r="BX116">
        <f t="shared" si="371"/>
        <v>-0.83726531108471813</v>
      </c>
      <c r="BY116">
        <f t="shared" si="372"/>
        <v>1.190447131301168</v>
      </c>
      <c r="CB116">
        <f t="shared" si="373"/>
        <v>0.45197455046105872</v>
      </c>
      <c r="CC116">
        <f t="shared" si="374"/>
        <v>2.6151533698084428</v>
      </c>
      <c r="CD116">
        <f t="shared" si="375"/>
        <v>3.0366509077521306</v>
      </c>
      <c r="CE116">
        <f t="shared" si="376"/>
        <v>2.2651701873409706</v>
      </c>
      <c r="CF116">
        <f t="shared" si="377"/>
        <v>1.9749842512132307</v>
      </c>
      <c r="CG116">
        <f t="shared" si="269"/>
        <v>0.45197455046105872</v>
      </c>
      <c r="CK116" t="str">
        <f t="shared" si="407"/>
        <v>Cluster 1</v>
      </c>
      <c r="CL116" t="str">
        <f t="shared" si="378"/>
        <v>B Super Bowl</v>
      </c>
      <c r="CM116" t="str">
        <f t="shared" si="386"/>
        <v>Super Bowl B</v>
      </c>
      <c r="CN116" t="str">
        <f t="shared" si="379"/>
        <v>Diff</v>
      </c>
    </row>
    <row r="117" spans="8:92">
      <c r="H117">
        <v>110</v>
      </c>
      <c r="I117">
        <v>1</v>
      </c>
      <c r="J117">
        <v>2</v>
      </c>
      <c r="K117">
        <v>4</v>
      </c>
      <c r="L117">
        <v>7</v>
      </c>
      <c r="M117">
        <v>10</v>
      </c>
      <c r="N117">
        <v>5</v>
      </c>
      <c r="O117">
        <v>8</v>
      </c>
      <c r="P117">
        <v>12</v>
      </c>
      <c r="Q117">
        <v>15</v>
      </c>
      <c r="R117">
        <v>18</v>
      </c>
      <c r="S117">
        <v>3</v>
      </c>
      <c r="T117">
        <v>6</v>
      </c>
      <c r="U117">
        <v>9</v>
      </c>
      <c r="V117">
        <v>13</v>
      </c>
      <c r="W117">
        <v>16</v>
      </c>
      <c r="X117">
        <v>11</v>
      </c>
      <c r="Y117">
        <v>14</v>
      </c>
      <c r="Z117">
        <v>17</v>
      </c>
      <c r="AA117">
        <v>19</v>
      </c>
      <c r="AB117">
        <v>20</v>
      </c>
      <c r="AD117">
        <f t="shared" ref="AD117:AH117" si="417">SUMIFS($I117:$AB117,$I$2:$AB$2,AD$7)</f>
        <v>20</v>
      </c>
      <c r="AE117">
        <f t="shared" si="417"/>
        <v>30</v>
      </c>
      <c r="AF117">
        <f t="shared" si="417"/>
        <v>42</v>
      </c>
      <c r="AG117">
        <f t="shared" si="417"/>
        <v>54</v>
      </c>
      <c r="AH117">
        <f t="shared" si="417"/>
        <v>64</v>
      </c>
      <c r="AI117">
        <f t="shared" si="388"/>
        <v>82</v>
      </c>
      <c r="AJ117">
        <f t="shared" si="388"/>
        <v>128</v>
      </c>
      <c r="AK117">
        <f t="shared" si="389"/>
        <v>139</v>
      </c>
      <c r="AL117">
        <f t="shared" si="389"/>
        <v>71</v>
      </c>
      <c r="AN117" s="67">
        <f t="shared" ref="AN117:AV117" si="418">((AD117-MIN($AD117:$AL117))/(MAX($AD117:$AL117)-MIN($AD117:$AL117)))</f>
        <v>0</v>
      </c>
      <c r="AO117" s="67">
        <f t="shared" si="418"/>
        <v>8.4033613445378158E-2</v>
      </c>
      <c r="AP117" s="67">
        <f t="shared" si="418"/>
        <v>0.18487394957983194</v>
      </c>
      <c r="AQ117" s="67">
        <f t="shared" si="418"/>
        <v>0.2857142857142857</v>
      </c>
      <c r="AR117" s="67">
        <f t="shared" si="418"/>
        <v>0.36974789915966388</v>
      </c>
      <c r="AS117" s="67">
        <f t="shared" si="418"/>
        <v>0.52100840336134457</v>
      </c>
      <c r="AT117" s="67">
        <f t="shared" si="418"/>
        <v>0.90756302521008403</v>
      </c>
      <c r="AU117" s="67">
        <f t="shared" si="418"/>
        <v>1</v>
      </c>
      <c r="AV117" s="67">
        <f t="shared" si="418"/>
        <v>0.42857142857142855</v>
      </c>
      <c r="AX117">
        <f t="shared" si="241"/>
        <v>0.36974789915966388</v>
      </c>
      <c r="AY117">
        <f t="shared" si="242"/>
        <v>0.38655462184873945</v>
      </c>
      <c r="AZ117">
        <f t="shared" si="243"/>
        <v>0.5714285714285714</v>
      </c>
      <c r="BB117">
        <f t="shared" ref="BB117:BD117" si="419">AX117/SUM($AX117:$AZ117)</f>
        <v>0.27848101265822789</v>
      </c>
      <c r="BC117">
        <f t="shared" si="419"/>
        <v>0.29113924050632911</v>
      </c>
      <c r="BD117">
        <f t="shared" si="419"/>
        <v>0.43037974683544306</v>
      </c>
      <c r="BF117" t="str">
        <f t="shared" si="245"/>
        <v>Theme</v>
      </c>
      <c r="BG117" t="str">
        <f t="shared" si="246"/>
        <v>A</v>
      </c>
      <c r="BI117">
        <f t="shared" si="247"/>
        <v>3.5</v>
      </c>
      <c r="BJ117" t="str">
        <f t="shared" si="248"/>
        <v>Super Bowl</v>
      </c>
      <c r="BK117" t="str">
        <f t="shared" si="249"/>
        <v>A</v>
      </c>
      <c r="BS117">
        <f t="shared" si="367"/>
        <v>0.36974789915966388</v>
      </c>
      <c r="BT117">
        <f t="shared" si="368"/>
        <v>-0.38655462184873945</v>
      </c>
      <c r="BU117">
        <f t="shared" si="369"/>
        <v>-0.5714285714285714</v>
      </c>
      <c r="BW117">
        <f t="shared" si="370"/>
        <v>-0.29438105456653607</v>
      </c>
      <c r="BX117">
        <f t="shared" si="371"/>
        <v>-0.83726531108471813</v>
      </c>
      <c r="BY117">
        <f t="shared" si="372"/>
        <v>-1.2240871513617693</v>
      </c>
      <c r="CB117">
        <f t="shared" si="373"/>
        <v>2.3737730894042519</v>
      </c>
      <c r="CC117">
        <f t="shared" si="374"/>
        <v>2.656646357599989</v>
      </c>
      <c r="CD117">
        <f t="shared" si="375"/>
        <v>1.8904094646814731</v>
      </c>
      <c r="CE117">
        <f t="shared" si="376"/>
        <v>0.42167333552192093</v>
      </c>
      <c r="CF117">
        <f t="shared" si="377"/>
        <v>3.0667663082888446</v>
      </c>
      <c r="CG117">
        <f t="shared" si="269"/>
        <v>0.42167333552192093</v>
      </c>
      <c r="CK117" t="str">
        <f t="shared" si="407"/>
        <v>Cluster 4</v>
      </c>
      <c r="CL117" t="str">
        <f t="shared" si="378"/>
        <v>A Super Bowl</v>
      </c>
      <c r="CM117" t="str">
        <f t="shared" si="386"/>
        <v>Super Bowl A</v>
      </c>
      <c r="CN117" t="str">
        <f t="shared" si="379"/>
        <v>Diff</v>
      </c>
    </row>
    <row r="118" spans="8:92">
      <c r="H118">
        <v>111</v>
      </c>
      <c r="I118">
        <v>4</v>
      </c>
      <c r="J118">
        <v>8</v>
      </c>
      <c r="K118">
        <v>12</v>
      </c>
      <c r="L118">
        <v>16</v>
      </c>
      <c r="M118">
        <v>20</v>
      </c>
      <c r="N118">
        <v>3</v>
      </c>
      <c r="O118">
        <v>7</v>
      </c>
      <c r="P118">
        <v>11</v>
      </c>
      <c r="Q118">
        <v>15</v>
      </c>
      <c r="R118">
        <v>19</v>
      </c>
      <c r="S118">
        <v>2</v>
      </c>
      <c r="T118">
        <v>6</v>
      </c>
      <c r="U118">
        <v>10</v>
      </c>
      <c r="V118">
        <v>14</v>
      </c>
      <c r="W118">
        <v>18</v>
      </c>
      <c r="X118">
        <v>1</v>
      </c>
      <c r="Y118">
        <v>5</v>
      </c>
      <c r="Z118">
        <v>9</v>
      </c>
      <c r="AA118">
        <v>13</v>
      </c>
      <c r="AB118">
        <v>17</v>
      </c>
      <c r="AD118">
        <f t="shared" ref="AD118:AH118" si="420">SUMIFS($I118:$AB118,$I$2:$AB$2,AD$7)</f>
        <v>10</v>
      </c>
      <c r="AE118">
        <f t="shared" si="420"/>
        <v>26</v>
      </c>
      <c r="AF118">
        <f t="shared" si="420"/>
        <v>42</v>
      </c>
      <c r="AG118">
        <f t="shared" si="420"/>
        <v>58</v>
      </c>
      <c r="AH118">
        <f t="shared" si="420"/>
        <v>74</v>
      </c>
      <c r="AI118">
        <f t="shared" si="388"/>
        <v>115</v>
      </c>
      <c r="AJ118">
        <f t="shared" si="388"/>
        <v>95</v>
      </c>
      <c r="AK118">
        <f t="shared" si="389"/>
        <v>100</v>
      </c>
      <c r="AL118">
        <f t="shared" si="389"/>
        <v>110</v>
      </c>
      <c r="AN118" s="67">
        <f t="shared" ref="AN118:AV118" si="421">((AD118-MIN($AD118:$AL118))/(MAX($AD118:$AL118)-MIN($AD118:$AL118)))</f>
        <v>0</v>
      </c>
      <c r="AO118" s="67">
        <f t="shared" si="421"/>
        <v>0.15238095238095239</v>
      </c>
      <c r="AP118" s="67">
        <f t="shared" si="421"/>
        <v>0.30476190476190479</v>
      </c>
      <c r="AQ118" s="67">
        <f t="shared" si="421"/>
        <v>0.45714285714285713</v>
      </c>
      <c r="AR118" s="67">
        <f t="shared" si="421"/>
        <v>0.60952380952380958</v>
      </c>
      <c r="AS118" s="67">
        <f t="shared" si="421"/>
        <v>1</v>
      </c>
      <c r="AT118" s="67">
        <f t="shared" si="421"/>
        <v>0.80952380952380953</v>
      </c>
      <c r="AU118" s="67">
        <f t="shared" si="421"/>
        <v>0.8571428571428571</v>
      </c>
      <c r="AV118" s="67">
        <f t="shared" si="421"/>
        <v>0.95238095238095233</v>
      </c>
      <c r="AX118">
        <f t="shared" si="241"/>
        <v>0.60952380952380958</v>
      </c>
      <c r="AY118">
        <f t="shared" si="242"/>
        <v>0.19047619047619047</v>
      </c>
      <c r="AZ118">
        <f t="shared" si="243"/>
        <v>9.5238095238095233E-2</v>
      </c>
      <c r="BB118">
        <f t="shared" ref="BB118:BD118" si="422">AX118/SUM($AX118:$AZ118)</f>
        <v>0.68085106382978722</v>
      </c>
      <c r="BC118">
        <f t="shared" si="422"/>
        <v>0.21276595744680848</v>
      </c>
      <c r="BD118">
        <f t="shared" si="422"/>
        <v>0.10638297872340424</v>
      </c>
      <c r="BF118" t="str">
        <f t="shared" si="245"/>
        <v>Price</v>
      </c>
      <c r="BG118">
        <f t="shared" si="246"/>
        <v>3.5</v>
      </c>
      <c r="BI118">
        <f t="shared" si="247"/>
        <v>3.5</v>
      </c>
      <c r="BJ118" t="str">
        <f t="shared" si="248"/>
        <v>Tennis</v>
      </c>
      <c r="BK118" t="str">
        <f t="shared" si="249"/>
        <v>B</v>
      </c>
      <c r="BS118">
        <f t="shared" si="367"/>
        <v>0.60952380952380958</v>
      </c>
      <c r="BT118">
        <f t="shared" si="368"/>
        <v>0.19047619047619047</v>
      </c>
      <c r="BU118">
        <f t="shared" si="369"/>
        <v>9.5238095238095233E-2</v>
      </c>
      <c r="BW118">
        <f t="shared" si="370"/>
        <v>1.8178197010872597</v>
      </c>
      <c r="BX118">
        <f t="shared" si="371"/>
        <v>0.42444971256994318</v>
      </c>
      <c r="BY118">
        <f t="shared" si="372"/>
        <v>0.18439118019161094</v>
      </c>
      <c r="CB118">
        <f t="shared" si="373"/>
        <v>3.0387556747186748</v>
      </c>
      <c r="CC118">
        <f t="shared" si="374"/>
        <v>0.26127112978457395</v>
      </c>
      <c r="CD118">
        <f t="shared" si="375"/>
        <v>2.7540294742593474</v>
      </c>
      <c r="CE118">
        <f t="shared" si="376"/>
        <v>3.0528355709459638</v>
      </c>
      <c r="CF118">
        <f t="shared" si="377"/>
        <v>2.6111766219359862</v>
      </c>
      <c r="CG118">
        <f t="shared" si="269"/>
        <v>0.26127112978457395</v>
      </c>
      <c r="CK118" t="str">
        <f t="shared" si="407"/>
        <v>Cluster 2</v>
      </c>
      <c r="CL118" t="str">
        <f t="shared" si="378"/>
        <v>Price Only</v>
      </c>
      <c r="CM118" t="str">
        <f t="shared" si="386"/>
        <v>Price Only</v>
      </c>
      <c r="CN118" t="str">
        <f t="shared" si="379"/>
        <v/>
      </c>
    </row>
    <row r="119" spans="8:92">
      <c r="H119">
        <v>112</v>
      </c>
      <c r="I119">
        <v>5</v>
      </c>
      <c r="J119">
        <v>8</v>
      </c>
      <c r="K119">
        <v>11</v>
      </c>
      <c r="L119">
        <v>14</v>
      </c>
      <c r="M119">
        <v>17</v>
      </c>
      <c r="N119">
        <v>12</v>
      </c>
      <c r="O119">
        <v>15</v>
      </c>
      <c r="P119">
        <v>18</v>
      </c>
      <c r="Q119">
        <v>19</v>
      </c>
      <c r="R119">
        <v>20</v>
      </c>
      <c r="S119">
        <v>1</v>
      </c>
      <c r="T119">
        <v>2</v>
      </c>
      <c r="U119">
        <v>3</v>
      </c>
      <c r="V119">
        <v>6</v>
      </c>
      <c r="W119">
        <v>9</v>
      </c>
      <c r="X119">
        <v>5</v>
      </c>
      <c r="Y119">
        <v>8</v>
      </c>
      <c r="Z119">
        <v>11</v>
      </c>
      <c r="AA119">
        <v>14</v>
      </c>
      <c r="AB119">
        <v>17</v>
      </c>
      <c r="AD119">
        <f t="shared" ref="AD119:AH119" si="423">SUMIFS($I119:$AB119,$I$2:$AB$2,AD$7)</f>
        <v>23</v>
      </c>
      <c r="AE119">
        <f t="shared" si="423"/>
        <v>33</v>
      </c>
      <c r="AF119">
        <f t="shared" si="423"/>
        <v>43</v>
      </c>
      <c r="AG119">
        <f t="shared" si="423"/>
        <v>53</v>
      </c>
      <c r="AH119">
        <f t="shared" si="423"/>
        <v>63</v>
      </c>
      <c r="AI119">
        <f t="shared" si="388"/>
        <v>139</v>
      </c>
      <c r="AJ119">
        <f t="shared" si="388"/>
        <v>76</v>
      </c>
      <c r="AK119">
        <f t="shared" si="389"/>
        <v>139</v>
      </c>
      <c r="AL119">
        <f t="shared" si="389"/>
        <v>76</v>
      </c>
      <c r="AN119" s="67">
        <f t="shared" ref="AN119:AV119" si="424">((AD119-MIN($AD119:$AL119))/(MAX($AD119:$AL119)-MIN($AD119:$AL119)))</f>
        <v>0</v>
      </c>
      <c r="AO119" s="67">
        <f t="shared" si="424"/>
        <v>8.6206896551724144E-2</v>
      </c>
      <c r="AP119" s="67">
        <f t="shared" si="424"/>
        <v>0.17241379310344829</v>
      </c>
      <c r="AQ119" s="67">
        <f t="shared" si="424"/>
        <v>0.25862068965517243</v>
      </c>
      <c r="AR119" s="67">
        <f t="shared" si="424"/>
        <v>0.34482758620689657</v>
      </c>
      <c r="AS119" s="67">
        <f t="shared" si="424"/>
        <v>1</v>
      </c>
      <c r="AT119" s="67">
        <f t="shared" si="424"/>
        <v>0.45689655172413796</v>
      </c>
      <c r="AU119" s="67">
        <f t="shared" si="424"/>
        <v>1</v>
      </c>
      <c r="AV119" s="67">
        <f t="shared" si="424"/>
        <v>0.45689655172413796</v>
      </c>
      <c r="AX119">
        <f t="shared" si="241"/>
        <v>0.34482758620689657</v>
      </c>
      <c r="AY119">
        <f t="shared" si="242"/>
        <v>0.5431034482758621</v>
      </c>
      <c r="AZ119">
        <f t="shared" si="243"/>
        <v>0.5431034482758621</v>
      </c>
      <c r="BB119">
        <f t="shared" ref="BB119:BD119" si="425">AX119/SUM($AX119:$AZ119)</f>
        <v>0.24096385542168675</v>
      </c>
      <c r="BC119">
        <f t="shared" si="425"/>
        <v>0.37951807228915663</v>
      </c>
      <c r="BD119">
        <f t="shared" si="425"/>
        <v>0.37951807228915663</v>
      </c>
      <c r="BF119" t="str">
        <f t="shared" si="245"/>
        <v xml:space="preserve">Brand </v>
      </c>
      <c r="BG119" t="str">
        <f t="shared" si="246"/>
        <v>Tennis</v>
      </c>
      <c r="BI119">
        <f t="shared" si="247"/>
        <v>3.5</v>
      </c>
      <c r="BJ119" t="str">
        <f t="shared" si="248"/>
        <v>Tennis</v>
      </c>
      <c r="BK119" t="str">
        <f t="shared" si="249"/>
        <v>A</v>
      </c>
      <c r="BS119">
        <f t="shared" si="367"/>
        <v>0.34482758620689657</v>
      </c>
      <c r="BT119">
        <f t="shared" si="368"/>
        <v>0.5431034482758621</v>
      </c>
      <c r="BU119">
        <f t="shared" si="369"/>
        <v>-0.5431034482758621</v>
      </c>
      <c r="BW119">
        <f t="shared" si="370"/>
        <v>-0.51390562552958763</v>
      </c>
      <c r="BX119">
        <f t="shared" si="371"/>
        <v>1.19549191588552</v>
      </c>
      <c r="BY119">
        <f t="shared" si="372"/>
        <v>-1.1642441680630111</v>
      </c>
      <c r="CB119">
        <f t="shared" si="373"/>
        <v>3.2633616423032206</v>
      </c>
      <c r="CC119">
        <f t="shared" si="374"/>
        <v>2.7802507900020959</v>
      </c>
      <c r="CD119">
        <f t="shared" si="375"/>
        <v>0.15632799643219761</v>
      </c>
      <c r="CE119">
        <f t="shared" si="376"/>
        <v>2.3696253532089591</v>
      </c>
      <c r="CF119">
        <f t="shared" si="377"/>
        <v>2.2884067080777535</v>
      </c>
      <c r="CG119">
        <f t="shared" si="269"/>
        <v>0.15632799643219761</v>
      </c>
      <c r="CK119" t="str">
        <f t="shared" si="407"/>
        <v>Cluster 3</v>
      </c>
      <c r="CL119" t="str">
        <f t="shared" si="378"/>
        <v>A Tennis</v>
      </c>
      <c r="CM119" t="str">
        <f t="shared" si="386"/>
        <v>Tennis A</v>
      </c>
      <c r="CN119" t="str">
        <f t="shared" si="379"/>
        <v>Diff</v>
      </c>
    </row>
    <row r="120" spans="8:92">
      <c r="H120">
        <v>113</v>
      </c>
      <c r="I120">
        <v>3</v>
      </c>
      <c r="J120">
        <v>5</v>
      </c>
      <c r="K120">
        <v>8</v>
      </c>
      <c r="L120">
        <v>11</v>
      </c>
      <c r="M120">
        <v>14</v>
      </c>
      <c r="N120">
        <v>12</v>
      </c>
      <c r="O120">
        <v>15</v>
      </c>
      <c r="P120">
        <v>17</v>
      </c>
      <c r="Q120">
        <v>19</v>
      </c>
      <c r="R120">
        <v>20</v>
      </c>
      <c r="S120">
        <v>1</v>
      </c>
      <c r="T120">
        <v>2</v>
      </c>
      <c r="U120">
        <v>4</v>
      </c>
      <c r="V120">
        <v>6</v>
      </c>
      <c r="W120">
        <v>9</v>
      </c>
      <c r="X120">
        <v>7</v>
      </c>
      <c r="Y120">
        <v>10</v>
      </c>
      <c r="Z120">
        <v>13</v>
      </c>
      <c r="AA120">
        <v>16</v>
      </c>
      <c r="AB120">
        <v>18</v>
      </c>
      <c r="AD120">
        <f t="shared" ref="AD120:AH120" si="426">SUMIFS($I120:$AB120,$I$2:$AB$2,AD$7)</f>
        <v>23</v>
      </c>
      <c r="AE120">
        <f t="shared" si="426"/>
        <v>32</v>
      </c>
      <c r="AF120">
        <f t="shared" si="426"/>
        <v>42</v>
      </c>
      <c r="AG120">
        <f t="shared" si="426"/>
        <v>52</v>
      </c>
      <c r="AH120">
        <f t="shared" si="426"/>
        <v>61</v>
      </c>
      <c r="AI120">
        <f t="shared" si="388"/>
        <v>124</v>
      </c>
      <c r="AJ120">
        <f t="shared" si="388"/>
        <v>86</v>
      </c>
      <c r="AK120">
        <f t="shared" si="389"/>
        <v>147</v>
      </c>
      <c r="AL120">
        <f t="shared" si="389"/>
        <v>63</v>
      </c>
      <c r="AN120" s="67">
        <f t="shared" ref="AN120:AV120" si="427">((AD120-MIN($AD120:$AL120))/(MAX($AD120:$AL120)-MIN($AD120:$AL120)))</f>
        <v>0</v>
      </c>
      <c r="AO120" s="67">
        <f t="shared" si="427"/>
        <v>7.2580645161290328E-2</v>
      </c>
      <c r="AP120" s="67">
        <f t="shared" si="427"/>
        <v>0.15322580645161291</v>
      </c>
      <c r="AQ120" s="67">
        <f t="shared" si="427"/>
        <v>0.23387096774193547</v>
      </c>
      <c r="AR120" s="67">
        <f t="shared" si="427"/>
        <v>0.30645161290322581</v>
      </c>
      <c r="AS120" s="67">
        <f t="shared" si="427"/>
        <v>0.81451612903225812</v>
      </c>
      <c r="AT120" s="67">
        <f t="shared" si="427"/>
        <v>0.50806451612903225</v>
      </c>
      <c r="AU120" s="67">
        <f t="shared" si="427"/>
        <v>1</v>
      </c>
      <c r="AV120" s="67">
        <f t="shared" si="427"/>
        <v>0.32258064516129031</v>
      </c>
      <c r="AX120">
        <f t="shared" si="241"/>
        <v>0.30645161290322581</v>
      </c>
      <c r="AY120">
        <f t="shared" si="242"/>
        <v>0.30645161290322587</v>
      </c>
      <c r="AZ120">
        <f t="shared" si="243"/>
        <v>0.67741935483870974</v>
      </c>
      <c r="BB120">
        <f t="shared" ref="BB120:BD120" si="428">AX120/SUM($AX120:$AZ120)</f>
        <v>0.23749999999999996</v>
      </c>
      <c r="BC120">
        <f t="shared" si="428"/>
        <v>0.23750000000000002</v>
      </c>
      <c r="BD120">
        <f t="shared" si="428"/>
        <v>0.52500000000000002</v>
      </c>
      <c r="BF120" t="str">
        <f t="shared" si="245"/>
        <v>Theme</v>
      </c>
      <c r="BG120" t="str">
        <f t="shared" si="246"/>
        <v>A</v>
      </c>
      <c r="BI120">
        <f t="shared" si="247"/>
        <v>3.5</v>
      </c>
      <c r="BJ120" t="str">
        <f t="shared" si="248"/>
        <v>Tennis</v>
      </c>
      <c r="BK120" t="str">
        <f t="shared" si="249"/>
        <v>A</v>
      </c>
      <c r="BS120">
        <f t="shared" si="367"/>
        <v>0.30645161290322581</v>
      </c>
      <c r="BT120">
        <f t="shared" si="368"/>
        <v>0.30645161290322587</v>
      </c>
      <c r="BU120">
        <f t="shared" si="369"/>
        <v>-0.67741935483870974</v>
      </c>
      <c r="BW120">
        <f t="shared" si="370"/>
        <v>-0.85196193689073108</v>
      </c>
      <c r="BX120">
        <f t="shared" si="371"/>
        <v>0.67803744086007134</v>
      </c>
      <c r="BY120">
        <f t="shared" si="372"/>
        <v>-1.4480157340280904</v>
      </c>
      <c r="CB120">
        <f t="shared" si="373"/>
        <v>3.1481884324122453</v>
      </c>
      <c r="CC120">
        <f t="shared" si="374"/>
        <v>3.0689937223488686</v>
      </c>
      <c r="CD120">
        <f t="shared" si="375"/>
        <v>0.57691839311341497</v>
      </c>
      <c r="CE120">
        <f t="shared" si="376"/>
        <v>1.9293414943711755</v>
      </c>
      <c r="CF120">
        <f t="shared" si="377"/>
        <v>2.6309744339296701</v>
      </c>
      <c r="CG120">
        <f t="shared" si="269"/>
        <v>0.57691839311341497</v>
      </c>
      <c r="CK120" t="str">
        <f t="shared" si="407"/>
        <v>Cluster 3</v>
      </c>
      <c r="CL120" t="str">
        <f t="shared" si="378"/>
        <v>A Tennis</v>
      </c>
      <c r="CM120" t="str">
        <f t="shared" si="386"/>
        <v>Tennis A</v>
      </c>
      <c r="CN120" t="str">
        <f t="shared" si="379"/>
        <v>Diff</v>
      </c>
    </row>
    <row r="121" spans="8:92">
      <c r="H121">
        <v>114</v>
      </c>
      <c r="I121">
        <v>2</v>
      </c>
      <c r="J121">
        <v>6</v>
      </c>
      <c r="K121">
        <v>10</v>
      </c>
      <c r="L121">
        <v>14</v>
      </c>
      <c r="M121">
        <v>18</v>
      </c>
      <c r="N121">
        <v>4</v>
      </c>
      <c r="O121">
        <v>8</v>
      </c>
      <c r="P121">
        <v>12</v>
      </c>
      <c r="Q121">
        <v>16</v>
      </c>
      <c r="R121">
        <v>20</v>
      </c>
      <c r="S121">
        <v>1</v>
      </c>
      <c r="T121">
        <v>5</v>
      </c>
      <c r="U121">
        <v>9</v>
      </c>
      <c r="V121">
        <v>13</v>
      </c>
      <c r="W121">
        <v>17</v>
      </c>
      <c r="X121">
        <v>3</v>
      </c>
      <c r="Y121">
        <v>7</v>
      </c>
      <c r="Z121">
        <v>11</v>
      </c>
      <c r="AA121">
        <v>15</v>
      </c>
      <c r="AB121">
        <v>19</v>
      </c>
      <c r="AD121">
        <f t="shared" ref="AD121:AH121" si="429">SUMIFS($I121:$AB121,$I$2:$AB$2,AD$7)</f>
        <v>10</v>
      </c>
      <c r="AE121">
        <f t="shared" si="429"/>
        <v>26</v>
      </c>
      <c r="AF121">
        <f t="shared" si="429"/>
        <v>42</v>
      </c>
      <c r="AG121">
        <f t="shared" si="429"/>
        <v>58</v>
      </c>
      <c r="AH121">
        <f t="shared" si="429"/>
        <v>74</v>
      </c>
      <c r="AI121">
        <f t="shared" si="388"/>
        <v>110</v>
      </c>
      <c r="AJ121">
        <f t="shared" si="388"/>
        <v>100</v>
      </c>
      <c r="AK121">
        <f t="shared" si="389"/>
        <v>115</v>
      </c>
      <c r="AL121">
        <f t="shared" si="389"/>
        <v>95</v>
      </c>
      <c r="AN121" s="67">
        <f t="shared" ref="AN121:AV121" si="430">((AD121-MIN($AD121:$AL121))/(MAX($AD121:$AL121)-MIN($AD121:$AL121)))</f>
        <v>0</v>
      </c>
      <c r="AO121" s="67">
        <f t="shared" si="430"/>
        <v>0.15238095238095239</v>
      </c>
      <c r="AP121" s="67">
        <f t="shared" si="430"/>
        <v>0.30476190476190479</v>
      </c>
      <c r="AQ121" s="67">
        <f t="shared" si="430"/>
        <v>0.45714285714285713</v>
      </c>
      <c r="AR121" s="67">
        <f t="shared" si="430"/>
        <v>0.60952380952380958</v>
      </c>
      <c r="AS121" s="67">
        <f t="shared" si="430"/>
        <v>0.95238095238095233</v>
      </c>
      <c r="AT121" s="67">
        <f t="shared" si="430"/>
        <v>0.8571428571428571</v>
      </c>
      <c r="AU121" s="67">
        <f t="shared" si="430"/>
        <v>1</v>
      </c>
      <c r="AV121" s="67">
        <f t="shared" si="430"/>
        <v>0.80952380952380953</v>
      </c>
      <c r="AX121">
        <f t="shared" si="241"/>
        <v>0.60952380952380958</v>
      </c>
      <c r="AY121">
        <f t="shared" si="242"/>
        <v>9.5238095238095233E-2</v>
      </c>
      <c r="AZ121">
        <f t="shared" si="243"/>
        <v>0.19047619047619047</v>
      </c>
      <c r="BB121">
        <f t="shared" ref="BB121:BD121" si="431">AX121/SUM($AX121:$AZ121)</f>
        <v>0.68085106382978722</v>
      </c>
      <c r="BC121">
        <f t="shared" si="431"/>
        <v>0.10638297872340424</v>
      </c>
      <c r="BD121">
        <f t="shared" si="431"/>
        <v>0.21276595744680848</v>
      </c>
      <c r="BF121" t="str">
        <f t="shared" si="245"/>
        <v>Price</v>
      </c>
      <c r="BG121">
        <f t="shared" si="246"/>
        <v>3.5</v>
      </c>
      <c r="BI121">
        <f t="shared" si="247"/>
        <v>3.5</v>
      </c>
      <c r="BJ121" t="str">
        <f t="shared" si="248"/>
        <v>Tennis</v>
      </c>
      <c r="BK121" t="str">
        <f t="shared" si="249"/>
        <v>A</v>
      </c>
      <c r="BS121">
        <f t="shared" si="367"/>
        <v>0.60952380952380958</v>
      </c>
      <c r="BT121">
        <f t="shared" si="368"/>
        <v>9.5238095238095233E-2</v>
      </c>
      <c r="BU121">
        <f t="shared" si="369"/>
        <v>-0.19047619047619047</v>
      </c>
      <c r="BW121">
        <f t="shared" si="370"/>
        <v>1.8178197010872597</v>
      </c>
      <c r="BX121">
        <f t="shared" si="371"/>
        <v>0.21620548536480494</v>
      </c>
      <c r="BY121">
        <f t="shared" si="372"/>
        <v>-0.41924239047412343</v>
      </c>
      <c r="CB121">
        <f t="shared" si="373"/>
        <v>3.1785014156279523</v>
      </c>
      <c r="CC121">
        <f t="shared" si="374"/>
        <v>0.44813656952540182</v>
      </c>
      <c r="CD121">
        <f t="shared" si="375"/>
        <v>2.5680894480045837</v>
      </c>
      <c r="CE121">
        <f t="shared" si="376"/>
        <v>2.7535355087866233</v>
      </c>
      <c r="CF121">
        <f t="shared" si="377"/>
        <v>2.941185316104574</v>
      </c>
      <c r="CG121">
        <f t="shared" si="269"/>
        <v>0.44813656952540182</v>
      </c>
      <c r="CK121" t="str">
        <f t="shared" si="407"/>
        <v>Cluster 2</v>
      </c>
      <c r="CL121" t="str">
        <f t="shared" si="378"/>
        <v>Price Only</v>
      </c>
      <c r="CM121" t="str">
        <f t="shared" si="386"/>
        <v>Price Only</v>
      </c>
      <c r="CN121" t="str">
        <f t="shared" si="379"/>
        <v/>
      </c>
    </row>
    <row r="122" spans="8:92">
      <c r="H122">
        <v>115</v>
      </c>
      <c r="I122">
        <v>5</v>
      </c>
      <c r="J122">
        <v>8</v>
      </c>
      <c r="K122">
        <v>10</v>
      </c>
      <c r="L122">
        <v>12</v>
      </c>
      <c r="M122">
        <v>15</v>
      </c>
      <c r="N122">
        <v>1</v>
      </c>
      <c r="O122">
        <v>2</v>
      </c>
      <c r="P122">
        <v>3</v>
      </c>
      <c r="Q122">
        <v>5</v>
      </c>
      <c r="R122">
        <v>8</v>
      </c>
      <c r="S122">
        <v>14</v>
      </c>
      <c r="T122">
        <v>17</v>
      </c>
      <c r="U122">
        <v>18</v>
      </c>
      <c r="V122">
        <v>19</v>
      </c>
      <c r="W122">
        <v>20</v>
      </c>
      <c r="X122">
        <v>6</v>
      </c>
      <c r="Y122">
        <v>9</v>
      </c>
      <c r="Z122">
        <v>11</v>
      </c>
      <c r="AA122">
        <v>14</v>
      </c>
      <c r="AB122">
        <v>17</v>
      </c>
      <c r="AD122">
        <f t="shared" ref="AD122:AH122" si="432">SUMIFS($I122:$AB122,$I$2:$AB$2,AD$7)</f>
        <v>26</v>
      </c>
      <c r="AE122">
        <f t="shared" si="432"/>
        <v>36</v>
      </c>
      <c r="AF122">
        <f t="shared" si="432"/>
        <v>42</v>
      </c>
      <c r="AG122">
        <f t="shared" si="432"/>
        <v>50</v>
      </c>
      <c r="AH122">
        <f t="shared" si="432"/>
        <v>60</v>
      </c>
      <c r="AI122">
        <f t="shared" si="388"/>
        <v>69</v>
      </c>
      <c r="AJ122">
        <f t="shared" si="388"/>
        <v>145</v>
      </c>
      <c r="AK122">
        <f t="shared" si="389"/>
        <v>76</v>
      </c>
      <c r="AL122">
        <f t="shared" si="389"/>
        <v>138</v>
      </c>
      <c r="AN122" s="67">
        <f t="shared" ref="AN122:AV122" si="433">((AD122-MIN($AD122:$AL122))/(MAX($AD122:$AL122)-MIN($AD122:$AL122)))</f>
        <v>0</v>
      </c>
      <c r="AO122" s="67">
        <f t="shared" si="433"/>
        <v>8.4033613445378158E-2</v>
      </c>
      <c r="AP122" s="67">
        <f t="shared" si="433"/>
        <v>0.13445378151260504</v>
      </c>
      <c r="AQ122" s="67">
        <f t="shared" si="433"/>
        <v>0.20168067226890757</v>
      </c>
      <c r="AR122" s="67">
        <f t="shared" si="433"/>
        <v>0.2857142857142857</v>
      </c>
      <c r="AS122" s="67">
        <f t="shared" si="433"/>
        <v>0.36134453781512604</v>
      </c>
      <c r="AT122" s="67">
        <f t="shared" si="433"/>
        <v>1</v>
      </c>
      <c r="AU122" s="67">
        <f t="shared" si="433"/>
        <v>0.42016806722689076</v>
      </c>
      <c r="AV122" s="67">
        <f t="shared" si="433"/>
        <v>0.94117647058823528</v>
      </c>
      <c r="AX122">
        <f t="shared" si="241"/>
        <v>0.2857142857142857</v>
      </c>
      <c r="AY122">
        <f t="shared" si="242"/>
        <v>0.6386554621848739</v>
      </c>
      <c r="AZ122">
        <f t="shared" si="243"/>
        <v>0.52100840336134446</v>
      </c>
      <c r="BB122">
        <f t="shared" ref="BB122:BD122" si="434">AX122/SUM($AX122:$AZ122)</f>
        <v>0.19767441860465118</v>
      </c>
      <c r="BC122">
        <f t="shared" si="434"/>
        <v>0.44186046511627913</v>
      </c>
      <c r="BD122">
        <f t="shared" si="434"/>
        <v>0.3604651162790698</v>
      </c>
      <c r="BF122" t="str">
        <f t="shared" si="245"/>
        <v xml:space="preserve">Brand </v>
      </c>
      <c r="BG122" t="str">
        <f t="shared" si="246"/>
        <v>Super Bowl</v>
      </c>
      <c r="BI122">
        <f t="shared" si="247"/>
        <v>3.5</v>
      </c>
      <c r="BJ122" t="str">
        <f t="shared" si="248"/>
        <v>Super Bowl</v>
      </c>
      <c r="BK122" t="str">
        <f t="shared" si="249"/>
        <v>B</v>
      </c>
      <c r="BS122">
        <f t="shared" si="367"/>
        <v>0.2857142857142857</v>
      </c>
      <c r="BT122">
        <f t="shared" si="368"/>
        <v>-0.6386554621848739</v>
      </c>
      <c r="BU122">
        <f t="shared" si="369"/>
        <v>0.52100840336134446</v>
      </c>
      <c r="BW122">
        <f t="shared" si="370"/>
        <v>-1.0346383287442684</v>
      </c>
      <c r="BX122">
        <f t="shared" si="371"/>
        <v>-1.3885000301571429</v>
      </c>
      <c r="BY122">
        <f t="shared" si="372"/>
        <v>1.0839235600072148</v>
      </c>
      <c r="CB122">
        <f t="shared" si="373"/>
        <v>0.48579981350359519</v>
      </c>
      <c r="CC122">
        <f t="shared" si="374"/>
        <v>3.4225791896690314</v>
      </c>
      <c r="CD122">
        <f t="shared" si="375"/>
        <v>3.370726702916071</v>
      </c>
      <c r="CE122">
        <f t="shared" si="376"/>
        <v>2.208904842808626</v>
      </c>
      <c r="CF122">
        <f t="shared" si="377"/>
        <v>2.5657883827005104</v>
      </c>
      <c r="CG122">
        <f t="shared" si="269"/>
        <v>0.48579981350359519</v>
      </c>
      <c r="CK122" t="str">
        <f t="shared" si="407"/>
        <v>Cluster 1</v>
      </c>
      <c r="CL122" t="str">
        <f t="shared" si="378"/>
        <v>B Super Bowl</v>
      </c>
      <c r="CM122" t="str">
        <f t="shared" si="386"/>
        <v>Super Bowl B</v>
      </c>
      <c r="CN122" t="str">
        <f t="shared" si="379"/>
        <v>Diff</v>
      </c>
    </row>
    <row r="123" spans="8:92">
      <c r="H123">
        <v>116</v>
      </c>
      <c r="I123">
        <v>5</v>
      </c>
      <c r="J123">
        <v>8</v>
      </c>
      <c r="K123">
        <v>11</v>
      </c>
      <c r="L123">
        <v>14</v>
      </c>
      <c r="M123">
        <v>17</v>
      </c>
      <c r="N123">
        <v>1</v>
      </c>
      <c r="O123">
        <v>2</v>
      </c>
      <c r="P123">
        <v>3</v>
      </c>
      <c r="Q123">
        <v>6</v>
      </c>
      <c r="R123">
        <v>9</v>
      </c>
      <c r="S123">
        <v>12</v>
      </c>
      <c r="T123">
        <v>15</v>
      </c>
      <c r="U123">
        <v>18</v>
      </c>
      <c r="V123">
        <v>19</v>
      </c>
      <c r="W123">
        <v>20</v>
      </c>
      <c r="X123">
        <v>4</v>
      </c>
      <c r="Y123">
        <v>7</v>
      </c>
      <c r="Z123">
        <v>10</v>
      </c>
      <c r="AA123">
        <v>13</v>
      </c>
      <c r="AB123">
        <v>16</v>
      </c>
      <c r="AD123">
        <f t="shared" ref="AD123:AH123" si="435">SUMIFS($I123:$AB123,$I$2:$AB$2,AD$7)</f>
        <v>22</v>
      </c>
      <c r="AE123">
        <f t="shared" si="435"/>
        <v>32</v>
      </c>
      <c r="AF123">
        <f t="shared" si="435"/>
        <v>42</v>
      </c>
      <c r="AG123">
        <f t="shared" si="435"/>
        <v>52</v>
      </c>
      <c r="AH123">
        <f t="shared" si="435"/>
        <v>62</v>
      </c>
      <c r="AI123">
        <f t="shared" si="388"/>
        <v>76</v>
      </c>
      <c r="AJ123">
        <f t="shared" si="388"/>
        <v>134</v>
      </c>
      <c r="AK123">
        <f t="shared" si="389"/>
        <v>71</v>
      </c>
      <c r="AL123">
        <f t="shared" si="389"/>
        <v>139</v>
      </c>
      <c r="AN123" s="67">
        <f t="shared" ref="AN123:AV123" si="436">((AD123-MIN($AD123:$AL123))/(MAX($AD123:$AL123)-MIN($AD123:$AL123)))</f>
        <v>0</v>
      </c>
      <c r="AO123" s="67">
        <f t="shared" si="436"/>
        <v>8.5470085470085472E-2</v>
      </c>
      <c r="AP123" s="67">
        <f t="shared" si="436"/>
        <v>0.17094017094017094</v>
      </c>
      <c r="AQ123" s="67">
        <f t="shared" si="436"/>
        <v>0.25641025641025639</v>
      </c>
      <c r="AR123" s="67">
        <f t="shared" si="436"/>
        <v>0.34188034188034189</v>
      </c>
      <c r="AS123" s="67">
        <f t="shared" si="436"/>
        <v>0.46153846153846156</v>
      </c>
      <c r="AT123" s="67">
        <f t="shared" si="436"/>
        <v>0.95726495726495731</v>
      </c>
      <c r="AU123" s="67">
        <f t="shared" si="436"/>
        <v>0.41880341880341881</v>
      </c>
      <c r="AV123" s="67">
        <f t="shared" si="436"/>
        <v>1</v>
      </c>
      <c r="AX123">
        <f t="shared" si="241"/>
        <v>0.34188034188034189</v>
      </c>
      <c r="AY123">
        <f t="shared" si="242"/>
        <v>0.49572649572649574</v>
      </c>
      <c r="AZ123">
        <f t="shared" si="243"/>
        <v>0.58119658119658113</v>
      </c>
      <c r="BB123">
        <f t="shared" ref="BB123:BD123" si="437">AX123/SUM($AX123:$AZ123)</f>
        <v>0.24096385542168677</v>
      </c>
      <c r="BC123">
        <f t="shared" si="437"/>
        <v>0.34939759036144585</v>
      </c>
      <c r="BD123">
        <f t="shared" si="437"/>
        <v>0.40963855421686746</v>
      </c>
      <c r="BF123" t="str">
        <f t="shared" si="245"/>
        <v>Theme</v>
      </c>
      <c r="BG123" t="str">
        <f t="shared" si="246"/>
        <v>B</v>
      </c>
      <c r="BI123">
        <f t="shared" si="247"/>
        <v>3.5</v>
      </c>
      <c r="BJ123" t="str">
        <f t="shared" si="248"/>
        <v>Super Bowl</v>
      </c>
      <c r="BK123" t="str">
        <f t="shared" si="249"/>
        <v>B</v>
      </c>
      <c r="BS123">
        <f t="shared" si="367"/>
        <v>0.34188034188034189</v>
      </c>
      <c r="BT123">
        <f t="shared" si="368"/>
        <v>-0.49572649572649574</v>
      </c>
      <c r="BU123">
        <f t="shared" si="369"/>
        <v>0.58119658119658113</v>
      </c>
      <c r="BW123">
        <f t="shared" si="370"/>
        <v>-0.53986808224257044</v>
      </c>
      <c r="BX123">
        <f t="shared" si="371"/>
        <v>-1.0759766424209249</v>
      </c>
      <c r="BY123">
        <f t="shared" si="372"/>
        <v>1.2110841764521332</v>
      </c>
      <c r="CB123">
        <f t="shared" si="373"/>
        <v>0.14518421319048438</v>
      </c>
      <c r="CC123">
        <f t="shared" si="374"/>
        <v>2.9214573570791518</v>
      </c>
      <c r="CD123">
        <f t="shared" si="375"/>
        <v>3.1998056505731678</v>
      </c>
      <c r="CE123">
        <f t="shared" si="376"/>
        <v>2.2564514213556155</v>
      </c>
      <c r="CF123">
        <f t="shared" si="377"/>
        <v>2.2019278871561045</v>
      </c>
      <c r="CG123">
        <f t="shared" si="269"/>
        <v>0.14518421319048438</v>
      </c>
      <c r="CK123" t="str">
        <f t="shared" si="407"/>
        <v>Cluster 1</v>
      </c>
      <c r="CL123" t="str">
        <f t="shared" si="378"/>
        <v>B Super Bowl</v>
      </c>
      <c r="CM123" t="str">
        <f t="shared" si="386"/>
        <v>Super Bowl B</v>
      </c>
      <c r="CN123" t="str">
        <f t="shared" si="379"/>
        <v>Diff</v>
      </c>
    </row>
    <row r="124" spans="8:92">
      <c r="H124">
        <v>117</v>
      </c>
      <c r="I124">
        <v>4</v>
      </c>
      <c r="J124">
        <v>7</v>
      </c>
      <c r="K124">
        <v>10</v>
      </c>
      <c r="L124">
        <v>13</v>
      </c>
      <c r="M124">
        <v>16</v>
      </c>
      <c r="N124">
        <v>12</v>
      </c>
      <c r="O124">
        <v>15</v>
      </c>
      <c r="P124">
        <v>18</v>
      </c>
      <c r="Q124">
        <v>19</v>
      </c>
      <c r="R124">
        <v>20</v>
      </c>
      <c r="S124">
        <v>1</v>
      </c>
      <c r="T124">
        <v>2</v>
      </c>
      <c r="U124">
        <v>4</v>
      </c>
      <c r="V124">
        <v>7</v>
      </c>
      <c r="W124">
        <v>10</v>
      </c>
      <c r="X124">
        <v>5</v>
      </c>
      <c r="Y124">
        <v>8</v>
      </c>
      <c r="Z124">
        <v>12</v>
      </c>
      <c r="AA124">
        <v>15</v>
      </c>
      <c r="AB124">
        <v>18</v>
      </c>
      <c r="AD124">
        <f t="shared" ref="AD124:AH124" si="438">SUMIFS($I124:$AB124,$I$2:$AB$2,AD$7)</f>
        <v>22</v>
      </c>
      <c r="AE124">
        <f t="shared" si="438"/>
        <v>32</v>
      </c>
      <c r="AF124">
        <f t="shared" si="438"/>
        <v>44</v>
      </c>
      <c r="AG124">
        <f t="shared" si="438"/>
        <v>54</v>
      </c>
      <c r="AH124">
        <f t="shared" si="438"/>
        <v>64</v>
      </c>
      <c r="AI124">
        <f t="shared" si="388"/>
        <v>134</v>
      </c>
      <c r="AJ124">
        <f t="shared" si="388"/>
        <v>82</v>
      </c>
      <c r="AK124">
        <f t="shared" si="389"/>
        <v>142</v>
      </c>
      <c r="AL124">
        <f t="shared" si="389"/>
        <v>74</v>
      </c>
      <c r="AN124" s="67">
        <f t="shared" ref="AN124:AV124" si="439">((AD124-MIN($AD124:$AL124))/(MAX($AD124:$AL124)-MIN($AD124:$AL124)))</f>
        <v>0</v>
      </c>
      <c r="AO124" s="67">
        <f t="shared" si="439"/>
        <v>8.3333333333333329E-2</v>
      </c>
      <c r="AP124" s="67">
        <f t="shared" si="439"/>
        <v>0.18333333333333332</v>
      </c>
      <c r="AQ124" s="67">
        <f t="shared" si="439"/>
        <v>0.26666666666666666</v>
      </c>
      <c r="AR124" s="67">
        <f t="shared" si="439"/>
        <v>0.35</v>
      </c>
      <c r="AS124" s="67">
        <f t="shared" si="439"/>
        <v>0.93333333333333335</v>
      </c>
      <c r="AT124" s="67">
        <f t="shared" si="439"/>
        <v>0.5</v>
      </c>
      <c r="AU124" s="67">
        <f t="shared" si="439"/>
        <v>1</v>
      </c>
      <c r="AV124" s="67">
        <f t="shared" si="439"/>
        <v>0.43333333333333335</v>
      </c>
      <c r="AX124">
        <f t="shared" si="241"/>
        <v>0.35</v>
      </c>
      <c r="AY124">
        <f t="shared" si="242"/>
        <v>0.43333333333333335</v>
      </c>
      <c r="AZ124">
        <f t="shared" si="243"/>
        <v>0.56666666666666665</v>
      </c>
      <c r="BB124">
        <f t="shared" ref="BB124:BD124" si="440">AX124/SUM($AX124:$AZ124)</f>
        <v>0.25925925925925924</v>
      </c>
      <c r="BC124">
        <f t="shared" si="440"/>
        <v>0.32098765432098764</v>
      </c>
      <c r="BD124">
        <f t="shared" si="440"/>
        <v>0.41975308641975306</v>
      </c>
      <c r="BF124" t="str">
        <f t="shared" si="245"/>
        <v>Theme</v>
      </c>
      <c r="BG124" t="str">
        <f t="shared" si="246"/>
        <v>A</v>
      </c>
      <c r="BI124">
        <f t="shared" si="247"/>
        <v>3.5</v>
      </c>
      <c r="BJ124" t="str">
        <f t="shared" si="248"/>
        <v>Tennis</v>
      </c>
      <c r="BK124" t="str">
        <f t="shared" si="249"/>
        <v>A</v>
      </c>
      <c r="BS124">
        <f t="shared" si="367"/>
        <v>0.35</v>
      </c>
      <c r="BT124">
        <f t="shared" si="368"/>
        <v>0.43333333333333335</v>
      </c>
      <c r="BU124">
        <f t="shared" si="369"/>
        <v>-0.56666666666666665</v>
      </c>
      <c r="BW124">
        <f t="shared" si="370"/>
        <v>-0.46834151399830348</v>
      </c>
      <c r="BX124">
        <f t="shared" si="371"/>
        <v>0.95547249194304584</v>
      </c>
      <c r="BY124">
        <f t="shared" si="372"/>
        <v>-1.2140265918506736</v>
      </c>
      <c r="CB124">
        <f t="shared" si="373"/>
        <v>3.13426755003935</v>
      </c>
      <c r="CC124">
        <f t="shared" si="374"/>
        <v>2.6887997217722246</v>
      </c>
      <c r="CD124">
        <f t="shared" si="375"/>
        <v>9.3903590633404588E-2</v>
      </c>
      <c r="CE124">
        <f t="shared" si="376"/>
        <v>2.1331289400613449</v>
      </c>
      <c r="CF124">
        <f t="shared" si="377"/>
        <v>2.3436348987896576</v>
      </c>
      <c r="CG124">
        <f t="shared" si="269"/>
        <v>9.3903590633404588E-2</v>
      </c>
      <c r="CK124" t="str">
        <f t="shared" si="407"/>
        <v>Cluster 3</v>
      </c>
      <c r="CL124" t="str">
        <f t="shared" si="378"/>
        <v>A Tennis</v>
      </c>
      <c r="CM124" t="str">
        <f t="shared" si="386"/>
        <v>Tennis A</v>
      </c>
      <c r="CN124" t="str">
        <f t="shared" si="379"/>
        <v>Diff</v>
      </c>
    </row>
    <row r="125" spans="8:92">
      <c r="H125">
        <v>118</v>
      </c>
      <c r="I125">
        <v>5</v>
      </c>
      <c r="J125">
        <v>8</v>
      </c>
      <c r="K125">
        <v>12</v>
      </c>
      <c r="L125">
        <v>15</v>
      </c>
      <c r="M125">
        <v>18</v>
      </c>
      <c r="N125">
        <v>1</v>
      </c>
      <c r="O125">
        <v>2</v>
      </c>
      <c r="P125">
        <v>4</v>
      </c>
      <c r="Q125">
        <v>7</v>
      </c>
      <c r="R125">
        <v>11</v>
      </c>
      <c r="S125">
        <v>10</v>
      </c>
      <c r="T125">
        <v>14</v>
      </c>
      <c r="U125">
        <v>17</v>
      </c>
      <c r="V125">
        <v>19</v>
      </c>
      <c r="W125">
        <v>20</v>
      </c>
      <c r="X125">
        <v>3</v>
      </c>
      <c r="Y125">
        <v>6</v>
      </c>
      <c r="Z125">
        <v>9</v>
      </c>
      <c r="AA125">
        <v>13</v>
      </c>
      <c r="AB125">
        <v>16</v>
      </c>
      <c r="AD125">
        <f t="shared" ref="AD125:AH125" si="441">SUMIFS($I125:$AB125,$I$2:$AB$2,AD$7)</f>
        <v>19</v>
      </c>
      <c r="AE125">
        <f t="shared" si="441"/>
        <v>30</v>
      </c>
      <c r="AF125">
        <f t="shared" si="441"/>
        <v>42</v>
      </c>
      <c r="AG125">
        <f t="shared" si="441"/>
        <v>54</v>
      </c>
      <c r="AH125">
        <f t="shared" si="441"/>
        <v>65</v>
      </c>
      <c r="AI125">
        <f t="shared" si="388"/>
        <v>83</v>
      </c>
      <c r="AJ125">
        <f t="shared" si="388"/>
        <v>127</v>
      </c>
      <c r="AK125">
        <f t="shared" si="389"/>
        <v>72</v>
      </c>
      <c r="AL125">
        <f t="shared" si="389"/>
        <v>138</v>
      </c>
      <c r="AN125" s="67">
        <f t="shared" ref="AN125:AV125" si="442">((AD125-MIN($AD125:$AL125))/(MAX($AD125:$AL125)-MIN($AD125:$AL125)))</f>
        <v>0</v>
      </c>
      <c r="AO125" s="67">
        <f t="shared" si="442"/>
        <v>9.2436974789915971E-2</v>
      </c>
      <c r="AP125" s="67">
        <f t="shared" si="442"/>
        <v>0.19327731092436976</v>
      </c>
      <c r="AQ125" s="67">
        <f t="shared" si="442"/>
        <v>0.29411764705882354</v>
      </c>
      <c r="AR125" s="67">
        <f t="shared" si="442"/>
        <v>0.38655462184873951</v>
      </c>
      <c r="AS125" s="67">
        <f t="shared" si="442"/>
        <v>0.53781512605042014</v>
      </c>
      <c r="AT125" s="67">
        <f t="shared" si="442"/>
        <v>0.90756302521008403</v>
      </c>
      <c r="AU125" s="67">
        <f t="shared" si="442"/>
        <v>0.44537815126050423</v>
      </c>
      <c r="AV125" s="67">
        <f t="shared" si="442"/>
        <v>1</v>
      </c>
      <c r="AX125">
        <f t="shared" si="241"/>
        <v>0.38655462184873951</v>
      </c>
      <c r="AY125">
        <f t="shared" si="242"/>
        <v>0.36974789915966388</v>
      </c>
      <c r="AZ125">
        <f t="shared" si="243"/>
        <v>0.55462184873949583</v>
      </c>
      <c r="BB125">
        <f t="shared" ref="BB125:BD125" si="443">AX125/SUM($AX125:$AZ125)</f>
        <v>0.29487179487179488</v>
      </c>
      <c r="BC125">
        <f t="shared" si="443"/>
        <v>0.28205128205128205</v>
      </c>
      <c r="BD125">
        <f t="shared" si="443"/>
        <v>0.42307692307692307</v>
      </c>
      <c r="BF125" t="str">
        <f t="shared" si="245"/>
        <v>Theme</v>
      </c>
      <c r="BG125" t="str">
        <f t="shared" si="246"/>
        <v>B</v>
      </c>
      <c r="BI125">
        <f t="shared" si="247"/>
        <v>3.5</v>
      </c>
      <c r="BJ125" t="str">
        <f t="shared" si="248"/>
        <v>Super Bowl</v>
      </c>
      <c r="BK125" t="str">
        <f t="shared" si="249"/>
        <v>B</v>
      </c>
      <c r="BS125">
        <f t="shared" si="367"/>
        <v>0.38655462184873951</v>
      </c>
      <c r="BT125">
        <f t="shared" si="368"/>
        <v>-0.36974789915966388</v>
      </c>
      <c r="BU125">
        <f t="shared" si="369"/>
        <v>0.55462184873949583</v>
      </c>
      <c r="BW125">
        <f t="shared" si="370"/>
        <v>-0.14632959973098972</v>
      </c>
      <c r="BX125">
        <f t="shared" si="371"/>
        <v>-0.80051632981322318</v>
      </c>
      <c r="BY125">
        <f t="shared" si="372"/>
        <v>1.1549392742031839</v>
      </c>
      <c r="CB125">
        <f t="shared" si="373"/>
        <v>0.58351036227474395</v>
      </c>
      <c r="CC125">
        <f t="shared" si="374"/>
        <v>2.4665648895521231</v>
      </c>
      <c r="CD125">
        <f t="shared" si="375"/>
        <v>2.9994314689967756</v>
      </c>
      <c r="CE125">
        <f t="shared" si="376"/>
        <v>2.2529473459259166</v>
      </c>
      <c r="CF125">
        <f t="shared" si="377"/>
        <v>1.9600608011598715</v>
      </c>
      <c r="CG125">
        <f t="shared" si="269"/>
        <v>0.58351036227474395</v>
      </c>
      <c r="CK125" t="str">
        <f t="shared" si="407"/>
        <v>Cluster 1</v>
      </c>
      <c r="CL125" t="str">
        <f t="shared" si="378"/>
        <v>B Super Bowl</v>
      </c>
      <c r="CM125" t="str">
        <f t="shared" si="386"/>
        <v>Super Bowl B</v>
      </c>
      <c r="CN125" t="str">
        <f t="shared" si="379"/>
        <v>Diff</v>
      </c>
    </row>
    <row r="126" spans="8:92">
      <c r="H126">
        <v>119</v>
      </c>
      <c r="I126">
        <v>6</v>
      </c>
      <c r="J126">
        <v>9</v>
      </c>
      <c r="K126">
        <v>13</v>
      </c>
      <c r="L126">
        <v>16</v>
      </c>
      <c r="M126">
        <v>18</v>
      </c>
      <c r="N126">
        <v>1</v>
      </c>
      <c r="O126">
        <v>2</v>
      </c>
      <c r="P126">
        <v>4</v>
      </c>
      <c r="Q126">
        <v>7</v>
      </c>
      <c r="R126">
        <v>10</v>
      </c>
      <c r="S126">
        <v>11</v>
      </c>
      <c r="T126">
        <v>14</v>
      </c>
      <c r="U126">
        <v>17</v>
      </c>
      <c r="V126">
        <v>19</v>
      </c>
      <c r="W126">
        <v>20</v>
      </c>
      <c r="X126">
        <v>3</v>
      </c>
      <c r="Y126">
        <v>5</v>
      </c>
      <c r="Z126">
        <v>8</v>
      </c>
      <c r="AA126">
        <v>12</v>
      </c>
      <c r="AB126">
        <v>15</v>
      </c>
      <c r="AD126">
        <f t="shared" ref="AD126:AH126" si="444">SUMIFS($I126:$AB126,$I$2:$AB$2,AD$7)</f>
        <v>21</v>
      </c>
      <c r="AE126">
        <f t="shared" si="444"/>
        <v>30</v>
      </c>
      <c r="AF126">
        <f t="shared" si="444"/>
        <v>42</v>
      </c>
      <c r="AG126">
        <f t="shared" si="444"/>
        <v>54</v>
      </c>
      <c r="AH126">
        <f t="shared" si="444"/>
        <v>63</v>
      </c>
      <c r="AI126">
        <f t="shared" si="388"/>
        <v>86</v>
      </c>
      <c r="AJ126">
        <f t="shared" si="388"/>
        <v>124</v>
      </c>
      <c r="AK126">
        <f t="shared" si="389"/>
        <v>67</v>
      </c>
      <c r="AL126">
        <f t="shared" si="389"/>
        <v>143</v>
      </c>
      <c r="AN126" s="67">
        <f t="shared" ref="AN126:AV126" si="445">((AD126-MIN($AD126:$AL126))/(MAX($AD126:$AL126)-MIN($AD126:$AL126)))</f>
        <v>0</v>
      </c>
      <c r="AO126" s="67">
        <f t="shared" si="445"/>
        <v>7.3770491803278687E-2</v>
      </c>
      <c r="AP126" s="67">
        <f t="shared" si="445"/>
        <v>0.1721311475409836</v>
      </c>
      <c r="AQ126" s="67">
        <f t="shared" si="445"/>
        <v>0.27049180327868855</v>
      </c>
      <c r="AR126" s="67">
        <f t="shared" si="445"/>
        <v>0.34426229508196721</v>
      </c>
      <c r="AS126" s="67">
        <f t="shared" si="445"/>
        <v>0.53278688524590168</v>
      </c>
      <c r="AT126" s="67">
        <f t="shared" si="445"/>
        <v>0.84426229508196726</v>
      </c>
      <c r="AU126" s="67">
        <f t="shared" si="445"/>
        <v>0.37704918032786883</v>
      </c>
      <c r="AV126" s="67">
        <f t="shared" si="445"/>
        <v>1</v>
      </c>
      <c r="AX126">
        <f t="shared" si="241"/>
        <v>0.34426229508196721</v>
      </c>
      <c r="AY126">
        <f t="shared" si="242"/>
        <v>0.31147540983606559</v>
      </c>
      <c r="AZ126">
        <f t="shared" si="243"/>
        <v>0.62295081967213117</v>
      </c>
      <c r="BB126">
        <f t="shared" ref="BB126:BD126" si="446">AX126/SUM($AX126:$AZ126)</f>
        <v>0.26923076923076922</v>
      </c>
      <c r="BC126">
        <f t="shared" si="446"/>
        <v>0.24358974358974358</v>
      </c>
      <c r="BD126">
        <f t="shared" si="446"/>
        <v>0.48717948717948717</v>
      </c>
      <c r="BF126" t="str">
        <f t="shared" si="245"/>
        <v>Theme</v>
      </c>
      <c r="BG126" t="str">
        <f t="shared" si="246"/>
        <v>B</v>
      </c>
      <c r="BI126">
        <f t="shared" si="247"/>
        <v>3.5</v>
      </c>
      <c r="BJ126" t="str">
        <f t="shared" si="248"/>
        <v>Super Bowl</v>
      </c>
      <c r="BK126" t="str">
        <f t="shared" si="249"/>
        <v>B</v>
      </c>
      <c r="BS126">
        <f t="shared" si="367"/>
        <v>0.34426229508196721</v>
      </c>
      <c r="BT126">
        <f t="shared" si="368"/>
        <v>-0.31147540983606559</v>
      </c>
      <c r="BU126">
        <f t="shared" si="369"/>
        <v>0.62295081967213117</v>
      </c>
      <c r="BW126">
        <f t="shared" si="370"/>
        <v>-0.51888530984994685</v>
      </c>
      <c r="BX126">
        <f t="shared" si="371"/>
        <v>-0.67309977999484305</v>
      </c>
      <c r="BY126">
        <f t="shared" si="372"/>
        <v>1.2992990866671204</v>
      </c>
      <c r="CB126">
        <f t="shared" si="373"/>
        <v>0.51820557090185537</v>
      </c>
      <c r="CC126">
        <f t="shared" si="374"/>
        <v>2.7884036687950031</v>
      </c>
      <c r="CD126">
        <f t="shared" si="375"/>
        <v>3.0204369816762839</v>
      </c>
      <c r="CE126">
        <f t="shared" si="376"/>
        <v>2.3944626674626401</v>
      </c>
      <c r="CF126">
        <f t="shared" si="377"/>
        <v>1.8057872759487728</v>
      </c>
      <c r="CG126">
        <f t="shared" si="269"/>
        <v>0.51820557090185537</v>
      </c>
      <c r="CK126" t="str">
        <f t="shared" si="407"/>
        <v>Cluster 1</v>
      </c>
      <c r="CL126" t="str">
        <f t="shared" si="378"/>
        <v>B Super Bowl</v>
      </c>
      <c r="CM126" t="str">
        <f t="shared" si="386"/>
        <v>Super Bowl B</v>
      </c>
      <c r="CN126" t="str">
        <f t="shared" si="379"/>
        <v>Diff</v>
      </c>
    </row>
    <row r="127" spans="8:92">
      <c r="H127">
        <v>120</v>
      </c>
      <c r="I127">
        <v>4</v>
      </c>
      <c r="J127">
        <v>7</v>
      </c>
      <c r="K127">
        <v>10</v>
      </c>
      <c r="L127">
        <v>13</v>
      </c>
      <c r="M127">
        <v>16</v>
      </c>
      <c r="N127">
        <v>13</v>
      </c>
      <c r="O127">
        <v>16</v>
      </c>
      <c r="P127">
        <v>18</v>
      </c>
      <c r="Q127">
        <v>19</v>
      </c>
      <c r="R127">
        <v>20</v>
      </c>
      <c r="S127">
        <v>1</v>
      </c>
      <c r="T127">
        <v>2</v>
      </c>
      <c r="U127">
        <v>3</v>
      </c>
      <c r="V127">
        <v>6</v>
      </c>
      <c r="W127">
        <v>9</v>
      </c>
      <c r="X127">
        <v>6</v>
      </c>
      <c r="Y127">
        <v>9</v>
      </c>
      <c r="Z127">
        <v>11</v>
      </c>
      <c r="AA127">
        <v>14</v>
      </c>
      <c r="AB127">
        <v>17</v>
      </c>
      <c r="AD127">
        <f t="shared" ref="AD127:AH127" si="447">SUMIFS($I127:$AB127,$I$2:$AB$2,AD$7)</f>
        <v>24</v>
      </c>
      <c r="AE127">
        <f t="shared" si="447"/>
        <v>34</v>
      </c>
      <c r="AF127">
        <f t="shared" si="447"/>
        <v>42</v>
      </c>
      <c r="AG127">
        <f t="shared" si="447"/>
        <v>52</v>
      </c>
      <c r="AH127">
        <f t="shared" si="447"/>
        <v>62</v>
      </c>
      <c r="AI127">
        <f t="shared" si="388"/>
        <v>136</v>
      </c>
      <c r="AJ127">
        <f t="shared" si="388"/>
        <v>78</v>
      </c>
      <c r="AK127">
        <f t="shared" si="389"/>
        <v>143</v>
      </c>
      <c r="AL127">
        <f t="shared" si="389"/>
        <v>71</v>
      </c>
      <c r="AN127" s="67">
        <f t="shared" ref="AN127:AV127" si="448">((AD127-MIN($AD127:$AL127))/(MAX($AD127:$AL127)-MIN($AD127:$AL127)))</f>
        <v>0</v>
      </c>
      <c r="AO127" s="67">
        <f t="shared" si="448"/>
        <v>8.4033613445378158E-2</v>
      </c>
      <c r="AP127" s="67">
        <f t="shared" si="448"/>
        <v>0.15126050420168066</v>
      </c>
      <c r="AQ127" s="67">
        <f t="shared" si="448"/>
        <v>0.23529411764705882</v>
      </c>
      <c r="AR127" s="67">
        <f t="shared" si="448"/>
        <v>0.31932773109243695</v>
      </c>
      <c r="AS127" s="67">
        <f t="shared" si="448"/>
        <v>0.94117647058823528</v>
      </c>
      <c r="AT127" s="67">
        <f t="shared" si="448"/>
        <v>0.45378151260504201</v>
      </c>
      <c r="AU127" s="67">
        <f t="shared" si="448"/>
        <v>1</v>
      </c>
      <c r="AV127" s="67">
        <f t="shared" si="448"/>
        <v>0.3949579831932773</v>
      </c>
      <c r="AX127">
        <f t="shared" si="241"/>
        <v>0.31932773109243695</v>
      </c>
      <c r="AY127">
        <f t="shared" si="242"/>
        <v>0.48739495798319327</v>
      </c>
      <c r="AZ127">
        <f t="shared" si="243"/>
        <v>0.60504201680672276</v>
      </c>
      <c r="BB127">
        <f t="shared" ref="BB127:BD127" si="449">AX127/SUM($AX127:$AZ127)</f>
        <v>0.22619047619047616</v>
      </c>
      <c r="BC127">
        <f t="shared" si="449"/>
        <v>0.34523809523809523</v>
      </c>
      <c r="BD127">
        <f t="shared" si="449"/>
        <v>0.4285714285714286</v>
      </c>
      <c r="BF127" t="str">
        <f t="shared" si="245"/>
        <v>Theme</v>
      </c>
      <c r="BG127" t="str">
        <f t="shared" si="246"/>
        <v>A</v>
      </c>
      <c r="BI127">
        <f t="shared" si="247"/>
        <v>3.5</v>
      </c>
      <c r="BJ127" t="str">
        <f t="shared" si="248"/>
        <v>Tennis</v>
      </c>
      <c r="BK127" t="str">
        <f t="shared" si="249"/>
        <v>A</v>
      </c>
      <c r="BS127">
        <f t="shared" si="367"/>
        <v>0.31932773109243695</v>
      </c>
      <c r="BT127">
        <f t="shared" si="368"/>
        <v>0.48739495798319327</v>
      </c>
      <c r="BU127">
        <f t="shared" si="369"/>
        <v>-0.60504201680672276</v>
      </c>
      <c r="BW127">
        <f t="shared" si="370"/>
        <v>-0.73853541907317566</v>
      </c>
      <c r="BX127">
        <f t="shared" si="371"/>
        <v>1.0736817150330213</v>
      </c>
      <c r="BY127">
        <f t="shared" si="372"/>
        <v>-1.2951028655577381</v>
      </c>
      <c r="CB127">
        <f t="shared" si="373"/>
        <v>3.2727630415048896</v>
      </c>
      <c r="CC127">
        <f t="shared" si="374"/>
        <v>2.987396840461356</v>
      </c>
      <c r="CD127">
        <f t="shared" si="375"/>
        <v>0.27353984606145132</v>
      </c>
      <c r="CE127">
        <f t="shared" si="376"/>
        <v>2.2735787158637129</v>
      </c>
      <c r="CF127">
        <f t="shared" si="377"/>
        <v>2.428870316401321</v>
      </c>
      <c r="CG127">
        <f t="shared" si="269"/>
        <v>0.27353984606145132</v>
      </c>
      <c r="CK127" t="str">
        <f t="shared" si="407"/>
        <v>Cluster 3</v>
      </c>
      <c r="CL127" t="str">
        <f t="shared" si="378"/>
        <v>A Tennis</v>
      </c>
      <c r="CM127" t="str">
        <f t="shared" si="386"/>
        <v>Tennis A</v>
      </c>
      <c r="CN127" t="str">
        <f t="shared" si="379"/>
        <v>Diff</v>
      </c>
    </row>
    <row r="128" spans="8:92">
      <c r="H128">
        <v>121</v>
      </c>
      <c r="I128">
        <v>12</v>
      </c>
      <c r="J128">
        <v>15</v>
      </c>
      <c r="K128">
        <v>18</v>
      </c>
      <c r="L128">
        <v>19</v>
      </c>
      <c r="M128">
        <v>20</v>
      </c>
      <c r="N128">
        <v>4</v>
      </c>
      <c r="O128">
        <v>7</v>
      </c>
      <c r="P128">
        <v>10</v>
      </c>
      <c r="Q128">
        <v>13</v>
      </c>
      <c r="R128">
        <v>16</v>
      </c>
      <c r="S128">
        <v>5</v>
      </c>
      <c r="T128">
        <v>8</v>
      </c>
      <c r="U128">
        <v>11</v>
      </c>
      <c r="V128">
        <v>14</v>
      </c>
      <c r="W128">
        <v>17</v>
      </c>
      <c r="X128">
        <v>1</v>
      </c>
      <c r="Y128">
        <v>2</v>
      </c>
      <c r="Z128">
        <v>3</v>
      </c>
      <c r="AA128">
        <v>6</v>
      </c>
      <c r="AB128">
        <v>9</v>
      </c>
      <c r="AD128">
        <f t="shared" ref="AD128:AH128" si="450">SUMIFS($I128:$AB128,$I$2:$AB$2,AD$7)</f>
        <v>22</v>
      </c>
      <c r="AE128">
        <f t="shared" si="450"/>
        <v>32</v>
      </c>
      <c r="AF128">
        <f t="shared" si="450"/>
        <v>42</v>
      </c>
      <c r="AG128">
        <f t="shared" si="450"/>
        <v>52</v>
      </c>
      <c r="AH128">
        <f t="shared" si="450"/>
        <v>62</v>
      </c>
      <c r="AI128">
        <f t="shared" ref="AI128:AJ139" si="451">SUMIFS($I128:$AB128,$I$3:$AB$3,AI$7)</f>
        <v>134</v>
      </c>
      <c r="AJ128">
        <f t="shared" si="451"/>
        <v>76</v>
      </c>
      <c r="AK128">
        <f t="shared" ref="AK128:AL139" si="452">SUMIFS($I128:$AB128,$I$4:$AB$4,AK$7)</f>
        <v>71</v>
      </c>
      <c r="AL128">
        <f t="shared" si="452"/>
        <v>139</v>
      </c>
      <c r="AN128" s="67">
        <f t="shared" ref="AN128:AV128" si="453">((AD128-MIN($AD128:$AL128))/(MAX($AD128:$AL128)-MIN($AD128:$AL128)))</f>
        <v>0</v>
      </c>
      <c r="AO128" s="67">
        <f t="shared" si="453"/>
        <v>8.5470085470085472E-2</v>
      </c>
      <c r="AP128" s="67">
        <f t="shared" si="453"/>
        <v>0.17094017094017094</v>
      </c>
      <c r="AQ128" s="67">
        <f t="shared" si="453"/>
        <v>0.25641025641025639</v>
      </c>
      <c r="AR128" s="67">
        <f t="shared" si="453"/>
        <v>0.34188034188034189</v>
      </c>
      <c r="AS128" s="67">
        <f t="shared" si="453"/>
        <v>0.95726495726495731</v>
      </c>
      <c r="AT128" s="67">
        <f t="shared" si="453"/>
        <v>0.46153846153846156</v>
      </c>
      <c r="AU128" s="67">
        <f t="shared" si="453"/>
        <v>0.41880341880341881</v>
      </c>
      <c r="AV128" s="67">
        <f t="shared" si="453"/>
        <v>1</v>
      </c>
      <c r="AX128">
        <f t="shared" si="241"/>
        <v>0.34188034188034189</v>
      </c>
      <c r="AY128">
        <f t="shared" si="242"/>
        <v>0.49572649572649574</v>
      </c>
      <c r="AZ128">
        <f t="shared" si="243"/>
        <v>0.58119658119658113</v>
      </c>
      <c r="BB128">
        <f t="shared" ref="BB128:BD128" si="454">AX128/SUM($AX128:$AZ128)</f>
        <v>0.24096385542168677</v>
      </c>
      <c r="BC128">
        <f t="shared" si="454"/>
        <v>0.34939759036144585</v>
      </c>
      <c r="BD128">
        <f t="shared" si="454"/>
        <v>0.40963855421686746</v>
      </c>
      <c r="BF128" t="str">
        <f t="shared" si="245"/>
        <v>Theme</v>
      </c>
      <c r="BG128" t="str">
        <f t="shared" si="246"/>
        <v>B</v>
      </c>
      <c r="BI128">
        <f t="shared" si="247"/>
        <v>3.5</v>
      </c>
      <c r="BJ128" t="str">
        <f t="shared" si="248"/>
        <v>Tennis</v>
      </c>
      <c r="BK128" t="str">
        <f t="shared" si="249"/>
        <v>B</v>
      </c>
      <c r="BS128">
        <f t="shared" si="367"/>
        <v>0.34188034188034189</v>
      </c>
      <c r="BT128">
        <f t="shared" si="368"/>
        <v>0.49572649572649574</v>
      </c>
      <c r="BU128">
        <f t="shared" si="369"/>
        <v>0.58119658119658113</v>
      </c>
      <c r="BW128">
        <f t="shared" si="370"/>
        <v>-0.53986808224257044</v>
      </c>
      <c r="BX128">
        <f t="shared" si="371"/>
        <v>1.0918991587402582</v>
      </c>
      <c r="BY128">
        <f t="shared" si="372"/>
        <v>1.2110841764521332</v>
      </c>
      <c r="CB128">
        <f t="shared" si="373"/>
        <v>2.2404499393230286</v>
      </c>
      <c r="CC128">
        <f t="shared" si="374"/>
        <v>2.7630140008479001</v>
      </c>
      <c r="CD128">
        <f t="shared" si="375"/>
        <v>2.3984399897504991</v>
      </c>
      <c r="CE128">
        <f t="shared" si="376"/>
        <v>3.1940701834049778</v>
      </c>
      <c r="CF128">
        <f t="shared" si="377"/>
        <v>9.6668206824331415E-2</v>
      </c>
      <c r="CG128">
        <f t="shared" si="269"/>
        <v>9.6668206824331415E-2</v>
      </c>
      <c r="CK128" t="str">
        <f t="shared" si="407"/>
        <v>Cluster 5</v>
      </c>
      <c r="CL128" t="str">
        <f t="shared" si="378"/>
        <v>B Tennis</v>
      </c>
      <c r="CM128" t="str">
        <f t="shared" si="386"/>
        <v>Tennis B</v>
      </c>
      <c r="CN128" t="str">
        <f t="shared" si="379"/>
        <v>Diff</v>
      </c>
    </row>
    <row r="129" spans="8:92">
      <c r="H129">
        <v>122</v>
      </c>
      <c r="I129">
        <v>3</v>
      </c>
      <c r="J129">
        <v>6</v>
      </c>
      <c r="K129">
        <v>9</v>
      </c>
      <c r="L129">
        <v>13</v>
      </c>
      <c r="M129">
        <v>16</v>
      </c>
      <c r="N129">
        <v>11</v>
      </c>
      <c r="O129">
        <v>14</v>
      </c>
      <c r="P129">
        <v>17</v>
      </c>
      <c r="Q129">
        <v>19</v>
      </c>
      <c r="R129">
        <v>20</v>
      </c>
      <c r="S129">
        <v>1</v>
      </c>
      <c r="T129">
        <v>2</v>
      </c>
      <c r="U129">
        <v>4</v>
      </c>
      <c r="V129">
        <v>7</v>
      </c>
      <c r="W129">
        <v>10</v>
      </c>
      <c r="X129">
        <v>5</v>
      </c>
      <c r="Y129">
        <v>8</v>
      </c>
      <c r="Z129">
        <v>12</v>
      </c>
      <c r="AA129">
        <v>15</v>
      </c>
      <c r="AB129">
        <v>18</v>
      </c>
      <c r="AD129">
        <f t="shared" ref="AD129:AH129" si="455">SUMIFS($I129:$AB129,$I$2:$AB$2,AD$7)</f>
        <v>20</v>
      </c>
      <c r="AE129">
        <f t="shared" si="455"/>
        <v>30</v>
      </c>
      <c r="AF129">
        <f t="shared" si="455"/>
        <v>42</v>
      </c>
      <c r="AG129">
        <f t="shared" si="455"/>
        <v>54</v>
      </c>
      <c r="AH129">
        <f t="shared" si="455"/>
        <v>64</v>
      </c>
      <c r="AI129">
        <f t="shared" si="451"/>
        <v>128</v>
      </c>
      <c r="AJ129">
        <f t="shared" si="451"/>
        <v>82</v>
      </c>
      <c r="AK129">
        <f t="shared" si="452"/>
        <v>139</v>
      </c>
      <c r="AL129">
        <f t="shared" si="452"/>
        <v>71</v>
      </c>
      <c r="AN129" s="67">
        <f t="shared" ref="AN129:AV129" si="456">((AD129-MIN($AD129:$AL129))/(MAX($AD129:$AL129)-MIN($AD129:$AL129)))</f>
        <v>0</v>
      </c>
      <c r="AO129" s="67">
        <f t="shared" si="456"/>
        <v>8.4033613445378158E-2</v>
      </c>
      <c r="AP129" s="67">
        <f t="shared" si="456"/>
        <v>0.18487394957983194</v>
      </c>
      <c r="AQ129" s="67">
        <f t="shared" si="456"/>
        <v>0.2857142857142857</v>
      </c>
      <c r="AR129" s="67">
        <f t="shared" si="456"/>
        <v>0.36974789915966388</v>
      </c>
      <c r="AS129" s="67">
        <f t="shared" si="456"/>
        <v>0.90756302521008403</v>
      </c>
      <c r="AT129" s="67">
        <f t="shared" si="456"/>
        <v>0.52100840336134457</v>
      </c>
      <c r="AU129" s="67">
        <f t="shared" si="456"/>
        <v>1</v>
      </c>
      <c r="AV129" s="67">
        <f t="shared" si="456"/>
        <v>0.42857142857142855</v>
      </c>
      <c r="AX129">
        <f t="shared" si="241"/>
        <v>0.36974789915966388</v>
      </c>
      <c r="AY129">
        <f t="shared" si="242"/>
        <v>0.38655462184873945</v>
      </c>
      <c r="AZ129">
        <f t="shared" si="243"/>
        <v>0.5714285714285714</v>
      </c>
      <c r="BB129">
        <f t="shared" ref="BB129:BD129" si="457">AX129/SUM($AX129:$AZ129)</f>
        <v>0.27848101265822789</v>
      </c>
      <c r="BC129">
        <f t="shared" si="457"/>
        <v>0.29113924050632911</v>
      </c>
      <c r="BD129">
        <f t="shared" si="457"/>
        <v>0.43037974683544306</v>
      </c>
      <c r="BF129" t="str">
        <f t="shared" si="245"/>
        <v>Theme</v>
      </c>
      <c r="BG129" t="str">
        <f t="shared" si="246"/>
        <v>A</v>
      </c>
      <c r="BI129">
        <f t="shared" si="247"/>
        <v>3.5</v>
      </c>
      <c r="BJ129" t="str">
        <f t="shared" si="248"/>
        <v>Tennis</v>
      </c>
      <c r="BK129" t="str">
        <f t="shared" si="249"/>
        <v>A</v>
      </c>
      <c r="BS129">
        <f t="shared" si="367"/>
        <v>0.36974789915966388</v>
      </c>
      <c r="BT129">
        <f t="shared" si="368"/>
        <v>0.38655462184873945</v>
      </c>
      <c r="BU129">
        <f t="shared" si="369"/>
        <v>-0.5714285714285714</v>
      </c>
      <c r="BW129">
        <f t="shared" si="370"/>
        <v>-0.29438105456653607</v>
      </c>
      <c r="BX129">
        <f t="shared" si="371"/>
        <v>0.8531878274040513</v>
      </c>
      <c r="BY129">
        <f t="shared" si="372"/>
        <v>-1.2240871513617693</v>
      </c>
      <c r="CB129">
        <f t="shared" si="373"/>
        <v>3.0874792523532451</v>
      </c>
      <c r="CC129">
        <f t="shared" si="374"/>
        <v>2.5210024588381184</v>
      </c>
      <c r="CD129">
        <f t="shared" si="375"/>
        <v>0.27457842912785946</v>
      </c>
      <c r="CE129">
        <f t="shared" si="376"/>
        <v>2.0403068754524458</v>
      </c>
      <c r="CF129">
        <f t="shared" si="377"/>
        <v>2.3731032068962441</v>
      </c>
      <c r="CG129">
        <f t="shared" si="269"/>
        <v>0.27457842912785946</v>
      </c>
      <c r="CK129" t="str">
        <f t="shared" si="407"/>
        <v>Cluster 3</v>
      </c>
      <c r="CL129" t="str">
        <f t="shared" si="378"/>
        <v>A Tennis</v>
      </c>
      <c r="CM129" t="str">
        <f t="shared" si="386"/>
        <v>Tennis A</v>
      </c>
      <c r="CN129" t="str">
        <f t="shared" si="379"/>
        <v>Diff</v>
      </c>
    </row>
    <row r="130" spans="8:92">
      <c r="H130">
        <v>123</v>
      </c>
      <c r="I130">
        <v>3</v>
      </c>
      <c r="J130">
        <v>6</v>
      </c>
      <c r="K130">
        <v>9</v>
      </c>
      <c r="L130">
        <v>13</v>
      </c>
      <c r="M130">
        <v>16</v>
      </c>
      <c r="N130">
        <v>11</v>
      </c>
      <c r="O130">
        <v>14</v>
      </c>
      <c r="P130">
        <v>17</v>
      </c>
      <c r="Q130">
        <v>19</v>
      </c>
      <c r="R130">
        <v>20</v>
      </c>
      <c r="S130">
        <v>1</v>
      </c>
      <c r="T130">
        <v>2</v>
      </c>
      <c r="U130">
        <v>4</v>
      </c>
      <c r="V130">
        <v>7</v>
      </c>
      <c r="W130">
        <v>10</v>
      </c>
      <c r="X130">
        <v>5</v>
      </c>
      <c r="Y130">
        <v>8</v>
      </c>
      <c r="Z130">
        <v>12</v>
      </c>
      <c r="AA130">
        <v>15</v>
      </c>
      <c r="AB130">
        <v>18</v>
      </c>
      <c r="AD130">
        <f t="shared" ref="AD130:AH130" si="458">SUMIFS($I130:$AB130,$I$2:$AB$2,AD$7)</f>
        <v>20</v>
      </c>
      <c r="AE130">
        <f t="shared" si="458"/>
        <v>30</v>
      </c>
      <c r="AF130">
        <f t="shared" si="458"/>
        <v>42</v>
      </c>
      <c r="AG130">
        <f t="shared" si="458"/>
        <v>54</v>
      </c>
      <c r="AH130">
        <f t="shared" si="458"/>
        <v>64</v>
      </c>
      <c r="AI130">
        <f t="shared" si="451"/>
        <v>128</v>
      </c>
      <c r="AJ130">
        <f t="shared" si="451"/>
        <v>82</v>
      </c>
      <c r="AK130">
        <f t="shared" si="452"/>
        <v>139</v>
      </c>
      <c r="AL130">
        <f t="shared" si="452"/>
        <v>71</v>
      </c>
      <c r="AN130" s="67">
        <f t="shared" ref="AN130:AV130" si="459">((AD130-MIN($AD130:$AL130))/(MAX($AD130:$AL130)-MIN($AD130:$AL130)))</f>
        <v>0</v>
      </c>
      <c r="AO130" s="67">
        <f t="shared" si="459"/>
        <v>8.4033613445378158E-2</v>
      </c>
      <c r="AP130" s="67">
        <f t="shared" si="459"/>
        <v>0.18487394957983194</v>
      </c>
      <c r="AQ130" s="67">
        <f t="shared" si="459"/>
        <v>0.2857142857142857</v>
      </c>
      <c r="AR130" s="67">
        <f t="shared" si="459"/>
        <v>0.36974789915966388</v>
      </c>
      <c r="AS130" s="67">
        <f t="shared" si="459"/>
        <v>0.90756302521008403</v>
      </c>
      <c r="AT130" s="67">
        <f t="shared" si="459"/>
        <v>0.52100840336134457</v>
      </c>
      <c r="AU130" s="67">
        <f t="shared" si="459"/>
        <v>1</v>
      </c>
      <c r="AV130" s="67">
        <f t="shared" si="459"/>
        <v>0.42857142857142855</v>
      </c>
      <c r="AX130">
        <f t="shared" si="241"/>
        <v>0.36974789915966388</v>
      </c>
      <c r="AY130">
        <f t="shared" si="242"/>
        <v>0.38655462184873945</v>
      </c>
      <c r="AZ130">
        <f t="shared" si="243"/>
        <v>0.5714285714285714</v>
      </c>
      <c r="BB130">
        <f t="shared" ref="BB130:BD130" si="460">AX130/SUM($AX130:$AZ130)</f>
        <v>0.27848101265822789</v>
      </c>
      <c r="BC130">
        <f t="shared" si="460"/>
        <v>0.29113924050632911</v>
      </c>
      <c r="BD130">
        <f t="shared" si="460"/>
        <v>0.43037974683544306</v>
      </c>
      <c r="BF130" t="str">
        <f t="shared" si="245"/>
        <v>Theme</v>
      </c>
      <c r="BG130" t="str">
        <f t="shared" si="246"/>
        <v>A</v>
      </c>
      <c r="BI130">
        <f t="shared" si="247"/>
        <v>3.5</v>
      </c>
      <c r="BJ130" t="str">
        <f t="shared" si="248"/>
        <v>Tennis</v>
      </c>
      <c r="BK130" t="str">
        <f t="shared" si="249"/>
        <v>A</v>
      </c>
      <c r="BS130">
        <f t="shared" si="367"/>
        <v>0.36974789915966388</v>
      </c>
      <c r="BT130">
        <f t="shared" si="368"/>
        <v>0.38655462184873945</v>
      </c>
      <c r="BU130">
        <f t="shared" si="369"/>
        <v>-0.5714285714285714</v>
      </c>
      <c r="BW130">
        <f t="shared" si="370"/>
        <v>-0.29438105456653607</v>
      </c>
      <c r="BX130">
        <f t="shared" si="371"/>
        <v>0.8531878274040513</v>
      </c>
      <c r="BY130">
        <f t="shared" si="372"/>
        <v>-1.2240871513617693</v>
      </c>
      <c r="CB130">
        <f t="shared" si="373"/>
        <v>3.0874792523532451</v>
      </c>
      <c r="CC130">
        <f t="shared" si="374"/>
        <v>2.5210024588381184</v>
      </c>
      <c r="CD130">
        <f t="shared" si="375"/>
        <v>0.27457842912785946</v>
      </c>
      <c r="CE130">
        <f t="shared" si="376"/>
        <v>2.0403068754524458</v>
      </c>
      <c r="CF130">
        <f t="shared" si="377"/>
        <v>2.3731032068962441</v>
      </c>
      <c r="CG130">
        <f t="shared" si="269"/>
        <v>0.27457842912785946</v>
      </c>
      <c r="CK130" t="str">
        <f t="shared" si="407"/>
        <v>Cluster 3</v>
      </c>
      <c r="CL130" t="str">
        <f t="shared" si="378"/>
        <v>A Tennis</v>
      </c>
      <c r="CM130" t="str">
        <f t="shared" si="386"/>
        <v>Tennis A</v>
      </c>
      <c r="CN130" t="str">
        <f t="shared" si="379"/>
        <v>Diff</v>
      </c>
    </row>
    <row r="131" spans="8:92">
      <c r="H131">
        <v>124</v>
      </c>
      <c r="I131">
        <v>4</v>
      </c>
      <c r="J131">
        <v>7</v>
      </c>
      <c r="K131">
        <v>10</v>
      </c>
      <c r="L131">
        <v>13</v>
      </c>
      <c r="M131">
        <v>16</v>
      </c>
      <c r="N131">
        <v>12</v>
      </c>
      <c r="O131">
        <v>15</v>
      </c>
      <c r="P131">
        <v>18</v>
      </c>
      <c r="Q131">
        <v>19</v>
      </c>
      <c r="R131">
        <v>20</v>
      </c>
      <c r="S131">
        <v>1</v>
      </c>
      <c r="T131">
        <v>2</v>
      </c>
      <c r="U131">
        <v>3</v>
      </c>
      <c r="V131">
        <v>6</v>
      </c>
      <c r="W131">
        <v>9</v>
      </c>
      <c r="X131">
        <v>5</v>
      </c>
      <c r="Y131">
        <v>8</v>
      </c>
      <c r="Z131">
        <v>11</v>
      </c>
      <c r="AA131">
        <v>14</v>
      </c>
      <c r="AB131">
        <v>17</v>
      </c>
      <c r="AD131">
        <f t="shared" ref="AD131:AH131" si="461">SUMIFS($I131:$AB131,$I$2:$AB$2,AD$7)</f>
        <v>22</v>
      </c>
      <c r="AE131">
        <f t="shared" si="461"/>
        <v>32</v>
      </c>
      <c r="AF131">
        <f t="shared" si="461"/>
        <v>42</v>
      </c>
      <c r="AG131">
        <f t="shared" si="461"/>
        <v>52</v>
      </c>
      <c r="AH131">
        <f t="shared" si="461"/>
        <v>62</v>
      </c>
      <c r="AI131">
        <f t="shared" si="451"/>
        <v>134</v>
      </c>
      <c r="AJ131">
        <f t="shared" si="451"/>
        <v>76</v>
      </c>
      <c r="AK131">
        <f t="shared" si="452"/>
        <v>139</v>
      </c>
      <c r="AL131">
        <f t="shared" si="452"/>
        <v>71</v>
      </c>
      <c r="AN131" s="67">
        <f t="shared" ref="AN131:AV131" si="462">((AD131-MIN($AD131:$AL131))/(MAX($AD131:$AL131)-MIN($AD131:$AL131)))</f>
        <v>0</v>
      </c>
      <c r="AO131" s="67">
        <f t="shared" si="462"/>
        <v>8.5470085470085472E-2</v>
      </c>
      <c r="AP131" s="67">
        <f t="shared" si="462"/>
        <v>0.17094017094017094</v>
      </c>
      <c r="AQ131" s="67">
        <f t="shared" si="462"/>
        <v>0.25641025641025639</v>
      </c>
      <c r="AR131" s="67">
        <f t="shared" si="462"/>
        <v>0.34188034188034189</v>
      </c>
      <c r="AS131" s="67">
        <f t="shared" si="462"/>
        <v>0.95726495726495731</v>
      </c>
      <c r="AT131" s="67">
        <f t="shared" si="462"/>
        <v>0.46153846153846156</v>
      </c>
      <c r="AU131" s="67">
        <f t="shared" si="462"/>
        <v>1</v>
      </c>
      <c r="AV131" s="67">
        <f t="shared" si="462"/>
        <v>0.41880341880341881</v>
      </c>
      <c r="AX131">
        <f t="shared" si="241"/>
        <v>0.34188034188034189</v>
      </c>
      <c r="AY131">
        <f t="shared" si="242"/>
        <v>0.49572649572649574</v>
      </c>
      <c r="AZ131">
        <f t="shared" si="243"/>
        <v>0.58119658119658113</v>
      </c>
      <c r="BB131">
        <f t="shared" ref="BB131:BD131" si="463">AX131/SUM($AX131:$AZ131)</f>
        <v>0.24096385542168677</v>
      </c>
      <c r="BC131">
        <f t="shared" si="463"/>
        <v>0.34939759036144585</v>
      </c>
      <c r="BD131">
        <f t="shared" si="463"/>
        <v>0.40963855421686746</v>
      </c>
      <c r="BF131" t="str">
        <f t="shared" si="245"/>
        <v>Theme</v>
      </c>
      <c r="BG131" t="str">
        <f t="shared" si="246"/>
        <v>A</v>
      </c>
      <c r="BI131">
        <f t="shared" si="247"/>
        <v>3.5</v>
      </c>
      <c r="BJ131" t="str">
        <f t="shared" si="248"/>
        <v>Tennis</v>
      </c>
      <c r="BK131" t="str">
        <f t="shared" si="249"/>
        <v>A</v>
      </c>
      <c r="BS131">
        <f t="shared" si="367"/>
        <v>0.34188034188034189</v>
      </c>
      <c r="BT131">
        <f t="shared" si="368"/>
        <v>0.49572649572649574</v>
      </c>
      <c r="BU131">
        <f t="shared" si="369"/>
        <v>-0.58119658119658113</v>
      </c>
      <c r="BW131">
        <f t="shared" si="370"/>
        <v>-0.53986808224257044</v>
      </c>
      <c r="BX131">
        <f t="shared" si="371"/>
        <v>1.0918991587402582</v>
      </c>
      <c r="BY131">
        <f t="shared" si="372"/>
        <v>-1.2447241965127345</v>
      </c>
      <c r="CB131">
        <f t="shared" si="373"/>
        <v>3.2469929132163</v>
      </c>
      <c r="CC131">
        <f t="shared" si="374"/>
        <v>2.8029856015389689</v>
      </c>
      <c r="CD131">
        <f t="shared" si="375"/>
        <v>9.1506330773055894E-2</v>
      </c>
      <c r="CE131">
        <f t="shared" si="376"/>
        <v>2.2724935396386043</v>
      </c>
      <c r="CF131">
        <f t="shared" si="377"/>
        <v>2.3681071414304125</v>
      </c>
      <c r="CG131">
        <f t="shared" si="269"/>
        <v>9.1506330773055894E-2</v>
      </c>
      <c r="CK131" t="str">
        <f t="shared" si="407"/>
        <v>Cluster 3</v>
      </c>
      <c r="CL131" t="str">
        <f t="shared" si="378"/>
        <v>A Tennis</v>
      </c>
      <c r="CM131" t="str">
        <f t="shared" si="386"/>
        <v>Tennis A</v>
      </c>
      <c r="CN131" t="str">
        <f t="shared" si="379"/>
        <v>Diff</v>
      </c>
    </row>
    <row r="132" spans="8:92">
      <c r="H132">
        <v>125</v>
      </c>
      <c r="I132">
        <v>7</v>
      </c>
      <c r="J132">
        <v>10</v>
      </c>
      <c r="K132">
        <v>13</v>
      </c>
      <c r="L132">
        <v>16</v>
      </c>
      <c r="M132">
        <v>18</v>
      </c>
      <c r="N132">
        <v>1</v>
      </c>
      <c r="O132">
        <v>2</v>
      </c>
      <c r="P132">
        <v>4</v>
      </c>
      <c r="Q132">
        <v>6</v>
      </c>
      <c r="R132">
        <v>9</v>
      </c>
      <c r="S132">
        <v>12</v>
      </c>
      <c r="T132">
        <v>15</v>
      </c>
      <c r="U132">
        <v>17</v>
      </c>
      <c r="V132">
        <v>19</v>
      </c>
      <c r="W132">
        <v>20</v>
      </c>
      <c r="X132">
        <v>3</v>
      </c>
      <c r="Y132">
        <v>5</v>
      </c>
      <c r="Z132">
        <v>8</v>
      </c>
      <c r="AA132">
        <v>11</v>
      </c>
      <c r="AB132">
        <v>14</v>
      </c>
      <c r="AD132">
        <f t="shared" ref="AD132:AH132" si="464">SUMIFS($I132:$AB132,$I$2:$AB$2,AD$7)</f>
        <v>23</v>
      </c>
      <c r="AE132">
        <f t="shared" si="464"/>
        <v>32</v>
      </c>
      <c r="AF132">
        <f t="shared" si="464"/>
        <v>42</v>
      </c>
      <c r="AG132">
        <f t="shared" si="464"/>
        <v>52</v>
      </c>
      <c r="AH132">
        <f t="shared" si="464"/>
        <v>61</v>
      </c>
      <c r="AI132">
        <f t="shared" si="451"/>
        <v>86</v>
      </c>
      <c r="AJ132">
        <f t="shared" si="451"/>
        <v>124</v>
      </c>
      <c r="AK132">
        <f t="shared" si="452"/>
        <v>63</v>
      </c>
      <c r="AL132">
        <f t="shared" si="452"/>
        <v>147</v>
      </c>
      <c r="AN132" s="67">
        <f t="shared" ref="AN132:AV132" si="465">((AD132-MIN($AD132:$AL132))/(MAX($AD132:$AL132)-MIN($AD132:$AL132)))</f>
        <v>0</v>
      </c>
      <c r="AO132" s="67">
        <f t="shared" si="465"/>
        <v>7.2580645161290328E-2</v>
      </c>
      <c r="AP132" s="67">
        <f t="shared" si="465"/>
        <v>0.15322580645161291</v>
      </c>
      <c r="AQ132" s="67">
        <f t="shared" si="465"/>
        <v>0.23387096774193547</v>
      </c>
      <c r="AR132" s="67">
        <f t="shared" si="465"/>
        <v>0.30645161290322581</v>
      </c>
      <c r="AS132" s="67">
        <f t="shared" si="465"/>
        <v>0.50806451612903225</v>
      </c>
      <c r="AT132" s="67">
        <f t="shared" si="465"/>
        <v>0.81451612903225812</v>
      </c>
      <c r="AU132" s="67">
        <f t="shared" si="465"/>
        <v>0.32258064516129031</v>
      </c>
      <c r="AV132" s="67">
        <f t="shared" si="465"/>
        <v>1</v>
      </c>
      <c r="AX132">
        <f t="shared" si="241"/>
        <v>0.30645161290322581</v>
      </c>
      <c r="AY132">
        <f t="shared" si="242"/>
        <v>0.30645161290322587</v>
      </c>
      <c r="AZ132">
        <f t="shared" si="243"/>
        <v>0.67741935483870974</v>
      </c>
      <c r="BB132">
        <f t="shared" ref="BB132:BD132" si="466">AX132/SUM($AX132:$AZ132)</f>
        <v>0.23749999999999996</v>
      </c>
      <c r="BC132">
        <f t="shared" si="466"/>
        <v>0.23750000000000002</v>
      </c>
      <c r="BD132">
        <f t="shared" si="466"/>
        <v>0.52500000000000002</v>
      </c>
      <c r="BF132" t="str">
        <f t="shared" si="245"/>
        <v>Theme</v>
      </c>
      <c r="BG132" t="str">
        <f t="shared" si="246"/>
        <v>B</v>
      </c>
      <c r="BI132">
        <f t="shared" si="247"/>
        <v>3.5</v>
      </c>
      <c r="BJ132" t="str">
        <f t="shared" si="248"/>
        <v>Super Bowl</v>
      </c>
      <c r="BK132" t="str">
        <f t="shared" si="249"/>
        <v>B</v>
      </c>
      <c r="BS132">
        <f t="shared" si="367"/>
        <v>0.30645161290322581</v>
      </c>
      <c r="BT132">
        <f t="shared" si="368"/>
        <v>-0.30645161290322587</v>
      </c>
      <c r="BU132">
        <f t="shared" si="369"/>
        <v>0.67741935483870974</v>
      </c>
      <c r="BW132">
        <f t="shared" si="370"/>
        <v>-0.85196193689073108</v>
      </c>
      <c r="BX132">
        <f t="shared" si="371"/>
        <v>-0.66211492454073817</v>
      </c>
      <c r="BY132">
        <f t="shared" si="372"/>
        <v>1.4143757139674891</v>
      </c>
      <c r="CB132">
        <f t="shared" si="373"/>
        <v>0.6190872481961518</v>
      </c>
      <c r="CC132">
        <f t="shared" si="374"/>
        <v>3.1170798584507571</v>
      </c>
      <c r="CD132">
        <f t="shared" si="375"/>
        <v>3.1307044393244081</v>
      </c>
      <c r="CE132">
        <f t="shared" si="376"/>
        <v>2.5367364001914385</v>
      </c>
      <c r="CF132">
        <f t="shared" si="377"/>
        <v>1.8406609985028721</v>
      </c>
      <c r="CG132">
        <f t="shared" si="269"/>
        <v>0.6190872481961518</v>
      </c>
      <c r="CK132" t="str">
        <f t="shared" si="407"/>
        <v>Cluster 1</v>
      </c>
      <c r="CL132" t="str">
        <f t="shared" si="378"/>
        <v>B Super Bowl</v>
      </c>
      <c r="CM132" t="str">
        <f t="shared" si="386"/>
        <v>Super Bowl B</v>
      </c>
      <c r="CN132" t="str">
        <f t="shared" si="379"/>
        <v>Diff</v>
      </c>
    </row>
    <row r="133" spans="8:92">
      <c r="H133">
        <v>126</v>
      </c>
      <c r="I133">
        <v>13</v>
      </c>
      <c r="J133">
        <v>16</v>
      </c>
      <c r="K133">
        <v>18</v>
      </c>
      <c r="L133">
        <v>19</v>
      </c>
      <c r="M133">
        <v>20</v>
      </c>
      <c r="N133">
        <v>4</v>
      </c>
      <c r="O133">
        <v>7</v>
      </c>
      <c r="P133">
        <v>10</v>
      </c>
      <c r="Q133">
        <v>12</v>
      </c>
      <c r="R133">
        <v>15</v>
      </c>
      <c r="S133">
        <v>6</v>
      </c>
      <c r="T133">
        <v>9</v>
      </c>
      <c r="U133">
        <v>11</v>
      </c>
      <c r="V133">
        <v>14</v>
      </c>
      <c r="W133">
        <v>17</v>
      </c>
      <c r="X133">
        <v>1</v>
      </c>
      <c r="Y133">
        <v>2</v>
      </c>
      <c r="Z133">
        <v>3</v>
      </c>
      <c r="AA133">
        <v>5</v>
      </c>
      <c r="AB133">
        <v>8</v>
      </c>
      <c r="AD133">
        <f t="shared" ref="AD133:AH133" si="467">SUMIFS($I133:$AB133,$I$2:$AB$2,AD$7)</f>
        <v>24</v>
      </c>
      <c r="AE133">
        <f t="shared" si="467"/>
        <v>34</v>
      </c>
      <c r="AF133">
        <f t="shared" si="467"/>
        <v>42</v>
      </c>
      <c r="AG133">
        <f t="shared" si="467"/>
        <v>50</v>
      </c>
      <c r="AH133">
        <f t="shared" si="467"/>
        <v>60</v>
      </c>
      <c r="AI133">
        <f t="shared" si="451"/>
        <v>134</v>
      </c>
      <c r="AJ133">
        <f t="shared" si="451"/>
        <v>76</v>
      </c>
      <c r="AK133">
        <f t="shared" si="452"/>
        <v>67</v>
      </c>
      <c r="AL133">
        <f t="shared" si="452"/>
        <v>143</v>
      </c>
      <c r="AN133" s="67">
        <f t="shared" ref="AN133:AV133" si="468">((AD133-MIN($AD133:$AL133))/(MAX($AD133:$AL133)-MIN($AD133:$AL133)))</f>
        <v>0</v>
      </c>
      <c r="AO133" s="67">
        <f t="shared" si="468"/>
        <v>8.4033613445378158E-2</v>
      </c>
      <c r="AP133" s="67">
        <f t="shared" si="468"/>
        <v>0.15126050420168066</v>
      </c>
      <c r="AQ133" s="67">
        <f t="shared" si="468"/>
        <v>0.21848739495798319</v>
      </c>
      <c r="AR133" s="67">
        <f t="shared" si="468"/>
        <v>0.30252100840336132</v>
      </c>
      <c r="AS133" s="67">
        <f t="shared" si="468"/>
        <v>0.92436974789915971</v>
      </c>
      <c r="AT133" s="67">
        <f t="shared" si="468"/>
        <v>0.43697478991596639</v>
      </c>
      <c r="AU133" s="67">
        <f t="shared" si="468"/>
        <v>0.36134453781512604</v>
      </c>
      <c r="AV133" s="67">
        <f t="shared" si="468"/>
        <v>1</v>
      </c>
      <c r="AX133">
        <f t="shared" si="241"/>
        <v>0.30252100840336132</v>
      </c>
      <c r="AY133">
        <f t="shared" si="242"/>
        <v>0.48739495798319332</v>
      </c>
      <c r="AZ133">
        <f t="shared" si="243"/>
        <v>0.6386554621848739</v>
      </c>
      <c r="BB133">
        <f t="shared" ref="BB133:BD133" si="469">AX133/SUM($AX133:$AZ133)</f>
        <v>0.21176470588235291</v>
      </c>
      <c r="BC133">
        <f t="shared" si="469"/>
        <v>0.3411764705882353</v>
      </c>
      <c r="BD133">
        <f t="shared" si="469"/>
        <v>0.44705882352941173</v>
      </c>
      <c r="BF133" t="str">
        <f t="shared" si="245"/>
        <v>Theme</v>
      </c>
      <c r="BG133" t="str">
        <f t="shared" si="246"/>
        <v>B</v>
      </c>
      <c r="BI133">
        <f t="shared" si="247"/>
        <v>3.5</v>
      </c>
      <c r="BJ133" t="str">
        <f t="shared" si="248"/>
        <v>Tennis</v>
      </c>
      <c r="BK133" t="str">
        <f t="shared" si="249"/>
        <v>B</v>
      </c>
      <c r="BS133">
        <f t="shared" si="367"/>
        <v>0.30252100840336132</v>
      </c>
      <c r="BT133">
        <f t="shared" si="368"/>
        <v>0.48739495798319332</v>
      </c>
      <c r="BU133">
        <f t="shared" si="369"/>
        <v>0.6386554621848739</v>
      </c>
      <c r="BW133">
        <f t="shared" si="370"/>
        <v>-0.88658687390872204</v>
      </c>
      <c r="BX133">
        <f t="shared" si="371"/>
        <v>1.0736817150330213</v>
      </c>
      <c r="BY133">
        <f t="shared" si="372"/>
        <v>1.3324785596931055</v>
      </c>
      <c r="CB133">
        <f t="shared" si="373"/>
        <v>2.2464182010020601</v>
      </c>
      <c r="CC133">
        <f t="shared" si="374"/>
        <v>3.105839265830372</v>
      </c>
      <c r="CD133">
        <f t="shared" si="375"/>
        <v>2.5500995180169297</v>
      </c>
      <c r="CE133">
        <f t="shared" si="376"/>
        <v>3.293192327500166</v>
      </c>
      <c r="CF133">
        <f t="shared" si="377"/>
        <v>0.42845849046232393</v>
      </c>
      <c r="CG133">
        <f t="shared" si="269"/>
        <v>0.42845849046232393</v>
      </c>
      <c r="CK133" t="str">
        <f t="shared" si="407"/>
        <v>Cluster 5</v>
      </c>
      <c r="CL133" t="str">
        <f t="shared" si="378"/>
        <v>B Tennis</v>
      </c>
      <c r="CM133" t="str">
        <f t="shared" si="386"/>
        <v>Tennis B</v>
      </c>
      <c r="CN133" t="str">
        <f t="shared" si="379"/>
        <v>Diff</v>
      </c>
    </row>
    <row r="134" spans="8:92">
      <c r="H134">
        <v>127</v>
      </c>
      <c r="I134">
        <v>1</v>
      </c>
      <c r="J134">
        <v>2</v>
      </c>
      <c r="K134">
        <v>3</v>
      </c>
      <c r="L134">
        <v>5</v>
      </c>
      <c r="M134">
        <v>8</v>
      </c>
      <c r="N134">
        <v>4</v>
      </c>
      <c r="O134">
        <v>7</v>
      </c>
      <c r="P134">
        <v>10</v>
      </c>
      <c r="Q134">
        <v>12</v>
      </c>
      <c r="R134">
        <v>15</v>
      </c>
      <c r="S134">
        <v>6</v>
      </c>
      <c r="T134">
        <v>9</v>
      </c>
      <c r="U134">
        <v>11</v>
      </c>
      <c r="V134">
        <v>14</v>
      </c>
      <c r="W134">
        <v>17</v>
      </c>
      <c r="X134">
        <v>13</v>
      </c>
      <c r="Y134">
        <v>16</v>
      </c>
      <c r="Z134">
        <v>18</v>
      </c>
      <c r="AA134">
        <v>19</v>
      </c>
      <c r="AB134">
        <v>20</v>
      </c>
      <c r="AD134">
        <f t="shared" ref="AD134:AH134" si="470">SUMIFS($I134:$AB134,$I$2:$AB$2,AD$7)</f>
        <v>24</v>
      </c>
      <c r="AE134">
        <f t="shared" si="470"/>
        <v>34</v>
      </c>
      <c r="AF134">
        <f t="shared" si="470"/>
        <v>42</v>
      </c>
      <c r="AG134">
        <f t="shared" si="470"/>
        <v>50</v>
      </c>
      <c r="AH134">
        <f t="shared" si="470"/>
        <v>60</v>
      </c>
      <c r="AI134">
        <f t="shared" si="451"/>
        <v>67</v>
      </c>
      <c r="AJ134">
        <f t="shared" si="451"/>
        <v>143</v>
      </c>
      <c r="AK134">
        <f t="shared" si="452"/>
        <v>134</v>
      </c>
      <c r="AL134">
        <f t="shared" si="452"/>
        <v>76</v>
      </c>
      <c r="AN134" s="67">
        <f t="shared" ref="AN134:AV134" si="471">((AD134-MIN($AD134:$AL134))/(MAX($AD134:$AL134)-MIN($AD134:$AL134)))</f>
        <v>0</v>
      </c>
      <c r="AO134" s="67">
        <f t="shared" si="471"/>
        <v>8.4033613445378158E-2</v>
      </c>
      <c r="AP134" s="67">
        <f t="shared" si="471"/>
        <v>0.15126050420168066</v>
      </c>
      <c r="AQ134" s="67">
        <f t="shared" si="471"/>
        <v>0.21848739495798319</v>
      </c>
      <c r="AR134" s="67">
        <f t="shared" si="471"/>
        <v>0.30252100840336132</v>
      </c>
      <c r="AS134" s="67">
        <f t="shared" si="471"/>
        <v>0.36134453781512604</v>
      </c>
      <c r="AT134" s="67">
        <f t="shared" si="471"/>
        <v>1</v>
      </c>
      <c r="AU134" s="67">
        <f t="shared" si="471"/>
        <v>0.92436974789915971</v>
      </c>
      <c r="AV134" s="67">
        <f t="shared" si="471"/>
        <v>0.43697478991596639</v>
      </c>
      <c r="AX134">
        <f t="shared" si="241"/>
        <v>0.30252100840336132</v>
      </c>
      <c r="AY134">
        <f t="shared" si="242"/>
        <v>0.6386554621848739</v>
      </c>
      <c r="AZ134">
        <f t="shared" si="243"/>
        <v>0.48739495798319332</v>
      </c>
      <c r="BB134">
        <f t="shared" ref="BB134:BD134" si="472">AX134/SUM($AX134:$AZ134)</f>
        <v>0.21176470588235291</v>
      </c>
      <c r="BC134">
        <f t="shared" si="472"/>
        <v>0.44705882352941173</v>
      </c>
      <c r="BD134">
        <f t="shared" si="472"/>
        <v>0.3411764705882353</v>
      </c>
      <c r="BF134" t="str">
        <f t="shared" si="245"/>
        <v xml:space="preserve">Brand </v>
      </c>
      <c r="BG134" t="str">
        <f t="shared" si="246"/>
        <v>Super Bowl</v>
      </c>
      <c r="BI134">
        <f t="shared" si="247"/>
        <v>3.5</v>
      </c>
      <c r="BJ134" t="str">
        <f t="shared" si="248"/>
        <v>Super Bowl</v>
      </c>
      <c r="BK134" t="str">
        <f t="shared" si="249"/>
        <v>A</v>
      </c>
      <c r="BS134">
        <f t="shared" si="367"/>
        <v>0.30252100840336132</v>
      </c>
      <c r="BT134">
        <f t="shared" si="368"/>
        <v>-0.6386554621848739</v>
      </c>
      <c r="BU134">
        <f t="shared" si="369"/>
        <v>-0.48739495798319332</v>
      </c>
      <c r="BW134">
        <f t="shared" si="370"/>
        <v>-0.88658687390872204</v>
      </c>
      <c r="BX134">
        <f t="shared" si="371"/>
        <v>-1.3885000301571429</v>
      </c>
      <c r="BY134">
        <f t="shared" si="372"/>
        <v>-1.0465478658718474</v>
      </c>
      <c r="CB134">
        <f t="shared" si="373"/>
        <v>2.1849487515969077</v>
      </c>
      <c r="CC134">
        <f t="shared" si="374"/>
        <v>3.3073825807764488</v>
      </c>
      <c r="CD134">
        <f t="shared" si="375"/>
        <v>2.4673509065049615</v>
      </c>
      <c r="CE134">
        <f t="shared" si="376"/>
        <v>0.46318802190616126</v>
      </c>
      <c r="CF134">
        <f t="shared" si="377"/>
        <v>3.3402530722852037</v>
      </c>
      <c r="CG134">
        <f t="shared" si="269"/>
        <v>0.46318802190616126</v>
      </c>
      <c r="CK134" t="str">
        <f t="shared" si="407"/>
        <v>Cluster 4</v>
      </c>
      <c r="CL134" t="str">
        <f t="shared" si="378"/>
        <v>A Super Bowl</v>
      </c>
      <c r="CM134" t="str">
        <f t="shared" si="386"/>
        <v>Super Bowl A</v>
      </c>
      <c r="CN134" t="str">
        <f t="shared" si="379"/>
        <v>Diff</v>
      </c>
    </row>
    <row r="135" spans="8:92">
      <c r="H135">
        <v>128</v>
      </c>
      <c r="I135">
        <v>11</v>
      </c>
      <c r="J135">
        <v>14</v>
      </c>
      <c r="K135">
        <v>17</v>
      </c>
      <c r="L135">
        <v>19</v>
      </c>
      <c r="M135">
        <v>20</v>
      </c>
      <c r="N135">
        <v>6</v>
      </c>
      <c r="O135">
        <v>9</v>
      </c>
      <c r="P135">
        <v>13</v>
      </c>
      <c r="Q135">
        <v>16</v>
      </c>
      <c r="R135">
        <v>18</v>
      </c>
      <c r="S135">
        <v>3</v>
      </c>
      <c r="T135">
        <v>5</v>
      </c>
      <c r="U135">
        <v>8</v>
      </c>
      <c r="V135">
        <v>12</v>
      </c>
      <c r="W135">
        <v>15</v>
      </c>
      <c r="X135">
        <v>1</v>
      </c>
      <c r="Y135">
        <v>2</v>
      </c>
      <c r="Z135">
        <v>4</v>
      </c>
      <c r="AA135">
        <v>7</v>
      </c>
      <c r="AB135">
        <v>10</v>
      </c>
      <c r="AD135">
        <f t="shared" ref="AD135:AH135" si="473">SUMIFS($I135:$AB135,$I$2:$AB$2,AD$7)</f>
        <v>21</v>
      </c>
      <c r="AE135">
        <f t="shared" si="473"/>
        <v>30</v>
      </c>
      <c r="AF135">
        <f t="shared" si="473"/>
        <v>42</v>
      </c>
      <c r="AG135">
        <f t="shared" si="473"/>
        <v>54</v>
      </c>
      <c r="AH135">
        <f t="shared" si="473"/>
        <v>63</v>
      </c>
      <c r="AI135">
        <f t="shared" si="451"/>
        <v>143</v>
      </c>
      <c r="AJ135">
        <f t="shared" si="451"/>
        <v>67</v>
      </c>
      <c r="AK135">
        <f t="shared" si="452"/>
        <v>86</v>
      </c>
      <c r="AL135">
        <f t="shared" si="452"/>
        <v>124</v>
      </c>
      <c r="AN135" s="67">
        <f t="shared" ref="AN135:AV135" si="474">((AD135-MIN($AD135:$AL135))/(MAX($AD135:$AL135)-MIN($AD135:$AL135)))</f>
        <v>0</v>
      </c>
      <c r="AO135" s="67">
        <f t="shared" si="474"/>
        <v>7.3770491803278687E-2</v>
      </c>
      <c r="AP135" s="67">
        <f t="shared" si="474"/>
        <v>0.1721311475409836</v>
      </c>
      <c r="AQ135" s="67">
        <f t="shared" si="474"/>
        <v>0.27049180327868855</v>
      </c>
      <c r="AR135" s="67">
        <f t="shared" si="474"/>
        <v>0.34426229508196721</v>
      </c>
      <c r="AS135" s="67">
        <f t="shared" si="474"/>
        <v>1</v>
      </c>
      <c r="AT135" s="67">
        <f t="shared" si="474"/>
        <v>0.37704918032786883</v>
      </c>
      <c r="AU135" s="67">
        <f t="shared" si="474"/>
        <v>0.53278688524590168</v>
      </c>
      <c r="AV135" s="67">
        <f t="shared" si="474"/>
        <v>0.84426229508196726</v>
      </c>
      <c r="AX135">
        <f t="shared" si="241"/>
        <v>0.34426229508196721</v>
      </c>
      <c r="AY135">
        <f t="shared" si="242"/>
        <v>0.62295081967213117</v>
      </c>
      <c r="AZ135">
        <f t="shared" si="243"/>
        <v>0.31147540983606559</v>
      </c>
      <c r="BB135">
        <f t="shared" ref="BB135:BD135" si="475">AX135/SUM($AX135:$AZ135)</f>
        <v>0.26923076923076922</v>
      </c>
      <c r="BC135">
        <f t="shared" si="475"/>
        <v>0.48717948717948717</v>
      </c>
      <c r="BD135">
        <f t="shared" si="475"/>
        <v>0.24358974358974358</v>
      </c>
      <c r="BF135" t="str">
        <f t="shared" si="245"/>
        <v xml:space="preserve">Brand </v>
      </c>
      <c r="BG135" t="str">
        <f t="shared" si="246"/>
        <v>Tennis</v>
      </c>
      <c r="BI135">
        <f t="shared" si="247"/>
        <v>3.5</v>
      </c>
      <c r="BJ135" t="str">
        <f t="shared" si="248"/>
        <v>Tennis</v>
      </c>
      <c r="BK135" t="str">
        <f t="shared" si="249"/>
        <v>B</v>
      </c>
      <c r="BS135">
        <f t="shared" si="367"/>
        <v>0.34426229508196721</v>
      </c>
      <c r="BT135">
        <f t="shared" si="368"/>
        <v>0.62295081967213117</v>
      </c>
      <c r="BU135">
        <f t="shared" si="369"/>
        <v>0.31147540983606559</v>
      </c>
      <c r="BW135">
        <f t="shared" si="370"/>
        <v>-0.51888530984994685</v>
      </c>
      <c r="BX135">
        <f t="shared" si="371"/>
        <v>1.370083334468686</v>
      </c>
      <c r="BY135">
        <f t="shared" si="372"/>
        <v>0.64123953831840996</v>
      </c>
      <c r="CB135">
        <f t="shared" si="373"/>
        <v>2.5596895686663625</v>
      </c>
      <c r="CC135">
        <f t="shared" si="374"/>
        <v>2.6605177776755942</v>
      </c>
      <c r="CD135">
        <f t="shared" si="375"/>
        <v>1.8568903305434872</v>
      </c>
      <c r="CE135">
        <f t="shared" si="376"/>
        <v>3.0483558168525486</v>
      </c>
      <c r="CF135">
        <f t="shared" si="377"/>
        <v>0.54099052274813153</v>
      </c>
      <c r="CG135">
        <f t="shared" si="269"/>
        <v>0.54099052274813153</v>
      </c>
      <c r="CK135" t="str">
        <f t="shared" si="407"/>
        <v>Cluster 5</v>
      </c>
      <c r="CL135" t="str">
        <f t="shared" si="378"/>
        <v>B Tennis</v>
      </c>
      <c r="CM135" t="str">
        <f t="shared" si="386"/>
        <v>Tennis B</v>
      </c>
      <c r="CN135" t="str">
        <f t="shared" si="379"/>
        <v>Diff</v>
      </c>
    </row>
    <row r="136" spans="8:92">
      <c r="H136">
        <v>129</v>
      </c>
      <c r="I136">
        <v>4</v>
      </c>
      <c r="J136">
        <v>6</v>
      </c>
      <c r="K136">
        <v>9</v>
      </c>
      <c r="L136">
        <v>11</v>
      </c>
      <c r="M136">
        <v>14</v>
      </c>
      <c r="N136">
        <v>13</v>
      </c>
      <c r="O136">
        <v>16</v>
      </c>
      <c r="P136">
        <v>18</v>
      </c>
      <c r="Q136">
        <v>19</v>
      </c>
      <c r="R136">
        <v>20</v>
      </c>
      <c r="S136">
        <v>1</v>
      </c>
      <c r="T136">
        <v>2</v>
      </c>
      <c r="U136">
        <v>3</v>
      </c>
      <c r="V136">
        <v>5</v>
      </c>
      <c r="W136">
        <v>8</v>
      </c>
      <c r="X136">
        <v>7</v>
      </c>
      <c r="Y136">
        <v>10</v>
      </c>
      <c r="Z136">
        <v>12</v>
      </c>
      <c r="AA136">
        <v>15</v>
      </c>
      <c r="AB136">
        <v>17</v>
      </c>
      <c r="AD136">
        <f t="shared" ref="AD136:AH136" si="476">SUMIFS($I136:$AB136,$I$2:$AB$2,AD$7)</f>
        <v>25</v>
      </c>
      <c r="AE136">
        <f t="shared" si="476"/>
        <v>34</v>
      </c>
      <c r="AF136">
        <f t="shared" si="476"/>
        <v>42</v>
      </c>
      <c r="AG136">
        <f t="shared" si="476"/>
        <v>50</v>
      </c>
      <c r="AH136">
        <f t="shared" si="476"/>
        <v>59</v>
      </c>
      <c r="AI136">
        <f t="shared" si="451"/>
        <v>130</v>
      </c>
      <c r="AJ136">
        <f t="shared" si="451"/>
        <v>80</v>
      </c>
      <c r="AK136">
        <f t="shared" si="452"/>
        <v>147</v>
      </c>
      <c r="AL136">
        <f t="shared" si="452"/>
        <v>63</v>
      </c>
      <c r="AN136" s="67">
        <f t="shared" ref="AN136:AV136" si="477">((AD136-MIN($AD136:$AL136))/(MAX($AD136:$AL136)-MIN($AD136:$AL136)))</f>
        <v>0</v>
      </c>
      <c r="AO136" s="67">
        <f t="shared" si="477"/>
        <v>7.3770491803278687E-2</v>
      </c>
      <c r="AP136" s="67">
        <f t="shared" si="477"/>
        <v>0.13934426229508196</v>
      </c>
      <c r="AQ136" s="67">
        <f t="shared" si="477"/>
        <v>0.20491803278688525</v>
      </c>
      <c r="AR136" s="67">
        <f t="shared" si="477"/>
        <v>0.27868852459016391</v>
      </c>
      <c r="AS136" s="67">
        <f t="shared" si="477"/>
        <v>0.86065573770491799</v>
      </c>
      <c r="AT136" s="67">
        <f t="shared" si="477"/>
        <v>0.45081967213114754</v>
      </c>
      <c r="AU136" s="67">
        <f t="shared" si="477"/>
        <v>1</v>
      </c>
      <c r="AV136" s="67">
        <f t="shared" si="477"/>
        <v>0.31147540983606559</v>
      </c>
      <c r="AX136">
        <f t="shared" ref="AX136:AX139" si="478">MAX($AN136:$AR136)-MIN($AN136:$AR136)</f>
        <v>0.27868852459016391</v>
      </c>
      <c r="AY136">
        <f t="shared" ref="AY136:AY139" si="479">MAX($AS136:$AT136)-MIN($AS136:$AT136)</f>
        <v>0.40983606557377045</v>
      </c>
      <c r="AZ136">
        <f t="shared" ref="AZ136:AZ139" si="480">MAX($AU136:$AV136)-MIN($AU136:$AV136)</f>
        <v>0.68852459016393441</v>
      </c>
      <c r="BB136">
        <f t="shared" ref="BB136:BD136" si="481">AX136/SUM($AX136:$AZ136)</f>
        <v>0.20238095238095241</v>
      </c>
      <c r="BC136">
        <f t="shared" si="481"/>
        <v>0.29761904761904762</v>
      </c>
      <c r="BD136">
        <f t="shared" si="481"/>
        <v>0.50000000000000011</v>
      </c>
      <c r="BF136" t="str">
        <f t="shared" ref="BF136:BF139" si="482">INDEX($BB$7:$BD$7,,MATCH(MAX(BB136:BD136),BB136:BD136,0))</f>
        <v>Theme</v>
      </c>
      <c r="BG136" t="str">
        <f t="shared" ref="BG136:BG139" si="483">INDEX(BI136:BK136,,MATCH(BF136,$BI$7:$BK$7,0))</f>
        <v>A</v>
      </c>
      <c r="BI136">
        <f t="shared" ref="BI136:BI139" si="484">INDEX($AN$7:$AR$7,,MATCH(MIN(AN136:AR136),AN136:AR136,0))</f>
        <v>3.5</v>
      </c>
      <c r="BJ136" t="str">
        <f t="shared" ref="BJ136:BJ139" si="485">INDEX($AS$7:$AT$7,,MATCH(MIN(AS136:AT136),AS136:AT136,0))</f>
        <v>Tennis</v>
      </c>
      <c r="BK136" t="str">
        <f t="shared" ref="BK136:BK139" si="486">INDEX($AU$7:$AV$7,,MATCH(MIN(AU136:AV136),AU136:AV136,0))</f>
        <v>A</v>
      </c>
      <c r="BS136">
        <f t="shared" si="367"/>
        <v>0.27868852459016391</v>
      </c>
      <c r="BT136">
        <f t="shared" si="368"/>
        <v>0.40983606557377045</v>
      </c>
      <c r="BU136">
        <f t="shared" si="369"/>
        <v>-0.68852459016393441</v>
      </c>
      <c r="BW136">
        <f t="shared" si="370"/>
        <v>-1.096528691011587</v>
      </c>
      <c r="BX136">
        <f t="shared" si="371"/>
        <v>0.9040942030998107</v>
      </c>
      <c r="BY136">
        <f t="shared" si="372"/>
        <v>-1.4714779590116605</v>
      </c>
      <c r="CB136">
        <f t="shared" si="373"/>
        <v>3.3290485879108731</v>
      </c>
      <c r="CC136">
        <f t="shared" si="374"/>
        <v>3.3324063069318739</v>
      </c>
      <c r="CD136">
        <f t="shared" si="375"/>
        <v>0.68485514709493589</v>
      </c>
      <c r="CE136">
        <f t="shared" si="376"/>
        <v>2.2071965849657444</v>
      </c>
      <c r="CF136">
        <f t="shared" si="377"/>
        <v>2.6677160022155015</v>
      </c>
      <c r="CG136">
        <f t="shared" si="269"/>
        <v>0.68485514709493589</v>
      </c>
      <c r="CK136" t="str">
        <f t="shared" si="407"/>
        <v>Cluster 3</v>
      </c>
      <c r="CL136" t="str">
        <f t="shared" si="378"/>
        <v>A Tennis</v>
      </c>
      <c r="CM136" t="str">
        <f t="shared" si="386"/>
        <v>Tennis A</v>
      </c>
      <c r="CN136" t="str">
        <f t="shared" si="379"/>
        <v>Diff</v>
      </c>
    </row>
    <row r="137" spans="8:92">
      <c r="H137">
        <v>130</v>
      </c>
      <c r="I137">
        <v>4</v>
      </c>
      <c r="J137">
        <v>7</v>
      </c>
      <c r="K137">
        <v>10</v>
      </c>
      <c r="L137">
        <v>12</v>
      </c>
      <c r="M137">
        <v>15</v>
      </c>
      <c r="N137">
        <v>13</v>
      </c>
      <c r="O137">
        <v>16</v>
      </c>
      <c r="P137">
        <v>18</v>
      </c>
      <c r="Q137">
        <v>19</v>
      </c>
      <c r="R137">
        <v>20</v>
      </c>
      <c r="S137">
        <v>1</v>
      </c>
      <c r="T137">
        <v>2</v>
      </c>
      <c r="U137">
        <v>3</v>
      </c>
      <c r="V137">
        <v>5</v>
      </c>
      <c r="W137">
        <v>8</v>
      </c>
      <c r="X137">
        <v>6</v>
      </c>
      <c r="Y137">
        <v>9</v>
      </c>
      <c r="Z137">
        <v>11</v>
      </c>
      <c r="AA137">
        <v>14</v>
      </c>
      <c r="AB137">
        <v>17</v>
      </c>
      <c r="AD137">
        <f t="shared" ref="AD137:AH137" si="487">SUMIFS($I137:$AB137,$I$2:$AB$2,AD$7)</f>
        <v>24</v>
      </c>
      <c r="AE137">
        <f t="shared" si="487"/>
        <v>34</v>
      </c>
      <c r="AF137">
        <f t="shared" si="487"/>
        <v>42</v>
      </c>
      <c r="AG137">
        <f t="shared" si="487"/>
        <v>50</v>
      </c>
      <c r="AH137">
        <f t="shared" si="487"/>
        <v>60</v>
      </c>
      <c r="AI137">
        <f t="shared" si="451"/>
        <v>134</v>
      </c>
      <c r="AJ137">
        <f t="shared" si="451"/>
        <v>76</v>
      </c>
      <c r="AK137">
        <f t="shared" si="452"/>
        <v>143</v>
      </c>
      <c r="AL137">
        <f t="shared" si="452"/>
        <v>67</v>
      </c>
      <c r="AN137" s="67">
        <f t="shared" ref="AN137:AV137" si="488">((AD137-MIN($AD137:$AL137))/(MAX($AD137:$AL137)-MIN($AD137:$AL137)))</f>
        <v>0</v>
      </c>
      <c r="AO137" s="67">
        <f t="shared" si="488"/>
        <v>8.4033613445378158E-2</v>
      </c>
      <c r="AP137" s="67">
        <f t="shared" si="488"/>
        <v>0.15126050420168066</v>
      </c>
      <c r="AQ137" s="67">
        <f t="shared" si="488"/>
        <v>0.21848739495798319</v>
      </c>
      <c r="AR137" s="67">
        <f t="shared" si="488"/>
        <v>0.30252100840336132</v>
      </c>
      <c r="AS137" s="67">
        <f t="shared" si="488"/>
        <v>0.92436974789915971</v>
      </c>
      <c r="AT137" s="67">
        <f t="shared" si="488"/>
        <v>0.43697478991596639</v>
      </c>
      <c r="AU137" s="67">
        <f t="shared" si="488"/>
        <v>1</v>
      </c>
      <c r="AV137" s="67">
        <f t="shared" si="488"/>
        <v>0.36134453781512604</v>
      </c>
      <c r="AX137">
        <f t="shared" si="478"/>
        <v>0.30252100840336132</v>
      </c>
      <c r="AY137">
        <f t="shared" si="479"/>
        <v>0.48739495798319332</v>
      </c>
      <c r="AZ137">
        <f t="shared" si="480"/>
        <v>0.6386554621848739</v>
      </c>
      <c r="BB137">
        <f t="shared" ref="BB137:BD137" si="489">AX137/SUM($AX137:$AZ137)</f>
        <v>0.21176470588235291</v>
      </c>
      <c r="BC137">
        <f t="shared" si="489"/>
        <v>0.3411764705882353</v>
      </c>
      <c r="BD137">
        <f t="shared" si="489"/>
        <v>0.44705882352941173</v>
      </c>
      <c r="BF137" t="str">
        <f t="shared" si="482"/>
        <v>Theme</v>
      </c>
      <c r="BG137" t="str">
        <f t="shared" si="483"/>
        <v>A</v>
      </c>
      <c r="BI137">
        <f t="shared" si="484"/>
        <v>3.5</v>
      </c>
      <c r="BJ137" t="str">
        <f t="shared" si="485"/>
        <v>Tennis</v>
      </c>
      <c r="BK137" t="str">
        <f t="shared" si="486"/>
        <v>A</v>
      </c>
      <c r="BS137">
        <f t="shared" si="367"/>
        <v>0.30252100840336132</v>
      </c>
      <c r="BT137">
        <f t="shared" si="368"/>
        <v>0.48739495798319332</v>
      </c>
      <c r="BU137">
        <f t="shared" si="369"/>
        <v>-0.6386554621848739</v>
      </c>
      <c r="BW137">
        <f t="shared" si="370"/>
        <v>-0.88658687390872204</v>
      </c>
      <c r="BX137">
        <f t="shared" si="371"/>
        <v>1.0736817150330213</v>
      </c>
      <c r="BY137">
        <f t="shared" si="372"/>
        <v>-1.3661185797537068</v>
      </c>
      <c r="CB137">
        <f t="shared" si="373"/>
        <v>3.3340361205485207</v>
      </c>
      <c r="CC137">
        <f t="shared" si="374"/>
        <v>3.1449506680952926</v>
      </c>
      <c r="CD137">
        <f t="shared" si="375"/>
        <v>0.4370161757631229</v>
      </c>
      <c r="CE137">
        <f t="shared" si="376"/>
        <v>2.3041701716870109</v>
      </c>
      <c r="CF137">
        <f t="shared" si="377"/>
        <v>2.5170730746365857</v>
      </c>
      <c r="CG137">
        <f t="shared" si="269"/>
        <v>0.4370161757631229</v>
      </c>
      <c r="CK137" t="str">
        <f t="shared" si="407"/>
        <v>Cluster 3</v>
      </c>
      <c r="CL137" t="str">
        <f t="shared" si="378"/>
        <v>A Tennis</v>
      </c>
      <c r="CM137" t="str">
        <f t="shared" si="386"/>
        <v>Tennis A</v>
      </c>
      <c r="CN137" t="str">
        <f t="shared" si="379"/>
        <v>Diff</v>
      </c>
    </row>
    <row r="138" spans="8:92">
      <c r="H138">
        <v>131</v>
      </c>
      <c r="I138">
        <v>1</v>
      </c>
      <c r="J138">
        <v>5</v>
      </c>
      <c r="K138">
        <v>9</v>
      </c>
      <c r="L138">
        <v>13</v>
      </c>
      <c r="M138">
        <v>17</v>
      </c>
      <c r="N138">
        <v>3</v>
      </c>
      <c r="O138">
        <v>7</v>
      </c>
      <c r="P138">
        <v>11</v>
      </c>
      <c r="Q138">
        <v>15</v>
      </c>
      <c r="R138">
        <v>19</v>
      </c>
      <c r="S138">
        <v>2</v>
      </c>
      <c r="T138">
        <v>6</v>
      </c>
      <c r="U138">
        <v>10</v>
      </c>
      <c r="V138">
        <v>14</v>
      </c>
      <c r="W138">
        <v>18</v>
      </c>
      <c r="X138">
        <v>4</v>
      </c>
      <c r="Y138">
        <v>8</v>
      </c>
      <c r="Z138">
        <v>12</v>
      </c>
      <c r="AA138">
        <v>16</v>
      </c>
      <c r="AB138">
        <v>20</v>
      </c>
      <c r="AD138">
        <f t="shared" ref="AD138:AH138" si="490">SUMIFS($I138:$AB138,$I$2:$AB$2,AD$7)</f>
        <v>10</v>
      </c>
      <c r="AE138">
        <f t="shared" si="490"/>
        <v>26</v>
      </c>
      <c r="AF138">
        <f t="shared" si="490"/>
        <v>42</v>
      </c>
      <c r="AG138">
        <f t="shared" si="490"/>
        <v>58</v>
      </c>
      <c r="AH138">
        <f t="shared" si="490"/>
        <v>74</v>
      </c>
      <c r="AI138">
        <f t="shared" si="451"/>
        <v>100</v>
      </c>
      <c r="AJ138">
        <f t="shared" si="451"/>
        <v>110</v>
      </c>
      <c r="AK138">
        <f t="shared" si="452"/>
        <v>115</v>
      </c>
      <c r="AL138">
        <f t="shared" si="452"/>
        <v>95</v>
      </c>
      <c r="AN138" s="67">
        <f t="shared" ref="AN138:AV138" si="491">((AD138-MIN($AD138:$AL138))/(MAX($AD138:$AL138)-MIN($AD138:$AL138)))</f>
        <v>0</v>
      </c>
      <c r="AO138" s="67">
        <f t="shared" si="491"/>
        <v>0.15238095238095239</v>
      </c>
      <c r="AP138" s="67">
        <f t="shared" si="491"/>
        <v>0.30476190476190479</v>
      </c>
      <c r="AQ138" s="67">
        <f t="shared" si="491"/>
        <v>0.45714285714285713</v>
      </c>
      <c r="AR138" s="67">
        <f t="shared" si="491"/>
        <v>0.60952380952380958</v>
      </c>
      <c r="AS138" s="67">
        <f t="shared" si="491"/>
        <v>0.8571428571428571</v>
      </c>
      <c r="AT138" s="67">
        <f t="shared" si="491"/>
        <v>0.95238095238095233</v>
      </c>
      <c r="AU138" s="67">
        <f t="shared" si="491"/>
        <v>1</v>
      </c>
      <c r="AV138" s="67">
        <f t="shared" si="491"/>
        <v>0.80952380952380953</v>
      </c>
      <c r="AX138">
        <f t="shared" si="478"/>
        <v>0.60952380952380958</v>
      </c>
      <c r="AY138">
        <f t="shared" si="479"/>
        <v>9.5238095238095233E-2</v>
      </c>
      <c r="AZ138">
        <f t="shared" si="480"/>
        <v>0.19047619047619047</v>
      </c>
      <c r="BB138">
        <f t="shared" ref="BB138:BD138" si="492">AX138/SUM($AX138:$AZ138)</f>
        <v>0.68085106382978722</v>
      </c>
      <c r="BC138">
        <f t="shared" si="492"/>
        <v>0.10638297872340424</v>
      </c>
      <c r="BD138">
        <f t="shared" si="492"/>
        <v>0.21276595744680848</v>
      </c>
      <c r="BF138" t="str">
        <f t="shared" si="482"/>
        <v>Price</v>
      </c>
      <c r="BG138">
        <f t="shared" si="483"/>
        <v>3.5</v>
      </c>
      <c r="BI138">
        <f t="shared" si="484"/>
        <v>3.5</v>
      </c>
      <c r="BJ138" t="str">
        <f t="shared" si="485"/>
        <v>Super Bowl</v>
      </c>
      <c r="BK138" t="str">
        <f t="shared" si="486"/>
        <v>A</v>
      </c>
      <c r="BS138">
        <f t="shared" si="367"/>
        <v>0.60952380952380958</v>
      </c>
      <c r="BT138">
        <f t="shared" si="368"/>
        <v>-9.5238095238095233E-2</v>
      </c>
      <c r="BU138">
        <f t="shared" si="369"/>
        <v>-0.19047619047619047</v>
      </c>
      <c r="BW138">
        <f t="shared" si="370"/>
        <v>1.8178197010872597</v>
      </c>
      <c r="BX138">
        <f t="shared" si="371"/>
        <v>-0.2002829690454716</v>
      </c>
      <c r="BY138">
        <f t="shared" si="372"/>
        <v>-0.41924239047412343</v>
      </c>
      <c r="CB138">
        <f t="shared" si="373"/>
        <v>3.0236668291796973</v>
      </c>
      <c r="CC138">
        <f t="shared" si="374"/>
        <v>0.61144163909422833</v>
      </c>
      <c r="CD138">
        <f t="shared" si="375"/>
        <v>2.7307457287229773</v>
      </c>
      <c r="CE138">
        <f t="shared" si="376"/>
        <v>2.5690728729265433</v>
      </c>
      <c r="CF138">
        <f t="shared" si="377"/>
        <v>3.0951992474027037</v>
      </c>
      <c r="CG138">
        <f t="shared" ref="CG138:CG139" si="493">MIN(CB138:CF138)</f>
        <v>0.61144163909422833</v>
      </c>
      <c r="CK138" t="str">
        <f t="shared" si="407"/>
        <v>Cluster 2</v>
      </c>
      <c r="CL138" t="str">
        <f t="shared" si="378"/>
        <v>Price Only</v>
      </c>
      <c r="CM138" t="str">
        <f t="shared" si="386"/>
        <v>Price Only</v>
      </c>
      <c r="CN138" t="str">
        <f t="shared" si="379"/>
        <v/>
      </c>
    </row>
    <row r="139" spans="8:92">
      <c r="H139">
        <v>132</v>
      </c>
      <c r="I139">
        <v>2</v>
      </c>
      <c r="J139">
        <v>6</v>
      </c>
      <c r="K139">
        <v>10</v>
      </c>
      <c r="L139">
        <v>14</v>
      </c>
      <c r="M139">
        <v>18</v>
      </c>
      <c r="N139">
        <v>1</v>
      </c>
      <c r="O139">
        <v>5</v>
      </c>
      <c r="P139">
        <v>9</v>
      </c>
      <c r="Q139">
        <v>13</v>
      </c>
      <c r="R139">
        <v>17</v>
      </c>
      <c r="S139">
        <v>4</v>
      </c>
      <c r="T139">
        <v>8</v>
      </c>
      <c r="U139">
        <v>12</v>
      </c>
      <c r="V139">
        <v>16</v>
      </c>
      <c r="W139">
        <v>20</v>
      </c>
      <c r="X139">
        <v>3</v>
      </c>
      <c r="Y139">
        <v>7</v>
      </c>
      <c r="Z139">
        <v>11</v>
      </c>
      <c r="AA139">
        <v>15</v>
      </c>
      <c r="AB139">
        <v>19</v>
      </c>
      <c r="AD139">
        <f t="shared" ref="AD139:AH139" si="494">SUMIFS($I139:$AB139,$I$2:$AB$2,AD$7)</f>
        <v>10</v>
      </c>
      <c r="AE139">
        <f t="shared" si="494"/>
        <v>26</v>
      </c>
      <c r="AF139">
        <f t="shared" si="494"/>
        <v>42</v>
      </c>
      <c r="AG139">
        <f t="shared" si="494"/>
        <v>58</v>
      </c>
      <c r="AH139">
        <f t="shared" si="494"/>
        <v>74</v>
      </c>
      <c r="AI139">
        <f t="shared" si="451"/>
        <v>95</v>
      </c>
      <c r="AJ139">
        <f t="shared" si="451"/>
        <v>115</v>
      </c>
      <c r="AK139">
        <f t="shared" si="452"/>
        <v>100</v>
      </c>
      <c r="AL139">
        <f t="shared" si="452"/>
        <v>110</v>
      </c>
      <c r="AN139" s="67">
        <f t="shared" ref="AN139:AV139" si="495">((AD139-MIN($AD139:$AL139))/(MAX($AD139:$AL139)-MIN($AD139:$AL139)))</f>
        <v>0</v>
      </c>
      <c r="AO139" s="67">
        <f t="shared" si="495"/>
        <v>0.15238095238095239</v>
      </c>
      <c r="AP139" s="67">
        <f t="shared" si="495"/>
        <v>0.30476190476190479</v>
      </c>
      <c r="AQ139" s="67">
        <f t="shared" si="495"/>
        <v>0.45714285714285713</v>
      </c>
      <c r="AR139" s="67">
        <f t="shared" si="495"/>
        <v>0.60952380952380958</v>
      </c>
      <c r="AS139" s="67">
        <f t="shared" si="495"/>
        <v>0.80952380952380953</v>
      </c>
      <c r="AT139" s="67">
        <f t="shared" si="495"/>
        <v>1</v>
      </c>
      <c r="AU139" s="67">
        <f t="shared" si="495"/>
        <v>0.8571428571428571</v>
      </c>
      <c r="AV139" s="67">
        <f t="shared" si="495"/>
        <v>0.95238095238095233</v>
      </c>
      <c r="AX139">
        <f t="shared" si="478"/>
        <v>0.60952380952380958</v>
      </c>
      <c r="AY139">
        <f t="shared" si="479"/>
        <v>0.19047619047619047</v>
      </c>
      <c r="AZ139">
        <f t="shared" si="480"/>
        <v>9.5238095238095233E-2</v>
      </c>
      <c r="BB139">
        <f t="shared" ref="BB139:BD139" si="496">AX139/SUM($AX139:$AZ139)</f>
        <v>0.68085106382978722</v>
      </c>
      <c r="BC139">
        <f t="shared" si="496"/>
        <v>0.21276595744680848</v>
      </c>
      <c r="BD139">
        <f t="shared" si="496"/>
        <v>0.10638297872340424</v>
      </c>
      <c r="BF139" t="str">
        <f t="shared" si="482"/>
        <v>Price</v>
      </c>
      <c r="BG139">
        <f t="shared" si="483"/>
        <v>3.5</v>
      </c>
      <c r="BI139">
        <f t="shared" si="484"/>
        <v>3.5</v>
      </c>
      <c r="BJ139" t="str">
        <f t="shared" si="485"/>
        <v>Super Bowl</v>
      </c>
      <c r="BK139" t="str">
        <f t="shared" si="486"/>
        <v>B</v>
      </c>
      <c r="BS139">
        <f t="shared" si="367"/>
        <v>0.60952380952380958</v>
      </c>
      <c r="BT139">
        <f t="shared" si="368"/>
        <v>-0.19047619047619047</v>
      </c>
      <c r="BU139">
        <f t="shared" si="369"/>
        <v>9.5238095238095233E-2</v>
      </c>
      <c r="BW139">
        <f t="shared" si="370"/>
        <v>1.8178197010872597</v>
      </c>
      <c r="BX139">
        <f t="shared" si="371"/>
        <v>-0.40852719625060985</v>
      </c>
      <c r="BY139">
        <f t="shared" si="372"/>
        <v>0.18439118019161094</v>
      </c>
      <c r="CB139">
        <f t="shared" si="373"/>
        <v>2.7043327717018051</v>
      </c>
      <c r="CC139">
        <f t="shared" si="374"/>
        <v>0.6436859400386109</v>
      </c>
      <c r="CD139">
        <f t="shared" si="375"/>
        <v>3.0509762354141357</v>
      </c>
      <c r="CE139">
        <f t="shared" si="376"/>
        <v>2.7122242310969495</v>
      </c>
      <c r="CF139">
        <f t="shared" si="377"/>
        <v>2.9457796906508862</v>
      </c>
      <c r="CG139">
        <f t="shared" si="493"/>
        <v>0.6436859400386109</v>
      </c>
      <c r="CK139" t="str">
        <f t="shared" si="407"/>
        <v>Cluster 2</v>
      </c>
      <c r="CL139" t="str">
        <f t="shared" si="378"/>
        <v>Price Only</v>
      </c>
      <c r="CM139" t="str">
        <f t="shared" si="386"/>
        <v>Price Only</v>
      </c>
      <c r="CN139" t="str">
        <f t="shared" si="379"/>
        <v/>
      </c>
    </row>
  </sheetData>
  <autoFilter ref="B7:AB139" xr:uid="{00000000-0009-0000-0000-000004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X139"/>
  <sheetViews>
    <sheetView topLeftCell="CI1" zoomScale="96" zoomScaleNormal="96" workbookViewId="0">
      <pane ySplit="7" topLeftCell="A8" activePane="bottomLeft" state="frozen"/>
      <selection pane="bottomLeft" activeCell="CP8" sqref="CP8"/>
    </sheetView>
  </sheetViews>
  <sheetFormatPr defaultColWidth="9" defaultRowHeight="14.5"/>
  <cols>
    <col min="1" max="1" width="3.6328125" customWidth="1"/>
    <col min="2" max="2" width="11.6328125" customWidth="1"/>
    <col min="3" max="3" width="11.90625" style="5" customWidth="1"/>
    <col min="4" max="4" width="16" customWidth="1"/>
    <col min="8" max="8" width="11.6328125" customWidth="1"/>
    <col min="9" max="28" width="7.36328125" customWidth="1"/>
    <col min="35" max="36" width="9.08984375"/>
    <col min="41" max="48" width="12.90625"/>
    <col min="50" max="52" width="12.90625"/>
    <col min="54" max="56" width="12.90625"/>
    <col min="61" max="61" width="12.90625"/>
    <col min="68" max="70" width="12.90625"/>
    <col min="71" max="71" width="21.81640625" customWidth="1"/>
    <col min="72" max="73" width="14.08984375"/>
    <col min="75" max="77" width="14.08984375"/>
    <col min="79" max="81" width="12.90625"/>
    <col min="82" max="82" width="13.90625" customWidth="1"/>
    <col min="83" max="85" width="12.90625"/>
    <col min="94" max="94" width="16.1796875" customWidth="1"/>
    <col min="96" max="96" width="12.90625"/>
    <col min="99" max="99" width="14.08984375"/>
  </cols>
  <sheetData>
    <row r="1" spans="2:102" s="53" customFormat="1">
      <c r="B1" s="3" t="s">
        <v>35</v>
      </c>
      <c r="C1" s="54"/>
      <c r="H1" s="3" t="s">
        <v>36</v>
      </c>
    </row>
    <row r="2" spans="2:102" s="53" customFormat="1">
      <c r="B2" s="3"/>
      <c r="C2" s="54"/>
      <c r="H2" s="17" t="s">
        <v>37</v>
      </c>
      <c r="I2" s="5">
        <v>3.5</v>
      </c>
      <c r="J2" s="5">
        <v>3.75</v>
      </c>
      <c r="K2" s="5">
        <v>4</v>
      </c>
      <c r="L2" s="5">
        <v>4.25</v>
      </c>
      <c r="M2" s="5">
        <v>4.5</v>
      </c>
      <c r="N2" s="5">
        <v>3.5</v>
      </c>
      <c r="O2" s="5">
        <v>3.75</v>
      </c>
      <c r="P2" s="5">
        <v>4</v>
      </c>
      <c r="Q2" s="5">
        <v>4.25</v>
      </c>
      <c r="R2" s="5">
        <v>4.5</v>
      </c>
      <c r="S2" s="5">
        <v>3.5</v>
      </c>
      <c r="T2" s="5">
        <v>3.75</v>
      </c>
      <c r="U2" s="5">
        <v>4</v>
      </c>
      <c r="V2" s="5">
        <v>4.25</v>
      </c>
      <c r="W2" s="5">
        <v>4.5</v>
      </c>
      <c r="X2" s="5">
        <v>3.5</v>
      </c>
      <c r="Y2" s="5">
        <v>3.75</v>
      </c>
      <c r="Z2" s="5">
        <v>4</v>
      </c>
      <c r="AA2" s="5">
        <v>4.25</v>
      </c>
      <c r="AB2" s="5">
        <v>4.5</v>
      </c>
      <c r="BV2" s="36" t="s">
        <v>82</v>
      </c>
      <c r="BW2" s="53">
        <f t="shared" ref="BW2:BY2" si="0">MAX(BS:BS)</f>
        <v>0.62135922330097082</v>
      </c>
      <c r="BX2" s="53">
        <f t="shared" si="0"/>
        <v>0.6386554621848739</v>
      </c>
      <c r="BY2" s="53">
        <f t="shared" si="0"/>
        <v>0.67741935483870974</v>
      </c>
      <c r="CA2" s="38" t="s">
        <v>83</v>
      </c>
      <c r="CB2" s="38" t="s">
        <v>124</v>
      </c>
      <c r="CC2" s="38" t="s">
        <v>85</v>
      </c>
      <c r="CD2" s="38" t="s">
        <v>132</v>
      </c>
      <c r="CE2" s="38" t="s">
        <v>125</v>
      </c>
      <c r="CU2"/>
      <c r="CV2"/>
      <c r="CW2"/>
      <c r="CX2"/>
    </row>
    <row r="3" spans="2:102" s="53" customFormat="1">
      <c r="B3" s="3"/>
      <c r="C3" s="54"/>
      <c r="H3" s="4" t="s">
        <v>38</v>
      </c>
      <c r="I3" s="19" t="s">
        <v>118</v>
      </c>
      <c r="J3" s="19" t="s">
        <v>118</v>
      </c>
      <c r="K3" s="19" t="s">
        <v>118</v>
      </c>
      <c r="L3" s="19" t="s">
        <v>118</v>
      </c>
      <c r="M3" s="19" t="s">
        <v>118</v>
      </c>
      <c r="N3" s="19" t="s">
        <v>118</v>
      </c>
      <c r="O3" s="19" t="s">
        <v>118</v>
      </c>
      <c r="P3" s="19" t="s">
        <v>118</v>
      </c>
      <c r="Q3" s="19" t="s">
        <v>118</v>
      </c>
      <c r="R3" s="19" t="s">
        <v>118</v>
      </c>
      <c r="S3" s="19" t="s">
        <v>119</v>
      </c>
      <c r="T3" s="19" t="s">
        <v>119</v>
      </c>
      <c r="U3" s="19" t="s">
        <v>119</v>
      </c>
      <c r="V3" s="19" t="s">
        <v>119</v>
      </c>
      <c r="W3" s="19" t="s">
        <v>119</v>
      </c>
      <c r="X3" s="19" t="s">
        <v>119</v>
      </c>
      <c r="Y3" s="19" t="s">
        <v>119</v>
      </c>
      <c r="Z3" s="19" t="s">
        <v>119</v>
      </c>
      <c r="AA3" s="19" t="s">
        <v>119</v>
      </c>
      <c r="AB3" s="19" t="s">
        <v>119</v>
      </c>
      <c r="BS3" s="53" t="s">
        <v>126</v>
      </c>
      <c r="BT3" s="53" t="s">
        <v>130</v>
      </c>
      <c r="BV3" s="39" t="s">
        <v>89</v>
      </c>
      <c r="BW3" s="53">
        <f t="shared" ref="BW3:BY3" si="1">MIN(BS:BS)</f>
        <v>0.27350427350427353</v>
      </c>
      <c r="BX3" s="53">
        <f t="shared" si="1"/>
        <v>-0.67741935483870974</v>
      </c>
      <c r="BY3" s="53">
        <f t="shared" si="1"/>
        <v>-0.68852459016393441</v>
      </c>
      <c r="CA3" s="39" t="s">
        <v>37</v>
      </c>
      <c r="CB3" s="8">
        <v>-0.61328737221413299</v>
      </c>
      <c r="CC3" s="8">
        <v>1.7972956577222201</v>
      </c>
      <c r="CD3" s="8">
        <v>-0.44845937710110301</v>
      </c>
      <c r="CE3" s="8">
        <v>-0.47743836149249702</v>
      </c>
      <c r="CU3"/>
      <c r="CV3"/>
      <c r="CW3"/>
      <c r="CX3"/>
    </row>
    <row r="4" spans="2:102" s="53" customFormat="1">
      <c r="B4" s="3"/>
      <c r="C4" s="54"/>
      <c r="H4" s="4" t="s">
        <v>41</v>
      </c>
      <c r="I4" s="19" t="s">
        <v>120</v>
      </c>
      <c r="J4" s="19" t="s">
        <v>120</v>
      </c>
      <c r="K4" s="19" t="s">
        <v>120</v>
      </c>
      <c r="L4" s="19" t="s">
        <v>120</v>
      </c>
      <c r="M4" s="19" t="s">
        <v>120</v>
      </c>
      <c r="N4" s="19" t="s">
        <v>121</v>
      </c>
      <c r="O4" s="19" t="s">
        <v>121</v>
      </c>
      <c r="P4" s="19" t="s">
        <v>121</v>
      </c>
      <c r="Q4" s="19" t="s">
        <v>121</v>
      </c>
      <c r="R4" s="19" t="s">
        <v>121</v>
      </c>
      <c r="S4" s="19" t="s">
        <v>120</v>
      </c>
      <c r="T4" s="19" t="s">
        <v>120</v>
      </c>
      <c r="U4" s="19" t="s">
        <v>120</v>
      </c>
      <c r="V4" s="19" t="s">
        <v>120</v>
      </c>
      <c r="W4" s="19" t="s">
        <v>120</v>
      </c>
      <c r="X4" s="19" t="s">
        <v>121</v>
      </c>
      <c r="Y4" s="19" t="s">
        <v>121</v>
      </c>
      <c r="Z4" s="19" t="s">
        <v>121</v>
      </c>
      <c r="AA4" s="19" t="s">
        <v>121</v>
      </c>
      <c r="AB4" s="19" t="s">
        <v>121</v>
      </c>
      <c r="BS4" s="53" t="s">
        <v>129</v>
      </c>
      <c r="BT4" s="53" t="s">
        <v>131</v>
      </c>
      <c r="BV4" s="39" t="s">
        <v>90</v>
      </c>
      <c r="BW4" s="53">
        <f t="shared" ref="BW4:BY4" si="2">AVERAGE(BS:BS)</f>
        <v>0.40316588045888935</v>
      </c>
      <c r="BX4" s="53">
        <f t="shared" si="2"/>
        <v>-3.6409895870894386E-3</v>
      </c>
      <c r="BY4" s="53">
        <f t="shared" si="2"/>
        <v>7.9613152499360042E-3</v>
      </c>
      <c r="CA4" s="39" t="s">
        <v>38</v>
      </c>
      <c r="CB4" s="8">
        <v>-1.1445140218538099</v>
      </c>
      <c r="CC4" s="8">
        <v>0.210712195698041</v>
      </c>
      <c r="CD4" s="8">
        <v>1.09396133781409</v>
      </c>
      <c r="CE4" s="8">
        <v>-1.17065687041027</v>
      </c>
      <c r="CU4"/>
      <c r="CV4"/>
      <c r="CW4"/>
      <c r="CX4"/>
    </row>
    <row r="5" spans="2:102" s="53" customFormat="1">
      <c r="B5" s="3"/>
      <c r="C5" s="54"/>
      <c r="H5" s="3"/>
      <c r="AX5" s="2"/>
      <c r="AY5" s="2"/>
      <c r="AZ5" s="2"/>
      <c r="BB5" s="3" t="s">
        <v>44</v>
      </c>
      <c r="BC5" s="2"/>
      <c r="BD5" s="2"/>
      <c r="BE5" s="2"/>
      <c r="BF5" s="6"/>
      <c r="BG5" s="6"/>
      <c r="BP5" s="2"/>
      <c r="BQ5" s="2"/>
      <c r="BR5" s="2"/>
      <c r="BS5" s="2"/>
      <c r="BT5" s="2"/>
      <c r="BU5" s="2"/>
      <c r="BV5" s="39" t="s">
        <v>91</v>
      </c>
      <c r="BW5" s="2">
        <f t="shared" ref="BW5:BY5" si="3">STDEV(BS:BS)</f>
        <v>0.11351947002306945</v>
      </c>
      <c r="BX5" s="2">
        <f t="shared" si="3"/>
        <v>0.45733846511038029</v>
      </c>
      <c r="BY5" s="2">
        <f t="shared" si="3"/>
        <v>0.47332404889141211</v>
      </c>
      <c r="BZ5" s="2"/>
      <c r="CA5" s="39" t="s">
        <v>41</v>
      </c>
      <c r="CB5" s="8">
        <v>1.1082838804621999</v>
      </c>
      <c r="CC5" s="8">
        <v>2.3467970887270401E-2</v>
      </c>
      <c r="CD5" s="8">
        <v>-0.13890919494398901</v>
      </c>
      <c r="CE5" s="8">
        <v>-1.04219692985421</v>
      </c>
    </row>
    <row r="6" spans="2:102" s="53" customFormat="1">
      <c r="B6" s="3"/>
      <c r="C6" s="54"/>
      <c r="H6" s="3"/>
      <c r="AD6" s="3" t="s">
        <v>45</v>
      </c>
      <c r="AN6" s="3" t="s">
        <v>46</v>
      </c>
      <c r="AX6" s="3" t="s">
        <v>47</v>
      </c>
      <c r="AY6" s="2"/>
      <c r="AZ6" s="2"/>
      <c r="BB6" s="3" t="s">
        <v>47</v>
      </c>
      <c r="BC6" s="2"/>
      <c r="BE6" s="3" t="s">
        <v>48</v>
      </c>
      <c r="BF6" s="2"/>
      <c r="BG6" s="6"/>
      <c r="BH6" s="6"/>
      <c r="BM6" s="3" t="s">
        <v>49</v>
      </c>
      <c r="BP6" s="3"/>
      <c r="BQ6" s="3"/>
      <c r="BR6" s="3"/>
      <c r="BS6" s="3" t="s">
        <v>92</v>
      </c>
      <c r="BT6" s="2"/>
      <c r="BU6" s="2"/>
      <c r="BV6" s="3"/>
      <c r="BW6" s="3" t="s">
        <v>93</v>
      </c>
      <c r="BX6" s="2"/>
      <c r="BY6" s="3"/>
      <c r="BZ6" s="2"/>
      <c r="CA6" s="3" t="s">
        <v>94</v>
      </c>
      <c r="CB6" s="6"/>
      <c r="CF6" s="40" t="s">
        <v>95</v>
      </c>
      <c r="CG6" s="40"/>
      <c r="CJ6" s="3" t="s">
        <v>96</v>
      </c>
      <c r="CK6" s="33"/>
      <c r="CL6" s="3"/>
      <c r="CM6" s="3"/>
      <c r="CO6" s="3" t="s">
        <v>97</v>
      </c>
      <c r="CP6" s="3"/>
      <c r="CQ6" s="3"/>
    </row>
    <row r="7" spans="2:102" s="4" customFormat="1" ht="43.5">
      <c r="B7" s="4" t="s">
        <v>50</v>
      </c>
      <c r="C7" s="17" t="s">
        <v>37</v>
      </c>
      <c r="D7" s="4" t="s">
        <v>38</v>
      </c>
      <c r="E7" s="4" t="s">
        <v>41</v>
      </c>
      <c r="H7" s="4" t="s">
        <v>51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58</v>
      </c>
      <c r="P7" s="4" t="s">
        <v>59</v>
      </c>
      <c r="Q7" s="4" t="s">
        <v>60</v>
      </c>
      <c r="R7" s="4" t="s">
        <v>61</v>
      </c>
      <c r="S7" s="4" t="s">
        <v>62</v>
      </c>
      <c r="T7" s="4" t="s">
        <v>63</v>
      </c>
      <c r="U7" s="4" t="s">
        <v>64</v>
      </c>
      <c r="V7" s="4" t="s">
        <v>65</v>
      </c>
      <c r="W7" s="4" t="s">
        <v>66</v>
      </c>
      <c r="X7" s="4" t="s">
        <v>67</v>
      </c>
      <c r="Y7" s="4" t="s">
        <v>68</v>
      </c>
      <c r="Z7" s="4" t="s">
        <v>69</v>
      </c>
      <c r="AA7" s="4" t="s">
        <v>70</v>
      </c>
      <c r="AB7" s="4" t="s">
        <v>71</v>
      </c>
      <c r="AD7" s="55">
        <v>3.5</v>
      </c>
      <c r="AE7" s="59">
        <v>3.75</v>
      </c>
      <c r="AF7" s="59">
        <v>4</v>
      </c>
      <c r="AG7" s="59">
        <v>4.25</v>
      </c>
      <c r="AH7" s="61">
        <v>4.5</v>
      </c>
      <c r="AI7" s="65" t="s">
        <v>118</v>
      </c>
      <c r="AJ7" s="66" t="s">
        <v>119</v>
      </c>
      <c r="AK7" s="65" t="s">
        <v>121</v>
      </c>
      <c r="AL7" s="66" t="s">
        <v>120</v>
      </c>
      <c r="AN7" s="55">
        <v>3.5</v>
      </c>
      <c r="AO7" s="59">
        <v>3.75</v>
      </c>
      <c r="AP7" s="59">
        <v>4</v>
      </c>
      <c r="AQ7" s="59">
        <v>4.25</v>
      </c>
      <c r="AR7" s="61">
        <v>4.5</v>
      </c>
      <c r="AS7" s="65" t="s">
        <v>118</v>
      </c>
      <c r="AT7" s="66" t="s">
        <v>119</v>
      </c>
      <c r="AU7" s="65" t="s">
        <v>121</v>
      </c>
      <c r="AV7" s="66" t="s">
        <v>120</v>
      </c>
      <c r="AX7" s="4" t="s">
        <v>37</v>
      </c>
      <c r="AY7" s="4" t="s">
        <v>72</v>
      </c>
      <c r="AZ7" s="4" t="s">
        <v>41</v>
      </c>
      <c r="BB7" s="4" t="s">
        <v>37</v>
      </c>
      <c r="BC7" s="4" t="s">
        <v>72</v>
      </c>
      <c r="BD7" s="4" t="s">
        <v>41</v>
      </c>
      <c r="BF7" s="25" t="s">
        <v>73</v>
      </c>
      <c r="BG7" s="25" t="s">
        <v>74</v>
      </c>
      <c r="BI7" s="28" t="s">
        <v>37</v>
      </c>
      <c r="BJ7" s="29" t="s">
        <v>72</v>
      </c>
      <c r="BK7" s="29" t="s">
        <v>41</v>
      </c>
      <c r="BM7" s="30" t="s">
        <v>75</v>
      </c>
      <c r="BN7" s="34" t="s">
        <v>76</v>
      </c>
      <c r="BO7" s="34" t="s">
        <v>77</v>
      </c>
      <c r="BP7" s="15"/>
      <c r="BQ7" s="15"/>
      <c r="BR7" s="15"/>
      <c r="BS7" s="15" t="s">
        <v>37</v>
      </c>
      <c r="BT7" s="15" t="s">
        <v>38</v>
      </c>
      <c r="BU7" s="25" t="s">
        <v>41</v>
      </c>
      <c r="BW7" s="41" t="s">
        <v>37</v>
      </c>
      <c r="BX7" s="41" t="s">
        <v>38</v>
      </c>
      <c r="BY7" s="41" t="s">
        <v>41</v>
      </c>
      <c r="CB7" s="42" t="s">
        <v>98</v>
      </c>
      <c r="CC7" s="42" t="s">
        <v>99</v>
      </c>
      <c r="CD7" s="42" t="s">
        <v>100</v>
      </c>
      <c r="CE7" s="42" t="s">
        <v>101</v>
      </c>
      <c r="CF7" s="42" t="s">
        <v>103</v>
      </c>
      <c r="CG7" s="25" t="s">
        <v>104</v>
      </c>
      <c r="CJ7" s="45" t="s">
        <v>105</v>
      </c>
      <c r="CK7" s="46" t="s">
        <v>106</v>
      </c>
      <c r="CL7" s="45" t="s">
        <v>107</v>
      </c>
      <c r="CM7" s="48" t="s">
        <v>108</v>
      </c>
      <c r="CO7" s="34" t="s">
        <v>105</v>
      </c>
      <c r="CP7" s="46" t="s">
        <v>83</v>
      </c>
      <c r="CQ7" s="25" t="s">
        <v>75</v>
      </c>
    </row>
    <row r="8" spans="2:102">
      <c r="B8" s="18" t="s">
        <v>52</v>
      </c>
      <c r="C8" s="5">
        <v>3.5</v>
      </c>
      <c r="D8" s="19" t="s">
        <v>118</v>
      </c>
      <c r="E8" s="19" t="s">
        <v>120</v>
      </c>
      <c r="H8">
        <v>1</v>
      </c>
      <c r="I8">
        <v>3</v>
      </c>
      <c r="J8">
        <v>5</v>
      </c>
      <c r="K8">
        <v>8</v>
      </c>
      <c r="L8">
        <v>11</v>
      </c>
      <c r="M8">
        <v>14</v>
      </c>
      <c r="N8">
        <v>1</v>
      </c>
      <c r="O8">
        <v>2</v>
      </c>
      <c r="P8">
        <v>4</v>
      </c>
      <c r="Q8">
        <v>6</v>
      </c>
      <c r="R8">
        <v>9</v>
      </c>
      <c r="S8">
        <v>12</v>
      </c>
      <c r="T8">
        <v>15</v>
      </c>
      <c r="U8">
        <v>17</v>
      </c>
      <c r="V8">
        <v>19</v>
      </c>
      <c r="W8">
        <v>20</v>
      </c>
      <c r="X8">
        <v>7</v>
      </c>
      <c r="Y8">
        <v>10</v>
      </c>
      <c r="Z8">
        <v>13</v>
      </c>
      <c r="AA8">
        <v>16</v>
      </c>
      <c r="AB8">
        <v>18</v>
      </c>
      <c r="AD8">
        <f t="shared" ref="AD8:AH8" si="4">SUMIFS($I8:$AB8,$I$2:$AB$2,AD$7)</f>
        <v>23</v>
      </c>
      <c r="AE8">
        <f t="shared" si="4"/>
        <v>32</v>
      </c>
      <c r="AF8">
        <f t="shared" si="4"/>
        <v>42</v>
      </c>
      <c r="AG8">
        <f t="shared" si="4"/>
        <v>52</v>
      </c>
      <c r="AH8">
        <f t="shared" si="4"/>
        <v>61</v>
      </c>
      <c r="AI8">
        <f t="shared" ref="AI8:AJ27" si="5">SUMIFS($I8:$AB8,$I$3:$AB$3,AI$7)</f>
        <v>63</v>
      </c>
      <c r="AJ8">
        <f t="shared" si="5"/>
        <v>147</v>
      </c>
      <c r="AK8">
        <f t="shared" ref="AK8:AL27" si="6">SUMIFS($I8:$AB8,$I$4:$AB$4,AK$7)</f>
        <v>86</v>
      </c>
      <c r="AL8">
        <f t="shared" si="6"/>
        <v>124</v>
      </c>
      <c r="AN8" s="67">
        <f t="shared" ref="AN8:AV8" si="7">((AD8-MIN($AD8:$AL8))/(MAX($AD8:$AL8)-MIN($AD8:$AL8)))</f>
        <v>0</v>
      </c>
      <c r="AO8" s="67">
        <f t="shared" si="7"/>
        <v>7.2580645161290328E-2</v>
      </c>
      <c r="AP8" s="67">
        <f t="shared" si="7"/>
        <v>0.15322580645161291</v>
      </c>
      <c r="AQ8" s="67">
        <f t="shared" si="7"/>
        <v>0.23387096774193547</v>
      </c>
      <c r="AR8" s="67">
        <f t="shared" si="7"/>
        <v>0.30645161290322581</v>
      </c>
      <c r="AS8" s="67">
        <f t="shared" si="7"/>
        <v>0.32258064516129031</v>
      </c>
      <c r="AT8" s="67">
        <f t="shared" si="7"/>
        <v>1</v>
      </c>
      <c r="AU8" s="67">
        <f t="shared" si="7"/>
        <v>0.50806451612903225</v>
      </c>
      <c r="AV8" s="67">
        <f t="shared" si="7"/>
        <v>0.81451612903225812</v>
      </c>
      <c r="AX8">
        <f t="shared" ref="AX8:AX71" si="8">MAX($AN8:$AR8)-MIN($AN8:$AR8)</f>
        <v>0.30645161290322581</v>
      </c>
      <c r="AY8" s="68">
        <f t="shared" ref="AY8:AY71" si="9">MAX($AS8:$AT8)-MIN($AS8:$AT8)</f>
        <v>0.67741935483870974</v>
      </c>
      <c r="AZ8">
        <f t="shared" ref="AZ8:AZ71" si="10">MAX($AU8:$AV8)-MIN($AU8:$AV8)</f>
        <v>0.30645161290322587</v>
      </c>
      <c r="BB8">
        <f t="shared" ref="BB8:BD8" si="11">AX8/SUM($AX8:$AZ8)</f>
        <v>0.23749999999999996</v>
      </c>
      <c r="BC8">
        <f t="shared" si="11"/>
        <v>0.52500000000000002</v>
      </c>
      <c r="BD8">
        <f t="shared" si="11"/>
        <v>0.23750000000000002</v>
      </c>
      <c r="BF8" t="str">
        <f t="shared" ref="BF8:BF71" si="12">INDEX($BB$7:$BD$7,,MATCH(MAX(BB8:BD8),BB8:BD8,0))</f>
        <v xml:space="preserve">Brand </v>
      </c>
      <c r="BG8" t="str">
        <f t="shared" ref="BG8:BG71" si="13">INDEX(BI8:BK8,,MATCH(BF8,$BI$7:$BK$7,0))</f>
        <v>Super Bowl</v>
      </c>
      <c r="BI8">
        <f t="shared" ref="BI8:BI71" si="14">INDEX($AN$7:$AR$7,,MATCH(MIN(AN8:AR8),AN8:AR8,0))</f>
        <v>3.5</v>
      </c>
      <c r="BJ8" t="str">
        <f t="shared" ref="BJ8:BJ71" si="15">INDEX($AS$7:$AT$7,,MATCH(MIN(AS8:AT8),AS8:AT8,0))</f>
        <v>Super Bowl</v>
      </c>
      <c r="BK8" t="str">
        <f t="shared" ref="BK8:BK71" si="16">INDEX($AU$7:$AV$7,,MATCH(MIN(AU8:AV8),AU8:AV8,0))</f>
        <v>B</v>
      </c>
      <c r="BM8">
        <f>COUNTIFS(BF:BF,BN8,BG:BG,BO8)</f>
        <v>30</v>
      </c>
      <c r="BN8" t="s">
        <v>37</v>
      </c>
      <c r="BO8">
        <v>3.5</v>
      </c>
      <c r="BS8">
        <f t="shared" ref="BS8:BS71" si="17">AR8-AN8</f>
        <v>0.30645161290322581</v>
      </c>
      <c r="BT8" s="68">
        <f>AS8-AT8</f>
        <v>-0.67741935483870974</v>
      </c>
      <c r="BU8" s="68">
        <f t="shared" ref="BU8:BU71" si="18">AV8-AU8</f>
        <v>0.30645161290322587</v>
      </c>
      <c r="BW8">
        <f>(BS8-$BW$4)/$BW$5</f>
        <v>-0.85196193689073108</v>
      </c>
      <c r="BX8">
        <f t="shared" ref="BX8:BX39" si="19">(BT8-$BX$4)/$BX$5</f>
        <v>-1.4732597772833331</v>
      </c>
      <c r="BY8">
        <f t="shared" ref="BY8:BY39" si="20">(BU8-$BY$4)/$BY$5</f>
        <v>0.63062567463536634</v>
      </c>
      <c r="CB8">
        <f t="shared" ref="CB8:CB39" si="21">(($CB$3-BW8)^2+($CB$4-BX8)^2+($CB$5-BY8)^2)^(1/2)</f>
        <v>0.6270539698703782</v>
      </c>
      <c r="CC8">
        <f t="shared" ref="CC8:CC39" si="22">(($CC$3-BW8)^2+($CC$4-BX8)^2+($CC$5-BY8)^2)^(1/2)</f>
        <v>3.1973376245904723</v>
      </c>
      <c r="CD8">
        <f t="shared" ref="CD8:CD39" si="23">(($CD$3-BW8)^2+($CD$4-BX8)^2+($CD$5-BY8)^2)^(1/2)</f>
        <v>2.710280886745386</v>
      </c>
      <c r="CE8">
        <f t="shared" ref="CE8:CE39" si="24">(($CE$3-BW8)^2+($CE$4-BX8)^2+($CE$5-BY8)^2)^(1/2)</f>
        <v>1.7407388930762686</v>
      </c>
      <c r="CF8">
        <f t="shared" ref="CF8:CF71" si="25">MIN(CB8:CE8)</f>
        <v>0.6270539698703782</v>
      </c>
      <c r="CG8">
        <f>SUM(CF:CF)</f>
        <v>94.462479226564454</v>
      </c>
      <c r="CJ8" t="str">
        <f t="shared" ref="CJ8:CJ71" si="26">INDEX($CB$7:$CE$7,,MATCH(MIN(CB8:CE8),CB8:CE8,0))</f>
        <v>Cluster 1</v>
      </c>
      <c r="CK8" t="str">
        <f>INDEX($CB$2:$CE$2,,MATCH(CJ8,$CB$7:$CE$7,0))</f>
        <v>B Super Bowl</v>
      </c>
      <c r="CL8" t="str">
        <f t="shared" ref="CL8:CL71" si="27">IF(BG8=3.5,"Price Only",BJ8&amp;" "&amp;BK8)</f>
        <v>Super Bowl B</v>
      </c>
      <c r="CM8" t="str">
        <f>IF(CK8=CL8,"","Diff")</f>
        <v>Diff</v>
      </c>
      <c r="CO8" s="2" t="s">
        <v>101</v>
      </c>
      <c r="CP8" s="38" t="s">
        <v>124</v>
      </c>
      <c r="CQ8">
        <f>COUNTIFS(CK:CK,CP8)</f>
        <v>27</v>
      </c>
      <c r="CR8" s="69">
        <f>CQ8/$CQ$12</f>
        <v>0.20454545454545456</v>
      </c>
      <c r="CU8">
        <v>-0.85196193689073096</v>
      </c>
      <c r="CV8">
        <v>-1.47325977728333</v>
      </c>
      <c r="CW8">
        <v>0.63062567463536601</v>
      </c>
    </row>
    <row r="9" spans="2:102">
      <c r="B9" s="18" t="s">
        <v>53</v>
      </c>
      <c r="C9" s="5">
        <v>3.75</v>
      </c>
      <c r="D9" s="19" t="s">
        <v>118</v>
      </c>
      <c r="E9" s="19" t="s">
        <v>120</v>
      </c>
      <c r="H9">
        <v>2</v>
      </c>
      <c r="I9">
        <v>3</v>
      </c>
      <c r="J9">
        <v>7</v>
      </c>
      <c r="K9">
        <v>11</v>
      </c>
      <c r="L9">
        <v>15</v>
      </c>
      <c r="M9">
        <v>19</v>
      </c>
      <c r="N9">
        <v>4</v>
      </c>
      <c r="O9">
        <v>8</v>
      </c>
      <c r="P9">
        <v>12</v>
      </c>
      <c r="Q9">
        <v>16</v>
      </c>
      <c r="R9">
        <v>20</v>
      </c>
      <c r="S9">
        <v>1</v>
      </c>
      <c r="T9">
        <v>5</v>
      </c>
      <c r="U9">
        <v>9</v>
      </c>
      <c r="V9">
        <v>13</v>
      </c>
      <c r="W9">
        <v>17</v>
      </c>
      <c r="X9">
        <v>2</v>
      </c>
      <c r="Y9">
        <v>6</v>
      </c>
      <c r="Z9">
        <v>10</v>
      </c>
      <c r="AA9">
        <v>14</v>
      </c>
      <c r="AB9">
        <v>18</v>
      </c>
      <c r="AD9">
        <f t="shared" ref="AD9:AH9" si="28">SUMIFS($I9:$AB9,$I$2:$AB$2,AD$7)</f>
        <v>10</v>
      </c>
      <c r="AE9">
        <f t="shared" si="28"/>
        <v>26</v>
      </c>
      <c r="AF9">
        <f t="shared" si="28"/>
        <v>42</v>
      </c>
      <c r="AG9">
        <f t="shared" si="28"/>
        <v>58</v>
      </c>
      <c r="AH9">
        <f t="shared" si="28"/>
        <v>74</v>
      </c>
      <c r="AI9">
        <f t="shared" si="5"/>
        <v>115</v>
      </c>
      <c r="AJ9">
        <f t="shared" si="5"/>
        <v>95</v>
      </c>
      <c r="AK9">
        <f t="shared" si="6"/>
        <v>110</v>
      </c>
      <c r="AL9">
        <f t="shared" si="6"/>
        <v>100</v>
      </c>
      <c r="AN9" s="67">
        <f t="shared" ref="AN9:AV9" si="29">((AD9-MIN($AD9:$AL9))/(MAX($AD9:$AL9)-MIN($AD9:$AL9)))</f>
        <v>0</v>
      </c>
      <c r="AO9" s="67">
        <f t="shared" si="29"/>
        <v>0.15238095238095239</v>
      </c>
      <c r="AP9" s="67">
        <f t="shared" si="29"/>
        <v>0.30476190476190479</v>
      </c>
      <c r="AQ9" s="67">
        <f t="shared" si="29"/>
        <v>0.45714285714285713</v>
      </c>
      <c r="AR9" s="67">
        <f t="shared" si="29"/>
        <v>0.60952380952380958</v>
      </c>
      <c r="AS9" s="67">
        <f t="shared" si="29"/>
        <v>1</v>
      </c>
      <c r="AT9" s="67">
        <f t="shared" si="29"/>
        <v>0.80952380952380953</v>
      </c>
      <c r="AU9" s="67">
        <f t="shared" si="29"/>
        <v>0.95238095238095233</v>
      </c>
      <c r="AV9" s="67">
        <f t="shared" si="29"/>
        <v>0.8571428571428571</v>
      </c>
      <c r="AX9">
        <f t="shared" si="8"/>
        <v>0.60952380952380958</v>
      </c>
      <c r="AY9">
        <f t="shared" si="9"/>
        <v>0.19047619047619047</v>
      </c>
      <c r="AZ9">
        <f t="shared" si="10"/>
        <v>9.5238095238095233E-2</v>
      </c>
      <c r="BB9">
        <f t="shared" ref="BB9:BD9" si="30">AX9/SUM($AX9:$AZ9)</f>
        <v>0.68085106382978722</v>
      </c>
      <c r="BC9">
        <f t="shared" si="30"/>
        <v>0.21276595744680848</v>
      </c>
      <c r="BD9">
        <f t="shared" si="30"/>
        <v>0.10638297872340424</v>
      </c>
      <c r="BF9" t="str">
        <f t="shared" si="12"/>
        <v>Price</v>
      </c>
      <c r="BG9">
        <f t="shared" si="13"/>
        <v>3.5</v>
      </c>
      <c r="BI9">
        <f t="shared" si="14"/>
        <v>3.5</v>
      </c>
      <c r="BJ9" t="str">
        <f t="shared" si="15"/>
        <v>Tennis</v>
      </c>
      <c r="BK9" t="str">
        <f t="shared" si="16"/>
        <v>A</v>
      </c>
      <c r="BM9">
        <f>COUNTIFS(BF:BF,BN9,BG:BG,BO9)</f>
        <v>28</v>
      </c>
      <c r="BN9" t="s">
        <v>72</v>
      </c>
      <c r="BO9" t="s">
        <v>118</v>
      </c>
      <c r="BS9">
        <f t="shared" si="17"/>
        <v>0.60952380952380958</v>
      </c>
      <c r="BT9">
        <f t="shared" ref="BT9:BT71" si="31">AS9-AT9</f>
        <v>0.19047619047619047</v>
      </c>
      <c r="BU9">
        <f t="shared" si="18"/>
        <v>-9.5238095238095233E-2</v>
      </c>
      <c r="BW9">
        <f t="shared" ref="BW9:BW39" si="32">(BS9-$BW$4)/$BW$5</f>
        <v>1.8178197010872597</v>
      </c>
      <c r="BX9">
        <f t="shared" si="19"/>
        <v>0.42444971256994318</v>
      </c>
      <c r="BY9">
        <f t="shared" si="20"/>
        <v>-0.21803120025221195</v>
      </c>
      <c r="CB9">
        <f t="shared" si="21"/>
        <v>3.1829295460508495</v>
      </c>
      <c r="CC9">
        <f t="shared" si="22"/>
        <v>0.32315137650282982</v>
      </c>
      <c r="CD9">
        <f t="shared" si="23"/>
        <v>2.3644295228015042</v>
      </c>
      <c r="CE9">
        <f t="shared" si="24"/>
        <v>2.9140733921359261</v>
      </c>
      <c r="CF9">
        <f t="shared" si="25"/>
        <v>0.32315137650282982</v>
      </c>
      <c r="CJ9" t="str">
        <f t="shared" si="26"/>
        <v>Cluster 2</v>
      </c>
      <c r="CK9" t="str">
        <f t="shared" ref="CK9:CK39" si="33">INDEX($CB$2:$CE$2,,MATCH(CJ9,$CB$7:$CE$7,0))</f>
        <v>Price Only</v>
      </c>
      <c r="CL9" t="str">
        <f t="shared" si="27"/>
        <v>Price Only</v>
      </c>
      <c r="CM9" t="str">
        <f t="shared" ref="CM9:CM40" si="34">IF(CK9=CL9,"","Diff")</f>
        <v/>
      </c>
      <c r="CO9" s="2" t="s">
        <v>100</v>
      </c>
      <c r="CP9" s="38" t="s">
        <v>85</v>
      </c>
      <c r="CQ9">
        <f>COUNTIFS(CK:CK,CP9)</f>
        <v>29</v>
      </c>
      <c r="CR9" s="69">
        <f>CQ9/$CQ$12</f>
        <v>0.2196969696969697</v>
      </c>
      <c r="CU9">
        <v>1.8178197010872601</v>
      </c>
      <c r="CV9">
        <v>0.42444971256994302</v>
      </c>
      <c r="CW9">
        <v>-0.21803120025221201</v>
      </c>
    </row>
    <row r="10" spans="2:102">
      <c r="B10" s="18" t="s">
        <v>54</v>
      </c>
      <c r="C10" s="5">
        <v>4</v>
      </c>
      <c r="D10" s="19" t="s">
        <v>118</v>
      </c>
      <c r="E10" s="19" t="s">
        <v>120</v>
      </c>
      <c r="H10">
        <v>3</v>
      </c>
      <c r="I10">
        <v>5</v>
      </c>
      <c r="J10">
        <v>8</v>
      </c>
      <c r="K10">
        <v>12</v>
      </c>
      <c r="L10">
        <v>15</v>
      </c>
      <c r="M10">
        <v>18</v>
      </c>
      <c r="N10">
        <v>11</v>
      </c>
      <c r="O10">
        <v>14</v>
      </c>
      <c r="P10">
        <v>17</v>
      </c>
      <c r="Q10">
        <v>19</v>
      </c>
      <c r="R10">
        <v>20</v>
      </c>
      <c r="S10">
        <v>1</v>
      </c>
      <c r="T10">
        <v>2</v>
      </c>
      <c r="U10">
        <v>4</v>
      </c>
      <c r="V10">
        <v>7</v>
      </c>
      <c r="W10">
        <v>10</v>
      </c>
      <c r="X10">
        <v>3</v>
      </c>
      <c r="Y10">
        <v>6</v>
      </c>
      <c r="Z10">
        <v>9</v>
      </c>
      <c r="AA10">
        <v>13</v>
      </c>
      <c r="AB10">
        <v>16</v>
      </c>
      <c r="AD10">
        <f t="shared" ref="AD10:AH10" si="35">SUMIFS($I10:$AB10,$I$2:$AB$2,AD$7)</f>
        <v>20</v>
      </c>
      <c r="AE10">
        <f t="shared" si="35"/>
        <v>30</v>
      </c>
      <c r="AF10">
        <f t="shared" si="35"/>
        <v>42</v>
      </c>
      <c r="AG10">
        <f t="shared" si="35"/>
        <v>54</v>
      </c>
      <c r="AH10">
        <f t="shared" si="35"/>
        <v>64</v>
      </c>
      <c r="AI10">
        <f t="shared" si="5"/>
        <v>139</v>
      </c>
      <c r="AJ10">
        <f t="shared" si="5"/>
        <v>71</v>
      </c>
      <c r="AK10">
        <f t="shared" si="6"/>
        <v>128</v>
      </c>
      <c r="AL10">
        <f t="shared" si="6"/>
        <v>82</v>
      </c>
      <c r="AN10" s="67">
        <f t="shared" ref="AN10:AV10" si="36">((AD10-MIN($AD10:$AL10))/(MAX($AD10:$AL10)-MIN($AD10:$AL10)))</f>
        <v>0</v>
      </c>
      <c r="AO10" s="67">
        <f t="shared" si="36"/>
        <v>8.4033613445378158E-2</v>
      </c>
      <c r="AP10" s="67">
        <f t="shared" si="36"/>
        <v>0.18487394957983194</v>
      </c>
      <c r="AQ10" s="67">
        <f t="shared" si="36"/>
        <v>0.2857142857142857</v>
      </c>
      <c r="AR10" s="67">
        <f t="shared" si="36"/>
        <v>0.36974789915966388</v>
      </c>
      <c r="AS10" s="67">
        <f t="shared" si="36"/>
        <v>1</v>
      </c>
      <c r="AT10" s="67">
        <f t="shared" si="36"/>
        <v>0.42857142857142855</v>
      </c>
      <c r="AU10" s="67">
        <f t="shared" si="36"/>
        <v>0.90756302521008403</v>
      </c>
      <c r="AV10" s="67">
        <f t="shared" si="36"/>
        <v>0.52100840336134457</v>
      </c>
      <c r="AX10">
        <f t="shared" si="8"/>
        <v>0.36974789915966388</v>
      </c>
      <c r="AY10">
        <f t="shared" si="9"/>
        <v>0.5714285714285714</v>
      </c>
      <c r="AZ10">
        <f t="shared" si="10"/>
        <v>0.38655462184873945</v>
      </c>
      <c r="BB10">
        <f t="shared" ref="BB10:BD10" si="37">AX10/SUM($AX10:$AZ10)</f>
        <v>0.27848101265822789</v>
      </c>
      <c r="BC10">
        <f t="shared" si="37"/>
        <v>0.43037974683544306</v>
      </c>
      <c r="BD10">
        <f t="shared" si="37"/>
        <v>0.29113924050632911</v>
      </c>
      <c r="BF10" t="str">
        <f t="shared" si="12"/>
        <v xml:space="preserve">Brand </v>
      </c>
      <c r="BG10" t="str">
        <f t="shared" si="13"/>
        <v>Tennis</v>
      </c>
      <c r="BI10">
        <f t="shared" si="14"/>
        <v>3.5</v>
      </c>
      <c r="BJ10" t="str">
        <f t="shared" si="15"/>
        <v>Tennis</v>
      </c>
      <c r="BK10" t="str">
        <f t="shared" si="16"/>
        <v>A</v>
      </c>
      <c r="BM10">
        <f>COUNTIFS(BF:BF,BN10,BG:BG,BO10)</f>
        <v>21</v>
      </c>
      <c r="BN10" t="s">
        <v>72</v>
      </c>
      <c r="BO10" t="s">
        <v>119</v>
      </c>
      <c r="BS10">
        <f t="shared" si="17"/>
        <v>0.36974789915966388</v>
      </c>
      <c r="BT10">
        <f t="shared" si="31"/>
        <v>0.5714285714285714</v>
      </c>
      <c r="BU10">
        <f t="shared" si="18"/>
        <v>-0.38655462184873945</v>
      </c>
      <c r="BW10">
        <f t="shared" si="32"/>
        <v>-0.29438105456653607</v>
      </c>
      <c r="BX10">
        <f t="shared" si="19"/>
        <v>1.2574266213904963</v>
      </c>
      <c r="BY10">
        <f t="shared" si="20"/>
        <v>-0.83350072328394098</v>
      </c>
      <c r="CB10">
        <f t="shared" si="21"/>
        <v>3.1050841438598695</v>
      </c>
      <c r="CC10">
        <f t="shared" si="22"/>
        <v>2.4910074067479804</v>
      </c>
      <c r="CD10">
        <f t="shared" si="23"/>
        <v>0.7300126160905791</v>
      </c>
      <c r="CE10">
        <f t="shared" si="24"/>
        <v>2.4439012924852772</v>
      </c>
      <c r="CF10">
        <f t="shared" si="25"/>
        <v>0.7300126160905791</v>
      </c>
      <c r="CJ10" t="str">
        <f t="shared" si="26"/>
        <v>Cluster 3</v>
      </c>
      <c r="CK10" t="str">
        <f t="shared" si="33"/>
        <v>Tennis Only</v>
      </c>
      <c r="CL10" t="str">
        <f t="shared" si="27"/>
        <v>Tennis A</v>
      </c>
      <c r="CM10" t="str">
        <f t="shared" si="34"/>
        <v>Diff</v>
      </c>
      <c r="CO10" s="2" t="s">
        <v>99</v>
      </c>
      <c r="CP10" s="38" t="s">
        <v>132</v>
      </c>
      <c r="CQ10">
        <f>COUNTIFS(CK:CK,CP10)</f>
        <v>51</v>
      </c>
      <c r="CR10" s="69">
        <f>CQ10/$CQ$12</f>
        <v>0.38636363636363635</v>
      </c>
      <c r="CU10">
        <v>-0.29438105456653602</v>
      </c>
      <c r="CV10">
        <v>1.2574266213905001</v>
      </c>
      <c r="CW10">
        <v>-0.83350072328394098</v>
      </c>
    </row>
    <row r="11" spans="2:102">
      <c r="B11" s="18" t="s">
        <v>55</v>
      </c>
      <c r="C11" s="5">
        <v>4.25</v>
      </c>
      <c r="D11" s="19" t="s">
        <v>118</v>
      </c>
      <c r="E11" s="19" t="s">
        <v>120</v>
      </c>
      <c r="H11">
        <v>4</v>
      </c>
      <c r="I11">
        <v>1</v>
      </c>
      <c r="J11">
        <v>2</v>
      </c>
      <c r="K11">
        <v>3</v>
      </c>
      <c r="L11">
        <v>6</v>
      </c>
      <c r="M11">
        <v>9</v>
      </c>
      <c r="N11">
        <v>4</v>
      </c>
      <c r="O11">
        <v>7</v>
      </c>
      <c r="P11">
        <v>10</v>
      </c>
      <c r="Q11">
        <v>13</v>
      </c>
      <c r="R11">
        <v>16</v>
      </c>
      <c r="S11">
        <v>5</v>
      </c>
      <c r="T11">
        <v>8</v>
      </c>
      <c r="U11">
        <v>11</v>
      </c>
      <c r="V11">
        <v>14</v>
      </c>
      <c r="W11">
        <v>17</v>
      </c>
      <c r="X11">
        <v>12</v>
      </c>
      <c r="Y11">
        <v>15</v>
      </c>
      <c r="Z11">
        <v>18</v>
      </c>
      <c r="AA11">
        <v>19</v>
      </c>
      <c r="AB11">
        <v>20</v>
      </c>
      <c r="AD11">
        <f t="shared" ref="AD11:AH11" si="38">SUMIFS($I11:$AB11,$I$2:$AB$2,AD$7)</f>
        <v>22</v>
      </c>
      <c r="AE11">
        <f t="shared" si="38"/>
        <v>32</v>
      </c>
      <c r="AF11">
        <f t="shared" si="38"/>
        <v>42</v>
      </c>
      <c r="AG11">
        <f t="shared" si="38"/>
        <v>52</v>
      </c>
      <c r="AH11">
        <f t="shared" si="38"/>
        <v>62</v>
      </c>
      <c r="AI11">
        <f t="shared" si="5"/>
        <v>71</v>
      </c>
      <c r="AJ11">
        <f t="shared" si="5"/>
        <v>139</v>
      </c>
      <c r="AK11">
        <f t="shared" si="6"/>
        <v>134</v>
      </c>
      <c r="AL11">
        <f t="shared" si="6"/>
        <v>76</v>
      </c>
      <c r="AN11" s="67">
        <f t="shared" ref="AN11:AV11" si="39">((AD11-MIN($AD11:$AL11))/(MAX($AD11:$AL11)-MIN($AD11:$AL11)))</f>
        <v>0</v>
      </c>
      <c r="AO11" s="67">
        <f t="shared" si="39"/>
        <v>8.5470085470085472E-2</v>
      </c>
      <c r="AP11" s="67">
        <f t="shared" si="39"/>
        <v>0.17094017094017094</v>
      </c>
      <c r="AQ11" s="67">
        <f t="shared" si="39"/>
        <v>0.25641025641025639</v>
      </c>
      <c r="AR11" s="67">
        <f t="shared" si="39"/>
        <v>0.34188034188034189</v>
      </c>
      <c r="AS11" s="67">
        <f t="shared" si="39"/>
        <v>0.41880341880341881</v>
      </c>
      <c r="AT11" s="67">
        <f t="shared" si="39"/>
        <v>1</v>
      </c>
      <c r="AU11" s="67">
        <f t="shared" si="39"/>
        <v>0.95726495726495731</v>
      </c>
      <c r="AV11" s="67">
        <f t="shared" si="39"/>
        <v>0.46153846153846156</v>
      </c>
      <c r="AX11">
        <f t="shared" si="8"/>
        <v>0.34188034188034189</v>
      </c>
      <c r="AY11">
        <f t="shared" si="9"/>
        <v>0.58119658119658113</v>
      </c>
      <c r="AZ11">
        <f t="shared" si="10"/>
        <v>0.49572649572649574</v>
      </c>
      <c r="BB11">
        <f t="shared" ref="BB11:BD11" si="40">AX11/SUM($AX11:$AZ11)</f>
        <v>0.24096385542168677</v>
      </c>
      <c r="BC11">
        <f t="shared" si="40"/>
        <v>0.40963855421686746</v>
      </c>
      <c r="BD11">
        <f t="shared" si="40"/>
        <v>0.34939759036144585</v>
      </c>
      <c r="BF11" t="str">
        <f t="shared" si="12"/>
        <v xml:space="preserve">Brand </v>
      </c>
      <c r="BG11" t="str">
        <f t="shared" si="13"/>
        <v>Super Bowl</v>
      </c>
      <c r="BI11">
        <f t="shared" si="14"/>
        <v>3.5</v>
      </c>
      <c r="BJ11" t="str">
        <f t="shared" si="15"/>
        <v>Super Bowl</v>
      </c>
      <c r="BK11" t="str">
        <f t="shared" si="16"/>
        <v>A</v>
      </c>
      <c r="BM11">
        <f>COUNTIFS(BF:BF,BN11,BG:BG,BO11)</f>
        <v>28</v>
      </c>
      <c r="BN11" t="s">
        <v>41</v>
      </c>
      <c r="BO11" t="s">
        <v>121</v>
      </c>
      <c r="BS11">
        <f t="shared" si="17"/>
        <v>0.34188034188034189</v>
      </c>
      <c r="BT11">
        <f t="shared" si="31"/>
        <v>-0.58119658119658113</v>
      </c>
      <c r="BU11">
        <f t="shared" si="18"/>
        <v>-0.49572649572649574</v>
      </c>
      <c r="BW11">
        <f t="shared" si="32"/>
        <v>-0.53986808224257044</v>
      </c>
      <c r="BX11">
        <f t="shared" si="19"/>
        <v>-1.2628624873486129</v>
      </c>
      <c r="BY11">
        <f t="shared" si="20"/>
        <v>-1.0641500514417885</v>
      </c>
      <c r="CB11">
        <f t="shared" si="21"/>
        <v>2.1768936446029525</v>
      </c>
      <c r="CC11">
        <f t="shared" si="22"/>
        <v>2.9692877355381424</v>
      </c>
      <c r="CD11">
        <f t="shared" si="23"/>
        <v>2.5335833786877777</v>
      </c>
      <c r="CE11">
        <f t="shared" si="24"/>
        <v>0.11349575047265686</v>
      </c>
      <c r="CF11">
        <f t="shared" si="25"/>
        <v>0.11349575047265686</v>
      </c>
      <c r="CJ11" t="str">
        <f t="shared" si="26"/>
        <v>Cluster 4</v>
      </c>
      <c r="CK11" t="str">
        <f t="shared" si="33"/>
        <v>A Super Bowl</v>
      </c>
      <c r="CL11" t="str">
        <f t="shared" si="27"/>
        <v>Super Bowl A</v>
      </c>
      <c r="CM11" t="str">
        <f t="shared" si="34"/>
        <v>Diff</v>
      </c>
      <c r="CO11" s="2" t="s">
        <v>98</v>
      </c>
      <c r="CP11" s="38" t="s">
        <v>125</v>
      </c>
      <c r="CQ11">
        <f>COUNTIFS(CK:CK,CP11)</f>
        <v>25</v>
      </c>
      <c r="CR11" s="69">
        <f>CQ11/$CQ$12</f>
        <v>0.18939393939393939</v>
      </c>
      <c r="CU11">
        <v>-0.53986808224256999</v>
      </c>
      <c r="CV11">
        <v>-1.2628624873486101</v>
      </c>
      <c r="CW11">
        <v>-1.0641500514417901</v>
      </c>
    </row>
    <row r="12" spans="2:102">
      <c r="B12" s="18" t="s">
        <v>56</v>
      </c>
      <c r="C12" s="5">
        <v>4.5</v>
      </c>
      <c r="D12" s="19" t="s">
        <v>118</v>
      </c>
      <c r="E12" s="19" t="s">
        <v>120</v>
      </c>
      <c r="H12">
        <v>5</v>
      </c>
      <c r="I12">
        <v>5</v>
      </c>
      <c r="J12">
        <v>8</v>
      </c>
      <c r="K12">
        <v>12</v>
      </c>
      <c r="L12">
        <v>15</v>
      </c>
      <c r="M12">
        <v>18</v>
      </c>
      <c r="N12">
        <v>11</v>
      </c>
      <c r="O12">
        <v>14</v>
      </c>
      <c r="P12">
        <v>17</v>
      </c>
      <c r="Q12">
        <v>19</v>
      </c>
      <c r="R12">
        <v>20</v>
      </c>
      <c r="S12">
        <v>1</v>
      </c>
      <c r="T12">
        <v>2</v>
      </c>
      <c r="U12">
        <v>4</v>
      </c>
      <c r="V12">
        <v>7</v>
      </c>
      <c r="W12">
        <v>10</v>
      </c>
      <c r="X12">
        <v>3</v>
      </c>
      <c r="Y12">
        <v>6</v>
      </c>
      <c r="Z12">
        <v>9</v>
      </c>
      <c r="AA12">
        <v>13</v>
      </c>
      <c r="AB12">
        <v>16</v>
      </c>
      <c r="AD12">
        <f t="shared" ref="AD12:AH12" si="41">SUMIFS($I12:$AB12,$I$2:$AB$2,AD$7)</f>
        <v>20</v>
      </c>
      <c r="AE12">
        <f t="shared" si="41"/>
        <v>30</v>
      </c>
      <c r="AF12">
        <f t="shared" si="41"/>
        <v>42</v>
      </c>
      <c r="AG12">
        <f t="shared" si="41"/>
        <v>54</v>
      </c>
      <c r="AH12">
        <f t="shared" si="41"/>
        <v>64</v>
      </c>
      <c r="AI12">
        <f t="shared" si="5"/>
        <v>139</v>
      </c>
      <c r="AJ12">
        <f t="shared" si="5"/>
        <v>71</v>
      </c>
      <c r="AK12">
        <f t="shared" si="6"/>
        <v>128</v>
      </c>
      <c r="AL12">
        <f t="shared" si="6"/>
        <v>82</v>
      </c>
      <c r="AN12" s="67">
        <f t="shared" ref="AN12:AV12" si="42">((AD12-MIN($AD12:$AL12))/(MAX($AD12:$AL12)-MIN($AD12:$AL12)))</f>
        <v>0</v>
      </c>
      <c r="AO12" s="67">
        <f t="shared" si="42"/>
        <v>8.4033613445378158E-2</v>
      </c>
      <c r="AP12" s="67">
        <f t="shared" si="42"/>
        <v>0.18487394957983194</v>
      </c>
      <c r="AQ12" s="67">
        <f t="shared" si="42"/>
        <v>0.2857142857142857</v>
      </c>
      <c r="AR12" s="67">
        <f t="shared" si="42"/>
        <v>0.36974789915966388</v>
      </c>
      <c r="AS12" s="67">
        <f t="shared" si="42"/>
        <v>1</v>
      </c>
      <c r="AT12" s="67">
        <f t="shared" si="42"/>
        <v>0.42857142857142855</v>
      </c>
      <c r="AU12" s="67">
        <f t="shared" si="42"/>
        <v>0.90756302521008403</v>
      </c>
      <c r="AV12" s="67">
        <f t="shared" si="42"/>
        <v>0.52100840336134457</v>
      </c>
      <c r="AX12">
        <f t="shared" si="8"/>
        <v>0.36974789915966388</v>
      </c>
      <c r="AY12">
        <f t="shared" si="9"/>
        <v>0.5714285714285714</v>
      </c>
      <c r="AZ12">
        <f t="shared" si="10"/>
        <v>0.38655462184873945</v>
      </c>
      <c r="BB12">
        <f t="shared" ref="BB12:BD12" si="43">AX12/SUM($AX12:$AZ12)</f>
        <v>0.27848101265822789</v>
      </c>
      <c r="BC12">
        <f t="shared" si="43"/>
        <v>0.43037974683544306</v>
      </c>
      <c r="BD12">
        <f t="shared" si="43"/>
        <v>0.29113924050632911</v>
      </c>
      <c r="BF12" t="str">
        <f t="shared" si="12"/>
        <v xml:space="preserve">Brand </v>
      </c>
      <c r="BG12" t="str">
        <f t="shared" si="13"/>
        <v>Tennis</v>
      </c>
      <c r="BI12">
        <f t="shared" si="14"/>
        <v>3.5</v>
      </c>
      <c r="BJ12" t="str">
        <f t="shared" si="15"/>
        <v>Tennis</v>
      </c>
      <c r="BK12" t="str">
        <f t="shared" si="16"/>
        <v>A</v>
      </c>
      <c r="BM12">
        <f>COUNTIFS(BF:BF,BN12,BG:BG,BO12)</f>
        <v>25</v>
      </c>
      <c r="BN12" t="s">
        <v>41</v>
      </c>
      <c r="BO12" t="s">
        <v>120</v>
      </c>
      <c r="BS12">
        <f t="shared" si="17"/>
        <v>0.36974789915966388</v>
      </c>
      <c r="BT12">
        <f t="shared" si="31"/>
        <v>0.5714285714285714</v>
      </c>
      <c r="BU12">
        <f t="shared" si="18"/>
        <v>-0.38655462184873945</v>
      </c>
      <c r="BW12">
        <f t="shared" si="32"/>
        <v>-0.29438105456653607</v>
      </c>
      <c r="BX12">
        <f t="shared" si="19"/>
        <v>1.2574266213904963</v>
      </c>
      <c r="BY12">
        <f t="shared" si="20"/>
        <v>-0.83350072328394098</v>
      </c>
      <c r="CB12">
        <f t="shared" si="21"/>
        <v>3.1050841438598695</v>
      </c>
      <c r="CC12">
        <f t="shared" si="22"/>
        <v>2.4910074067479804</v>
      </c>
      <c r="CD12">
        <f t="shared" si="23"/>
        <v>0.7300126160905791</v>
      </c>
      <c r="CE12">
        <f t="shared" si="24"/>
        <v>2.4439012924852772</v>
      </c>
      <c r="CF12">
        <f t="shared" si="25"/>
        <v>0.7300126160905791</v>
      </c>
      <c r="CJ12" t="str">
        <f t="shared" si="26"/>
        <v>Cluster 3</v>
      </c>
      <c r="CK12" t="str">
        <f t="shared" si="33"/>
        <v>Tennis Only</v>
      </c>
      <c r="CL12" t="str">
        <f t="shared" si="27"/>
        <v>Tennis A</v>
      </c>
      <c r="CM12" t="str">
        <f t="shared" si="34"/>
        <v>Diff</v>
      </c>
      <c r="CO12" s="2"/>
      <c r="CP12" s="38"/>
      <c r="CQ12">
        <f>SUM(CQ8:CQ11)</f>
        <v>132</v>
      </c>
    </row>
    <row r="13" spans="2:102">
      <c r="B13" s="18" t="s">
        <v>57</v>
      </c>
      <c r="C13" s="5">
        <v>3.5</v>
      </c>
      <c r="D13" s="19" t="s">
        <v>118</v>
      </c>
      <c r="E13" s="19" t="s">
        <v>121</v>
      </c>
      <c r="H13">
        <v>6</v>
      </c>
      <c r="I13">
        <v>4</v>
      </c>
      <c r="J13">
        <v>7</v>
      </c>
      <c r="K13">
        <v>10</v>
      </c>
      <c r="L13">
        <v>12</v>
      </c>
      <c r="M13">
        <v>15</v>
      </c>
      <c r="N13">
        <v>1</v>
      </c>
      <c r="O13">
        <v>2</v>
      </c>
      <c r="P13">
        <v>3</v>
      </c>
      <c r="Q13">
        <v>5</v>
      </c>
      <c r="R13">
        <v>8</v>
      </c>
      <c r="S13">
        <v>13</v>
      </c>
      <c r="T13">
        <v>16</v>
      </c>
      <c r="U13">
        <v>18</v>
      </c>
      <c r="V13">
        <v>19</v>
      </c>
      <c r="W13">
        <v>20</v>
      </c>
      <c r="X13">
        <v>6</v>
      </c>
      <c r="Y13">
        <v>9</v>
      </c>
      <c r="Z13">
        <v>11</v>
      </c>
      <c r="AA13">
        <v>14</v>
      </c>
      <c r="AB13">
        <v>17</v>
      </c>
      <c r="AD13">
        <f t="shared" ref="AD13:AH13" si="44">SUMIFS($I13:$AB13,$I$2:$AB$2,AD$7)</f>
        <v>24</v>
      </c>
      <c r="AE13">
        <f t="shared" si="44"/>
        <v>34</v>
      </c>
      <c r="AF13">
        <f t="shared" si="44"/>
        <v>42</v>
      </c>
      <c r="AG13">
        <f t="shared" si="44"/>
        <v>50</v>
      </c>
      <c r="AH13">
        <f t="shared" si="44"/>
        <v>60</v>
      </c>
      <c r="AI13">
        <f t="shared" si="5"/>
        <v>67</v>
      </c>
      <c r="AJ13">
        <f t="shared" si="5"/>
        <v>143</v>
      </c>
      <c r="AK13">
        <f t="shared" si="6"/>
        <v>76</v>
      </c>
      <c r="AL13">
        <f t="shared" si="6"/>
        <v>134</v>
      </c>
      <c r="AN13" s="67">
        <f t="shared" ref="AN13:AV13" si="45">((AD13-MIN($AD13:$AL13))/(MAX($AD13:$AL13)-MIN($AD13:$AL13)))</f>
        <v>0</v>
      </c>
      <c r="AO13" s="67">
        <f t="shared" si="45"/>
        <v>8.4033613445378158E-2</v>
      </c>
      <c r="AP13" s="67">
        <f t="shared" si="45"/>
        <v>0.15126050420168066</v>
      </c>
      <c r="AQ13" s="67">
        <f t="shared" si="45"/>
        <v>0.21848739495798319</v>
      </c>
      <c r="AR13" s="67">
        <f t="shared" si="45"/>
        <v>0.30252100840336132</v>
      </c>
      <c r="AS13" s="67">
        <f t="shared" si="45"/>
        <v>0.36134453781512604</v>
      </c>
      <c r="AT13" s="67">
        <f t="shared" si="45"/>
        <v>1</v>
      </c>
      <c r="AU13" s="67">
        <f t="shared" si="45"/>
        <v>0.43697478991596639</v>
      </c>
      <c r="AV13" s="67">
        <f t="shared" si="45"/>
        <v>0.92436974789915971</v>
      </c>
      <c r="AX13">
        <f t="shared" si="8"/>
        <v>0.30252100840336132</v>
      </c>
      <c r="AY13">
        <f t="shared" si="9"/>
        <v>0.6386554621848739</v>
      </c>
      <c r="AZ13">
        <f t="shared" si="10"/>
        <v>0.48739495798319332</v>
      </c>
      <c r="BB13">
        <f t="shared" ref="BB13:BD13" si="46">AX13/SUM($AX13:$AZ13)</f>
        <v>0.21176470588235291</v>
      </c>
      <c r="BC13">
        <f t="shared" si="46"/>
        <v>0.44705882352941173</v>
      </c>
      <c r="BD13">
        <f t="shared" si="46"/>
        <v>0.3411764705882353</v>
      </c>
      <c r="BF13" t="str">
        <f t="shared" si="12"/>
        <v xml:space="preserve">Brand </v>
      </c>
      <c r="BG13" t="str">
        <f t="shared" si="13"/>
        <v>Super Bowl</v>
      </c>
      <c r="BI13">
        <f t="shared" si="14"/>
        <v>3.5</v>
      </c>
      <c r="BJ13" t="str">
        <f t="shared" si="15"/>
        <v>Super Bowl</v>
      </c>
      <c r="BK13" t="str">
        <f t="shared" si="16"/>
        <v>B</v>
      </c>
      <c r="BS13">
        <f t="shared" si="17"/>
        <v>0.30252100840336132</v>
      </c>
      <c r="BT13">
        <f t="shared" si="31"/>
        <v>-0.6386554621848739</v>
      </c>
      <c r="BU13">
        <f t="shared" si="18"/>
        <v>0.48739495798319332</v>
      </c>
      <c r="BW13">
        <f t="shared" si="32"/>
        <v>-0.88658687390872204</v>
      </c>
      <c r="BX13">
        <f t="shared" si="19"/>
        <v>-1.3885000301571429</v>
      </c>
      <c r="BY13">
        <f t="shared" si="20"/>
        <v>1.0129078458112464</v>
      </c>
      <c r="CB13">
        <f t="shared" si="21"/>
        <v>0.37857413786475774</v>
      </c>
      <c r="CC13">
        <f t="shared" si="22"/>
        <v>3.27714760927975</v>
      </c>
      <c r="CD13">
        <f t="shared" si="23"/>
        <v>2.7715072870737076</v>
      </c>
      <c r="CE13">
        <f t="shared" si="24"/>
        <v>2.1067305917995012</v>
      </c>
      <c r="CF13">
        <f t="shared" si="25"/>
        <v>0.37857413786475774</v>
      </c>
      <c r="CJ13" t="str">
        <f t="shared" si="26"/>
        <v>Cluster 1</v>
      </c>
      <c r="CK13" t="str">
        <f t="shared" si="33"/>
        <v>B Super Bowl</v>
      </c>
      <c r="CL13" t="str">
        <f t="shared" si="27"/>
        <v>Super Bowl B</v>
      </c>
      <c r="CM13" t="str">
        <f t="shared" si="34"/>
        <v>Diff</v>
      </c>
    </row>
    <row r="14" spans="2:102">
      <c r="B14" s="18" t="s">
        <v>58</v>
      </c>
      <c r="C14" s="5">
        <v>3.75</v>
      </c>
      <c r="D14" s="19" t="s">
        <v>118</v>
      </c>
      <c r="E14" s="19" t="s">
        <v>121</v>
      </c>
      <c r="H14">
        <v>7</v>
      </c>
      <c r="I14">
        <v>4</v>
      </c>
      <c r="J14">
        <v>7</v>
      </c>
      <c r="K14">
        <v>11</v>
      </c>
      <c r="L14">
        <v>15</v>
      </c>
      <c r="M14">
        <v>18</v>
      </c>
      <c r="N14">
        <v>9</v>
      </c>
      <c r="O14">
        <v>13</v>
      </c>
      <c r="P14">
        <v>16</v>
      </c>
      <c r="Q14">
        <v>19</v>
      </c>
      <c r="R14">
        <v>20</v>
      </c>
      <c r="S14">
        <v>1</v>
      </c>
      <c r="T14">
        <v>2</v>
      </c>
      <c r="U14">
        <v>5</v>
      </c>
      <c r="V14">
        <v>8</v>
      </c>
      <c r="W14">
        <v>12</v>
      </c>
      <c r="X14">
        <v>3</v>
      </c>
      <c r="Y14">
        <v>6</v>
      </c>
      <c r="Z14">
        <v>10</v>
      </c>
      <c r="AA14">
        <v>14</v>
      </c>
      <c r="AB14">
        <v>17</v>
      </c>
      <c r="AD14">
        <f t="shared" ref="AD14:AH14" si="47">SUMIFS($I14:$AB14,$I$2:$AB$2,AD$7)</f>
        <v>17</v>
      </c>
      <c r="AE14">
        <f t="shared" si="47"/>
        <v>28</v>
      </c>
      <c r="AF14">
        <f t="shared" si="47"/>
        <v>42</v>
      </c>
      <c r="AG14">
        <f t="shared" si="47"/>
        <v>56</v>
      </c>
      <c r="AH14">
        <f t="shared" si="47"/>
        <v>67</v>
      </c>
      <c r="AI14">
        <f t="shared" si="5"/>
        <v>132</v>
      </c>
      <c r="AJ14">
        <f t="shared" si="5"/>
        <v>78</v>
      </c>
      <c r="AK14">
        <f t="shared" si="6"/>
        <v>127</v>
      </c>
      <c r="AL14">
        <f t="shared" si="6"/>
        <v>83</v>
      </c>
      <c r="AN14" s="67">
        <f t="shared" ref="AN14:AV14" si="48">((AD14-MIN($AD14:$AL14))/(MAX($AD14:$AL14)-MIN($AD14:$AL14)))</f>
        <v>0</v>
      </c>
      <c r="AO14" s="67">
        <f t="shared" si="48"/>
        <v>9.5652173913043481E-2</v>
      </c>
      <c r="AP14" s="67">
        <f t="shared" si="48"/>
        <v>0.21739130434782608</v>
      </c>
      <c r="AQ14" s="67">
        <f t="shared" si="48"/>
        <v>0.33913043478260868</v>
      </c>
      <c r="AR14" s="67">
        <f t="shared" si="48"/>
        <v>0.43478260869565216</v>
      </c>
      <c r="AS14" s="67">
        <f t="shared" si="48"/>
        <v>1</v>
      </c>
      <c r="AT14" s="67">
        <f t="shared" si="48"/>
        <v>0.5304347826086957</v>
      </c>
      <c r="AU14" s="67">
        <f t="shared" si="48"/>
        <v>0.95652173913043481</v>
      </c>
      <c r="AV14" s="67">
        <f t="shared" si="48"/>
        <v>0.57391304347826089</v>
      </c>
      <c r="AX14">
        <f t="shared" si="8"/>
        <v>0.43478260869565216</v>
      </c>
      <c r="AY14">
        <f t="shared" si="9"/>
        <v>0.4695652173913043</v>
      </c>
      <c r="AZ14">
        <f t="shared" si="10"/>
        <v>0.38260869565217392</v>
      </c>
      <c r="BB14">
        <f t="shared" ref="BB14:BD14" si="49">AX14/SUM($AX14:$AZ14)</f>
        <v>0.33783783783783783</v>
      </c>
      <c r="BC14">
        <f t="shared" si="49"/>
        <v>0.36486486486486486</v>
      </c>
      <c r="BD14">
        <f t="shared" si="49"/>
        <v>0.29729729729729731</v>
      </c>
      <c r="BF14" t="str">
        <f t="shared" si="12"/>
        <v xml:space="preserve">Brand </v>
      </c>
      <c r="BG14" t="str">
        <f t="shared" si="13"/>
        <v>Tennis</v>
      </c>
      <c r="BI14">
        <f t="shared" si="14"/>
        <v>3.5</v>
      </c>
      <c r="BJ14" t="str">
        <f t="shared" si="15"/>
        <v>Tennis</v>
      </c>
      <c r="BK14" t="str">
        <f t="shared" si="16"/>
        <v>A</v>
      </c>
      <c r="BM14" s="7">
        <f>COUNTIFS(BF:BF,BN14)</f>
        <v>30</v>
      </c>
      <c r="BN14" t="s">
        <v>37</v>
      </c>
      <c r="BS14">
        <f t="shared" si="17"/>
        <v>0.43478260869565216</v>
      </c>
      <c r="BT14">
        <f t="shared" si="31"/>
        <v>0.4695652173913043</v>
      </c>
      <c r="BU14">
        <f t="shared" si="18"/>
        <v>-0.38260869565217392</v>
      </c>
      <c r="BW14">
        <f t="shared" si="32"/>
        <v>0.27851370544927367</v>
      </c>
      <c r="BX14">
        <f t="shared" si="19"/>
        <v>1.0346958392493484</v>
      </c>
      <c r="BY14">
        <f t="shared" si="20"/>
        <v>-0.82516409596528395</v>
      </c>
      <c r="CB14">
        <f t="shared" si="21"/>
        <v>3.0467172265247053</v>
      </c>
      <c r="CC14">
        <f t="shared" si="22"/>
        <v>1.9250517001578291</v>
      </c>
      <c r="CD14">
        <f t="shared" si="23"/>
        <v>1.0014729408469665</v>
      </c>
      <c r="CE14">
        <f t="shared" si="24"/>
        <v>2.3413985889853133</v>
      </c>
      <c r="CF14">
        <f t="shared" si="25"/>
        <v>1.0014729408469665</v>
      </c>
      <c r="CJ14" t="str">
        <f t="shared" si="26"/>
        <v>Cluster 3</v>
      </c>
      <c r="CK14" t="str">
        <f t="shared" si="33"/>
        <v>Tennis Only</v>
      </c>
      <c r="CL14" t="str">
        <f t="shared" si="27"/>
        <v>Tennis A</v>
      </c>
      <c r="CM14" t="str">
        <f t="shared" si="34"/>
        <v>Diff</v>
      </c>
    </row>
    <row r="15" spans="2:102">
      <c r="B15" s="18" t="s">
        <v>59</v>
      </c>
      <c r="C15" s="5">
        <v>4</v>
      </c>
      <c r="D15" s="19" t="s">
        <v>118</v>
      </c>
      <c r="E15" s="19" t="s">
        <v>121</v>
      </c>
      <c r="H15">
        <v>8</v>
      </c>
      <c r="I15">
        <v>12</v>
      </c>
      <c r="J15">
        <v>15</v>
      </c>
      <c r="K15">
        <v>17</v>
      </c>
      <c r="L15">
        <v>19</v>
      </c>
      <c r="M15">
        <v>20</v>
      </c>
      <c r="N15">
        <v>3</v>
      </c>
      <c r="O15">
        <v>5</v>
      </c>
      <c r="P15">
        <v>8</v>
      </c>
      <c r="Q15">
        <v>11</v>
      </c>
      <c r="R15">
        <v>14</v>
      </c>
      <c r="S15">
        <v>7</v>
      </c>
      <c r="T15">
        <v>10</v>
      </c>
      <c r="U15">
        <v>13</v>
      </c>
      <c r="V15">
        <v>16</v>
      </c>
      <c r="W15">
        <v>18</v>
      </c>
      <c r="X15">
        <v>1</v>
      </c>
      <c r="Y15">
        <v>2</v>
      </c>
      <c r="Z15">
        <v>4</v>
      </c>
      <c r="AA15">
        <v>6</v>
      </c>
      <c r="AB15">
        <v>9</v>
      </c>
      <c r="AD15">
        <f t="shared" ref="AD15:AH15" si="50">SUMIFS($I15:$AB15,$I$2:$AB$2,AD$7)</f>
        <v>23</v>
      </c>
      <c r="AE15">
        <f t="shared" si="50"/>
        <v>32</v>
      </c>
      <c r="AF15">
        <f t="shared" si="50"/>
        <v>42</v>
      </c>
      <c r="AG15">
        <f t="shared" si="50"/>
        <v>52</v>
      </c>
      <c r="AH15">
        <f t="shared" si="50"/>
        <v>61</v>
      </c>
      <c r="AI15">
        <f t="shared" si="5"/>
        <v>124</v>
      </c>
      <c r="AJ15">
        <f t="shared" si="5"/>
        <v>86</v>
      </c>
      <c r="AK15">
        <f t="shared" si="6"/>
        <v>63</v>
      </c>
      <c r="AL15">
        <f t="shared" si="6"/>
        <v>147</v>
      </c>
      <c r="AN15" s="67">
        <f t="shared" ref="AN15:AV15" si="51">((AD15-MIN($AD15:$AL15))/(MAX($AD15:$AL15)-MIN($AD15:$AL15)))</f>
        <v>0</v>
      </c>
      <c r="AO15" s="67">
        <f t="shared" si="51"/>
        <v>7.2580645161290328E-2</v>
      </c>
      <c r="AP15" s="67">
        <f t="shared" si="51"/>
        <v>0.15322580645161291</v>
      </c>
      <c r="AQ15" s="67">
        <f t="shared" si="51"/>
        <v>0.23387096774193547</v>
      </c>
      <c r="AR15" s="67">
        <f t="shared" si="51"/>
        <v>0.30645161290322581</v>
      </c>
      <c r="AS15" s="67">
        <f t="shared" si="51"/>
        <v>0.81451612903225812</v>
      </c>
      <c r="AT15" s="67">
        <f t="shared" si="51"/>
        <v>0.50806451612903225</v>
      </c>
      <c r="AU15" s="67">
        <f t="shared" si="51"/>
        <v>0.32258064516129031</v>
      </c>
      <c r="AV15" s="67">
        <f t="shared" si="51"/>
        <v>1</v>
      </c>
      <c r="AX15">
        <f t="shared" si="8"/>
        <v>0.30645161290322581</v>
      </c>
      <c r="AY15">
        <f t="shared" si="9"/>
        <v>0.30645161290322587</v>
      </c>
      <c r="AZ15">
        <f t="shared" si="10"/>
        <v>0.67741935483870974</v>
      </c>
      <c r="BB15">
        <f t="shared" ref="BB15:BD15" si="52">AX15/SUM($AX15:$AZ15)</f>
        <v>0.23749999999999996</v>
      </c>
      <c r="BC15">
        <f t="shared" si="52"/>
        <v>0.23750000000000002</v>
      </c>
      <c r="BD15">
        <f t="shared" si="52"/>
        <v>0.52500000000000002</v>
      </c>
      <c r="BF15" t="str">
        <f t="shared" si="12"/>
        <v>Sugar</v>
      </c>
      <c r="BG15" t="str">
        <f t="shared" si="13"/>
        <v>B</v>
      </c>
      <c r="BI15">
        <f t="shared" si="14"/>
        <v>3.5</v>
      </c>
      <c r="BJ15" t="str">
        <f t="shared" si="15"/>
        <v>Tennis</v>
      </c>
      <c r="BK15" t="str">
        <f t="shared" si="16"/>
        <v>B</v>
      </c>
      <c r="BM15" s="7">
        <f>COUNTIFS(BF:BF,BN15)</f>
        <v>49</v>
      </c>
      <c r="BN15" t="s">
        <v>72</v>
      </c>
      <c r="BS15">
        <f t="shared" si="17"/>
        <v>0.30645161290322581</v>
      </c>
      <c r="BT15">
        <f t="shared" si="31"/>
        <v>0.30645161290322587</v>
      </c>
      <c r="BU15">
        <f t="shared" si="18"/>
        <v>0.67741935483870974</v>
      </c>
      <c r="BW15">
        <f t="shared" si="32"/>
        <v>-0.85196193689073108</v>
      </c>
      <c r="BX15">
        <f t="shared" si="19"/>
        <v>0.67803744086007134</v>
      </c>
      <c r="BY15">
        <f t="shared" si="20"/>
        <v>1.4143757139674891</v>
      </c>
      <c r="CB15">
        <f t="shared" si="21"/>
        <v>1.8634246946422872</v>
      </c>
      <c r="CC15">
        <f t="shared" si="22"/>
        <v>3.0284621571254049</v>
      </c>
      <c r="CD15">
        <f t="shared" si="23"/>
        <v>1.6578603717039437</v>
      </c>
      <c r="CE15">
        <f t="shared" si="24"/>
        <v>3.097206437973667</v>
      </c>
      <c r="CF15">
        <f t="shared" si="25"/>
        <v>1.6578603717039437</v>
      </c>
      <c r="CJ15" t="str">
        <f t="shared" si="26"/>
        <v>Cluster 3</v>
      </c>
      <c r="CK15" t="str">
        <f t="shared" si="33"/>
        <v>Tennis Only</v>
      </c>
      <c r="CL15" t="str">
        <f t="shared" si="27"/>
        <v>Tennis B</v>
      </c>
      <c r="CM15" t="str">
        <f t="shared" si="34"/>
        <v>Diff</v>
      </c>
    </row>
    <row r="16" spans="2:102">
      <c r="B16" s="18" t="s">
        <v>60</v>
      </c>
      <c r="C16" s="5">
        <v>4.25</v>
      </c>
      <c r="D16" s="19" t="s">
        <v>118</v>
      </c>
      <c r="E16" s="19" t="s">
        <v>121</v>
      </c>
      <c r="H16">
        <v>9</v>
      </c>
      <c r="I16">
        <v>4</v>
      </c>
      <c r="J16">
        <v>7</v>
      </c>
      <c r="K16">
        <v>10</v>
      </c>
      <c r="L16">
        <v>13</v>
      </c>
      <c r="M16">
        <v>16</v>
      </c>
      <c r="N16">
        <v>12</v>
      </c>
      <c r="O16">
        <v>15</v>
      </c>
      <c r="P16">
        <v>18</v>
      </c>
      <c r="Q16">
        <v>19</v>
      </c>
      <c r="R16">
        <v>20</v>
      </c>
      <c r="S16">
        <v>1</v>
      </c>
      <c r="T16">
        <v>2</v>
      </c>
      <c r="U16">
        <v>3</v>
      </c>
      <c r="V16">
        <v>6</v>
      </c>
      <c r="W16">
        <v>9</v>
      </c>
      <c r="X16">
        <v>5</v>
      </c>
      <c r="Y16">
        <v>8</v>
      </c>
      <c r="Z16">
        <v>11</v>
      </c>
      <c r="AA16">
        <v>14</v>
      </c>
      <c r="AB16">
        <v>17</v>
      </c>
      <c r="AD16">
        <f t="shared" ref="AD16:AH16" si="53">SUMIFS($I16:$AB16,$I$2:$AB$2,AD$7)</f>
        <v>22</v>
      </c>
      <c r="AE16">
        <f t="shared" si="53"/>
        <v>32</v>
      </c>
      <c r="AF16">
        <f t="shared" si="53"/>
        <v>42</v>
      </c>
      <c r="AG16">
        <f t="shared" si="53"/>
        <v>52</v>
      </c>
      <c r="AH16">
        <f t="shared" si="53"/>
        <v>62</v>
      </c>
      <c r="AI16">
        <f t="shared" si="5"/>
        <v>134</v>
      </c>
      <c r="AJ16">
        <f t="shared" si="5"/>
        <v>76</v>
      </c>
      <c r="AK16">
        <f t="shared" si="6"/>
        <v>139</v>
      </c>
      <c r="AL16">
        <f t="shared" si="6"/>
        <v>71</v>
      </c>
      <c r="AN16" s="67">
        <f t="shared" ref="AN16:AV16" si="54">((AD16-MIN($AD16:$AL16))/(MAX($AD16:$AL16)-MIN($AD16:$AL16)))</f>
        <v>0</v>
      </c>
      <c r="AO16" s="67">
        <f t="shared" si="54"/>
        <v>8.5470085470085472E-2</v>
      </c>
      <c r="AP16" s="67">
        <f t="shared" si="54"/>
        <v>0.17094017094017094</v>
      </c>
      <c r="AQ16" s="67">
        <f t="shared" si="54"/>
        <v>0.25641025641025639</v>
      </c>
      <c r="AR16" s="67">
        <f t="shared" si="54"/>
        <v>0.34188034188034189</v>
      </c>
      <c r="AS16" s="67">
        <f t="shared" si="54"/>
        <v>0.95726495726495731</v>
      </c>
      <c r="AT16" s="67">
        <f t="shared" si="54"/>
        <v>0.46153846153846156</v>
      </c>
      <c r="AU16" s="67">
        <f t="shared" si="54"/>
        <v>1</v>
      </c>
      <c r="AV16" s="67">
        <f t="shared" si="54"/>
        <v>0.41880341880341881</v>
      </c>
      <c r="AX16">
        <f t="shared" si="8"/>
        <v>0.34188034188034189</v>
      </c>
      <c r="AY16">
        <f t="shared" si="9"/>
        <v>0.49572649572649574</v>
      </c>
      <c r="AZ16">
        <f t="shared" si="10"/>
        <v>0.58119658119658113</v>
      </c>
      <c r="BB16">
        <f t="shared" ref="BB16:BD16" si="55">AX16/SUM($AX16:$AZ16)</f>
        <v>0.24096385542168677</v>
      </c>
      <c r="BC16">
        <f t="shared" si="55"/>
        <v>0.34939759036144585</v>
      </c>
      <c r="BD16">
        <f t="shared" si="55"/>
        <v>0.40963855421686746</v>
      </c>
      <c r="BF16" t="str">
        <f t="shared" si="12"/>
        <v>Sugar</v>
      </c>
      <c r="BG16" t="str">
        <f t="shared" si="13"/>
        <v>A</v>
      </c>
      <c r="BI16">
        <f t="shared" si="14"/>
        <v>3.5</v>
      </c>
      <c r="BJ16" t="str">
        <f t="shared" si="15"/>
        <v>Tennis</v>
      </c>
      <c r="BK16" t="str">
        <f t="shared" si="16"/>
        <v>A</v>
      </c>
      <c r="BM16" s="7">
        <f>COUNTIFS(BF:BF,BN16)</f>
        <v>53</v>
      </c>
      <c r="BN16" t="s">
        <v>41</v>
      </c>
      <c r="BS16">
        <f t="shared" si="17"/>
        <v>0.34188034188034189</v>
      </c>
      <c r="BT16">
        <f t="shared" si="31"/>
        <v>0.49572649572649574</v>
      </c>
      <c r="BU16">
        <f t="shared" si="18"/>
        <v>-0.58119658119658113</v>
      </c>
      <c r="BW16">
        <f t="shared" si="32"/>
        <v>-0.53986808224257044</v>
      </c>
      <c r="BX16">
        <f t="shared" si="19"/>
        <v>1.0918991587402582</v>
      </c>
      <c r="BY16">
        <f t="shared" si="20"/>
        <v>-1.2447241965127345</v>
      </c>
      <c r="CB16">
        <f t="shared" si="21"/>
        <v>3.2470881288908813</v>
      </c>
      <c r="CC16">
        <f t="shared" si="22"/>
        <v>2.801274028847677</v>
      </c>
      <c r="CD16">
        <f t="shared" si="23"/>
        <v>1.1095884920332657</v>
      </c>
      <c r="CE16">
        <f t="shared" si="24"/>
        <v>2.2724600213905877</v>
      </c>
      <c r="CF16">
        <f t="shared" si="25"/>
        <v>1.1095884920332657</v>
      </c>
      <c r="CJ16" t="str">
        <f t="shared" si="26"/>
        <v>Cluster 3</v>
      </c>
      <c r="CK16" t="str">
        <f t="shared" si="33"/>
        <v>Tennis Only</v>
      </c>
      <c r="CL16" t="str">
        <f t="shared" si="27"/>
        <v>Tennis A</v>
      </c>
      <c r="CM16" t="str">
        <f t="shared" si="34"/>
        <v>Diff</v>
      </c>
    </row>
    <row r="17" spans="2:91">
      <c r="B17" s="18" t="s">
        <v>61</v>
      </c>
      <c r="C17" s="5">
        <v>4.5</v>
      </c>
      <c r="D17" s="19" t="s">
        <v>118</v>
      </c>
      <c r="E17" s="19" t="s">
        <v>121</v>
      </c>
      <c r="H17">
        <v>10</v>
      </c>
      <c r="I17">
        <v>2</v>
      </c>
      <c r="J17">
        <v>6</v>
      </c>
      <c r="K17">
        <v>10</v>
      </c>
      <c r="L17">
        <v>14</v>
      </c>
      <c r="M17">
        <v>18</v>
      </c>
      <c r="N17">
        <v>2</v>
      </c>
      <c r="O17">
        <v>6</v>
      </c>
      <c r="P17">
        <v>10</v>
      </c>
      <c r="Q17">
        <v>14</v>
      </c>
      <c r="R17">
        <v>18</v>
      </c>
      <c r="S17">
        <v>4</v>
      </c>
      <c r="T17">
        <v>8</v>
      </c>
      <c r="U17">
        <v>12</v>
      </c>
      <c r="V17">
        <v>16</v>
      </c>
      <c r="W17">
        <v>20</v>
      </c>
      <c r="X17">
        <v>4</v>
      </c>
      <c r="Y17">
        <v>8</v>
      </c>
      <c r="Z17">
        <v>12</v>
      </c>
      <c r="AA17">
        <v>16</v>
      </c>
      <c r="AB17">
        <v>20</v>
      </c>
      <c r="AD17">
        <f t="shared" ref="AD17:AH17" si="56">SUMIFS($I17:$AB17,$I$2:$AB$2,AD$7)</f>
        <v>12</v>
      </c>
      <c r="AE17">
        <f t="shared" si="56"/>
        <v>28</v>
      </c>
      <c r="AF17">
        <f t="shared" si="56"/>
        <v>44</v>
      </c>
      <c r="AG17">
        <f t="shared" si="56"/>
        <v>60</v>
      </c>
      <c r="AH17">
        <f t="shared" si="56"/>
        <v>76</v>
      </c>
      <c r="AI17">
        <f t="shared" si="5"/>
        <v>100</v>
      </c>
      <c r="AJ17">
        <f t="shared" si="5"/>
        <v>120</v>
      </c>
      <c r="AK17">
        <f t="shared" si="6"/>
        <v>110</v>
      </c>
      <c r="AL17">
        <f t="shared" si="6"/>
        <v>110</v>
      </c>
      <c r="AN17" s="67">
        <f t="shared" ref="AN17:AV17" si="57">((AD17-MIN($AD17:$AL17))/(MAX($AD17:$AL17)-MIN($AD17:$AL17)))</f>
        <v>0</v>
      </c>
      <c r="AO17" s="67">
        <f t="shared" si="57"/>
        <v>0.14814814814814814</v>
      </c>
      <c r="AP17" s="67">
        <f t="shared" si="57"/>
        <v>0.29629629629629628</v>
      </c>
      <c r="AQ17" s="67">
        <f t="shared" si="57"/>
        <v>0.44444444444444442</v>
      </c>
      <c r="AR17" s="67">
        <f t="shared" si="57"/>
        <v>0.59259259259259256</v>
      </c>
      <c r="AS17" s="67">
        <f t="shared" si="57"/>
        <v>0.81481481481481477</v>
      </c>
      <c r="AT17" s="67">
        <f t="shared" si="57"/>
        <v>1</v>
      </c>
      <c r="AU17" s="67">
        <f t="shared" si="57"/>
        <v>0.90740740740740744</v>
      </c>
      <c r="AV17" s="67">
        <f t="shared" si="57"/>
        <v>0.90740740740740744</v>
      </c>
      <c r="AX17">
        <f t="shared" si="8"/>
        <v>0.59259259259259256</v>
      </c>
      <c r="AY17">
        <f t="shared" si="9"/>
        <v>0.18518518518518523</v>
      </c>
      <c r="AZ17">
        <f t="shared" si="10"/>
        <v>0</v>
      </c>
      <c r="BB17">
        <f t="shared" ref="BB17:BD17" si="58">AX17/SUM($AX17:$AZ17)</f>
        <v>0.76190476190476186</v>
      </c>
      <c r="BC17">
        <f t="shared" si="58"/>
        <v>0.23809523809523814</v>
      </c>
      <c r="BD17">
        <f t="shared" si="58"/>
        <v>0</v>
      </c>
      <c r="BF17" t="str">
        <f t="shared" si="12"/>
        <v>Price</v>
      </c>
      <c r="BG17">
        <f t="shared" si="13"/>
        <v>3.5</v>
      </c>
      <c r="BI17">
        <f t="shared" si="14"/>
        <v>3.5</v>
      </c>
      <c r="BJ17" t="str">
        <f t="shared" si="15"/>
        <v>Super Bowl</v>
      </c>
      <c r="BK17" t="str">
        <f t="shared" si="16"/>
        <v>B</v>
      </c>
      <c r="BS17">
        <f t="shared" si="17"/>
        <v>0.59259259259259256</v>
      </c>
      <c r="BT17">
        <f t="shared" si="31"/>
        <v>-0.18518518518518523</v>
      </c>
      <c r="BU17">
        <f t="shared" si="18"/>
        <v>0</v>
      </c>
      <c r="BW17">
        <f t="shared" si="32"/>
        <v>1.6686715688084861</v>
      </c>
      <c r="BX17">
        <f t="shared" si="19"/>
        <v>-0.39695807251699122</v>
      </c>
      <c r="BY17">
        <f t="shared" si="20"/>
        <v>-1.6820010030300519E-2</v>
      </c>
      <c r="CB17">
        <f t="shared" si="21"/>
        <v>2.6517984973039161</v>
      </c>
      <c r="CC17">
        <f t="shared" si="22"/>
        <v>0.62243909945297615</v>
      </c>
      <c r="CD17">
        <f t="shared" si="23"/>
        <v>2.5922943311481625</v>
      </c>
      <c r="CE17">
        <f t="shared" si="24"/>
        <v>2.5011588295239395</v>
      </c>
      <c r="CF17">
        <f t="shared" si="25"/>
        <v>0.62243909945297615</v>
      </c>
      <c r="CJ17" t="str">
        <f t="shared" si="26"/>
        <v>Cluster 2</v>
      </c>
      <c r="CK17" t="str">
        <f t="shared" si="33"/>
        <v>Price Only</v>
      </c>
      <c r="CL17" t="str">
        <f t="shared" si="27"/>
        <v>Price Only</v>
      </c>
      <c r="CM17" t="str">
        <f t="shared" si="34"/>
        <v/>
      </c>
    </row>
    <row r="18" spans="2:91">
      <c r="B18" s="18" t="s">
        <v>62</v>
      </c>
      <c r="C18" s="5">
        <v>3.5</v>
      </c>
      <c r="D18" s="19" t="s">
        <v>119</v>
      </c>
      <c r="E18" s="19" t="s">
        <v>120</v>
      </c>
      <c r="H18">
        <v>11</v>
      </c>
      <c r="I18">
        <v>11</v>
      </c>
      <c r="J18">
        <v>14</v>
      </c>
      <c r="K18">
        <v>17</v>
      </c>
      <c r="L18">
        <v>19</v>
      </c>
      <c r="M18">
        <v>20</v>
      </c>
      <c r="N18">
        <v>3</v>
      </c>
      <c r="O18">
        <v>6</v>
      </c>
      <c r="P18">
        <v>9</v>
      </c>
      <c r="Q18">
        <v>13</v>
      </c>
      <c r="R18">
        <v>16</v>
      </c>
      <c r="S18">
        <v>5</v>
      </c>
      <c r="T18">
        <v>8</v>
      </c>
      <c r="U18">
        <v>12</v>
      </c>
      <c r="V18">
        <v>15</v>
      </c>
      <c r="W18">
        <v>18</v>
      </c>
      <c r="X18">
        <v>1</v>
      </c>
      <c r="Y18">
        <v>2</v>
      </c>
      <c r="Z18">
        <v>4</v>
      </c>
      <c r="AA18">
        <v>7</v>
      </c>
      <c r="AB18">
        <v>10</v>
      </c>
      <c r="AD18">
        <f t="shared" ref="AD18:AH18" si="59">SUMIFS($I18:$AB18,$I$2:$AB$2,AD$7)</f>
        <v>20</v>
      </c>
      <c r="AE18">
        <f t="shared" si="59"/>
        <v>30</v>
      </c>
      <c r="AF18">
        <f t="shared" si="59"/>
        <v>42</v>
      </c>
      <c r="AG18">
        <f t="shared" si="59"/>
        <v>54</v>
      </c>
      <c r="AH18">
        <f t="shared" si="59"/>
        <v>64</v>
      </c>
      <c r="AI18">
        <f t="shared" si="5"/>
        <v>128</v>
      </c>
      <c r="AJ18">
        <f t="shared" si="5"/>
        <v>82</v>
      </c>
      <c r="AK18">
        <f t="shared" si="6"/>
        <v>71</v>
      </c>
      <c r="AL18">
        <f t="shared" si="6"/>
        <v>139</v>
      </c>
      <c r="AN18" s="67">
        <f t="shared" ref="AN18:AV18" si="60">((AD18-MIN($AD18:$AL18))/(MAX($AD18:$AL18)-MIN($AD18:$AL18)))</f>
        <v>0</v>
      </c>
      <c r="AO18" s="67">
        <f t="shared" si="60"/>
        <v>8.4033613445378158E-2</v>
      </c>
      <c r="AP18" s="67">
        <f t="shared" si="60"/>
        <v>0.18487394957983194</v>
      </c>
      <c r="AQ18" s="67">
        <f t="shared" si="60"/>
        <v>0.2857142857142857</v>
      </c>
      <c r="AR18" s="67">
        <f t="shared" si="60"/>
        <v>0.36974789915966388</v>
      </c>
      <c r="AS18" s="67">
        <f t="shared" si="60"/>
        <v>0.90756302521008403</v>
      </c>
      <c r="AT18" s="67">
        <f t="shared" si="60"/>
        <v>0.52100840336134457</v>
      </c>
      <c r="AU18" s="67">
        <f t="shared" si="60"/>
        <v>0.42857142857142855</v>
      </c>
      <c r="AV18" s="67">
        <f t="shared" si="60"/>
        <v>1</v>
      </c>
      <c r="AX18">
        <f t="shared" si="8"/>
        <v>0.36974789915966388</v>
      </c>
      <c r="AY18">
        <f t="shared" si="9"/>
        <v>0.38655462184873945</v>
      </c>
      <c r="AZ18">
        <f t="shared" si="10"/>
        <v>0.5714285714285714</v>
      </c>
      <c r="BB18">
        <f t="shared" ref="BB18:BD18" si="61">AX18/SUM($AX18:$AZ18)</f>
        <v>0.27848101265822789</v>
      </c>
      <c r="BC18">
        <f t="shared" si="61"/>
        <v>0.29113924050632911</v>
      </c>
      <c r="BD18">
        <f t="shared" si="61"/>
        <v>0.43037974683544306</v>
      </c>
      <c r="BF18" t="str">
        <f t="shared" si="12"/>
        <v>Sugar</v>
      </c>
      <c r="BG18" t="str">
        <f t="shared" si="13"/>
        <v>B</v>
      </c>
      <c r="BI18">
        <f t="shared" si="14"/>
        <v>3.5</v>
      </c>
      <c r="BJ18" t="str">
        <f t="shared" si="15"/>
        <v>Tennis</v>
      </c>
      <c r="BK18" t="str">
        <f t="shared" si="16"/>
        <v>B</v>
      </c>
      <c r="BS18">
        <f t="shared" si="17"/>
        <v>0.36974789915966388</v>
      </c>
      <c r="BT18">
        <f t="shared" si="31"/>
        <v>0.38655462184873945</v>
      </c>
      <c r="BU18">
        <f t="shared" si="18"/>
        <v>0.5714285714285714</v>
      </c>
      <c r="BW18">
        <f t="shared" si="32"/>
        <v>-0.29438105456653607</v>
      </c>
      <c r="BX18">
        <f t="shared" si="19"/>
        <v>0.8531878274040513</v>
      </c>
      <c r="BY18">
        <f t="shared" si="20"/>
        <v>1.190447131301168</v>
      </c>
      <c r="CB18">
        <f t="shared" si="21"/>
        <v>2.0246640999810945</v>
      </c>
      <c r="CC18">
        <f t="shared" si="22"/>
        <v>2.479864263807086</v>
      </c>
      <c r="CD18">
        <f t="shared" si="23"/>
        <v>1.3597427164424376</v>
      </c>
      <c r="CE18">
        <f t="shared" si="24"/>
        <v>3.0189661876712872</v>
      </c>
      <c r="CF18">
        <f t="shared" si="25"/>
        <v>1.3597427164424376</v>
      </c>
      <c r="CJ18" t="str">
        <f t="shared" si="26"/>
        <v>Cluster 3</v>
      </c>
      <c r="CK18" t="str">
        <f t="shared" si="33"/>
        <v>Tennis Only</v>
      </c>
      <c r="CL18" t="str">
        <f t="shared" si="27"/>
        <v>Tennis B</v>
      </c>
      <c r="CM18" t="str">
        <f t="shared" si="34"/>
        <v>Diff</v>
      </c>
    </row>
    <row r="19" spans="2:91">
      <c r="B19" s="18" t="s">
        <v>63</v>
      </c>
      <c r="C19" s="5">
        <v>3.75</v>
      </c>
      <c r="D19" s="19" t="s">
        <v>119</v>
      </c>
      <c r="E19" s="19" t="s">
        <v>120</v>
      </c>
      <c r="H19">
        <v>12</v>
      </c>
      <c r="I19">
        <v>4</v>
      </c>
      <c r="J19">
        <v>7</v>
      </c>
      <c r="K19">
        <v>10</v>
      </c>
      <c r="L19">
        <v>12</v>
      </c>
      <c r="M19">
        <v>15</v>
      </c>
      <c r="N19">
        <v>13</v>
      </c>
      <c r="O19">
        <v>16</v>
      </c>
      <c r="P19">
        <v>18</v>
      </c>
      <c r="Q19">
        <v>19</v>
      </c>
      <c r="R19">
        <v>20</v>
      </c>
      <c r="S19">
        <v>1</v>
      </c>
      <c r="T19">
        <v>2</v>
      </c>
      <c r="U19">
        <v>3</v>
      </c>
      <c r="V19">
        <v>5</v>
      </c>
      <c r="W19">
        <v>8</v>
      </c>
      <c r="X19">
        <v>6</v>
      </c>
      <c r="Y19">
        <v>9</v>
      </c>
      <c r="Z19">
        <v>11</v>
      </c>
      <c r="AA19">
        <v>14</v>
      </c>
      <c r="AB19">
        <v>17</v>
      </c>
      <c r="AD19">
        <f t="shared" ref="AD19:AH19" si="62">SUMIFS($I19:$AB19,$I$2:$AB$2,AD$7)</f>
        <v>24</v>
      </c>
      <c r="AE19">
        <f t="shared" si="62"/>
        <v>34</v>
      </c>
      <c r="AF19">
        <f t="shared" si="62"/>
        <v>42</v>
      </c>
      <c r="AG19">
        <f t="shared" si="62"/>
        <v>50</v>
      </c>
      <c r="AH19">
        <f t="shared" si="62"/>
        <v>60</v>
      </c>
      <c r="AI19">
        <f t="shared" si="5"/>
        <v>134</v>
      </c>
      <c r="AJ19">
        <f t="shared" si="5"/>
        <v>76</v>
      </c>
      <c r="AK19">
        <f t="shared" si="6"/>
        <v>143</v>
      </c>
      <c r="AL19">
        <f t="shared" si="6"/>
        <v>67</v>
      </c>
      <c r="AN19" s="67">
        <f t="shared" ref="AN19:AV19" si="63">((AD19-MIN($AD19:$AL19))/(MAX($AD19:$AL19)-MIN($AD19:$AL19)))</f>
        <v>0</v>
      </c>
      <c r="AO19" s="67">
        <f t="shared" si="63"/>
        <v>8.4033613445378158E-2</v>
      </c>
      <c r="AP19" s="67">
        <f t="shared" si="63"/>
        <v>0.15126050420168066</v>
      </c>
      <c r="AQ19" s="67">
        <f t="shared" si="63"/>
        <v>0.21848739495798319</v>
      </c>
      <c r="AR19" s="67">
        <f t="shared" si="63"/>
        <v>0.30252100840336132</v>
      </c>
      <c r="AS19" s="67">
        <f t="shared" si="63"/>
        <v>0.92436974789915971</v>
      </c>
      <c r="AT19" s="67">
        <f t="shared" si="63"/>
        <v>0.43697478991596639</v>
      </c>
      <c r="AU19" s="67">
        <f t="shared" si="63"/>
        <v>1</v>
      </c>
      <c r="AV19" s="67">
        <f t="shared" si="63"/>
        <v>0.36134453781512604</v>
      </c>
      <c r="AX19">
        <f t="shared" si="8"/>
        <v>0.30252100840336132</v>
      </c>
      <c r="AY19">
        <f t="shared" si="9"/>
        <v>0.48739495798319332</v>
      </c>
      <c r="AZ19">
        <f t="shared" si="10"/>
        <v>0.6386554621848739</v>
      </c>
      <c r="BB19">
        <f t="shared" ref="BB19:BD19" si="64">AX19/SUM($AX19:$AZ19)</f>
        <v>0.21176470588235291</v>
      </c>
      <c r="BC19">
        <f t="shared" si="64"/>
        <v>0.3411764705882353</v>
      </c>
      <c r="BD19">
        <f t="shared" si="64"/>
        <v>0.44705882352941173</v>
      </c>
      <c r="BF19" t="str">
        <f t="shared" si="12"/>
        <v>Sugar</v>
      </c>
      <c r="BG19" t="str">
        <f t="shared" si="13"/>
        <v>A</v>
      </c>
      <c r="BI19">
        <f t="shared" si="14"/>
        <v>3.5</v>
      </c>
      <c r="BJ19" t="str">
        <f t="shared" si="15"/>
        <v>Tennis</v>
      </c>
      <c r="BK19" t="str">
        <f t="shared" si="16"/>
        <v>A</v>
      </c>
      <c r="BS19">
        <f t="shared" si="17"/>
        <v>0.30252100840336132</v>
      </c>
      <c r="BT19">
        <f t="shared" si="31"/>
        <v>0.48739495798319332</v>
      </c>
      <c r="BU19">
        <f t="shared" si="18"/>
        <v>-0.6386554621848739</v>
      </c>
      <c r="BW19">
        <f t="shared" si="32"/>
        <v>-0.88658687390872204</v>
      </c>
      <c r="BX19">
        <f t="shared" si="19"/>
        <v>1.0736817150330213</v>
      </c>
      <c r="BY19">
        <f t="shared" si="20"/>
        <v>-1.3661185797537068</v>
      </c>
      <c r="CB19">
        <f t="shared" si="21"/>
        <v>3.3343293898311779</v>
      </c>
      <c r="CC19">
        <f t="shared" si="22"/>
        <v>3.1430705713708131</v>
      </c>
      <c r="CD19">
        <f t="shared" si="23"/>
        <v>1.3032305401286828</v>
      </c>
      <c r="CE19">
        <f t="shared" si="24"/>
        <v>2.3042099354432994</v>
      </c>
      <c r="CF19">
        <f t="shared" si="25"/>
        <v>1.3032305401286828</v>
      </c>
      <c r="CJ19" t="str">
        <f t="shared" si="26"/>
        <v>Cluster 3</v>
      </c>
      <c r="CK19" t="str">
        <f t="shared" si="33"/>
        <v>Tennis Only</v>
      </c>
      <c r="CL19" t="str">
        <f t="shared" si="27"/>
        <v>Tennis A</v>
      </c>
      <c r="CM19" t="str">
        <f t="shared" si="34"/>
        <v>Diff</v>
      </c>
    </row>
    <row r="20" spans="2:91">
      <c r="B20" s="18" t="s">
        <v>64</v>
      </c>
      <c r="C20" s="5">
        <v>4</v>
      </c>
      <c r="D20" s="19" t="s">
        <v>119</v>
      </c>
      <c r="E20" s="19" t="s">
        <v>120</v>
      </c>
      <c r="H20">
        <v>13</v>
      </c>
      <c r="I20">
        <v>2</v>
      </c>
      <c r="J20">
        <v>6</v>
      </c>
      <c r="K20">
        <v>10</v>
      </c>
      <c r="L20">
        <v>14</v>
      </c>
      <c r="M20">
        <v>18</v>
      </c>
      <c r="N20">
        <v>1</v>
      </c>
      <c r="O20">
        <v>5</v>
      </c>
      <c r="P20">
        <v>9</v>
      </c>
      <c r="Q20">
        <v>13</v>
      </c>
      <c r="R20">
        <v>17</v>
      </c>
      <c r="S20">
        <v>4</v>
      </c>
      <c r="T20">
        <v>8</v>
      </c>
      <c r="U20">
        <v>12</v>
      </c>
      <c r="V20">
        <v>16</v>
      </c>
      <c r="W20">
        <v>20</v>
      </c>
      <c r="X20">
        <v>3</v>
      </c>
      <c r="Y20">
        <v>7</v>
      </c>
      <c r="Z20">
        <v>11</v>
      </c>
      <c r="AA20">
        <v>15</v>
      </c>
      <c r="AB20">
        <v>19</v>
      </c>
      <c r="AD20">
        <f t="shared" ref="AD20:AH20" si="65">SUMIFS($I20:$AB20,$I$2:$AB$2,AD$7)</f>
        <v>10</v>
      </c>
      <c r="AE20">
        <f t="shared" si="65"/>
        <v>26</v>
      </c>
      <c r="AF20">
        <f t="shared" si="65"/>
        <v>42</v>
      </c>
      <c r="AG20">
        <f t="shared" si="65"/>
        <v>58</v>
      </c>
      <c r="AH20">
        <f t="shared" si="65"/>
        <v>74</v>
      </c>
      <c r="AI20">
        <f t="shared" si="5"/>
        <v>95</v>
      </c>
      <c r="AJ20">
        <f t="shared" si="5"/>
        <v>115</v>
      </c>
      <c r="AK20">
        <f t="shared" si="6"/>
        <v>100</v>
      </c>
      <c r="AL20">
        <f t="shared" si="6"/>
        <v>110</v>
      </c>
      <c r="AN20" s="67">
        <f t="shared" ref="AN20:AV20" si="66">((AD20-MIN($AD20:$AL20))/(MAX($AD20:$AL20)-MIN($AD20:$AL20)))</f>
        <v>0</v>
      </c>
      <c r="AO20" s="67">
        <f t="shared" si="66"/>
        <v>0.15238095238095239</v>
      </c>
      <c r="AP20" s="67">
        <f t="shared" si="66"/>
        <v>0.30476190476190479</v>
      </c>
      <c r="AQ20" s="67">
        <f t="shared" si="66"/>
        <v>0.45714285714285713</v>
      </c>
      <c r="AR20" s="67">
        <f t="shared" si="66"/>
        <v>0.60952380952380958</v>
      </c>
      <c r="AS20" s="67">
        <f t="shared" si="66"/>
        <v>0.80952380952380953</v>
      </c>
      <c r="AT20" s="67">
        <f t="shared" si="66"/>
        <v>1</v>
      </c>
      <c r="AU20" s="67">
        <f t="shared" si="66"/>
        <v>0.8571428571428571</v>
      </c>
      <c r="AV20" s="67">
        <f t="shared" si="66"/>
        <v>0.95238095238095233</v>
      </c>
      <c r="AX20">
        <f t="shared" si="8"/>
        <v>0.60952380952380958</v>
      </c>
      <c r="AY20">
        <f t="shared" si="9"/>
        <v>0.19047619047619047</v>
      </c>
      <c r="AZ20">
        <f t="shared" si="10"/>
        <v>9.5238095238095233E-2</v>
      </c>
      <c r="BB20">
        <f t="shared" ref="BB20:BD20" si="67">AX20/SUM($AX20:$AZ20)</f>
        <v>0.68085106382978722</v>
      </c>
      <c r="BC20">
        <f t="shared" si="67"/>
        <v>0.21276595744680848</v>
      </c>
      <c r="BD20">
        <f t="shared" si="67"/>
        <v>0.10638297872340424</v>
      </c>
      <c r="BF20" t="str">
        <f t="shared" si="12"/>
        <v>Price</v>
      </c>
      <c r="BG20">
        <f t="shared" si="13"/>
        <v>3.5</v>
      </c>
      <c r="BI20">
        <f t="shared" si="14"/>
        <v>3.5</v>
      </c>
      <c r="BJ20" t="str">
        <f t="shared" si="15"/>
        <v>Super Bowl</v>
      </c>
      <c r="BK20" t="str">
        <f t="shared" si="16"/>
        <v>B</v>
      </c>
      <c r="BS20">
        <f t="shared" si="17"/>
        <v>0.60952380952380958</v>
      </c>
      <c r="BT20">
        <f t="shared" si="31"/>
        <v>-0.19047619047619047</v>
      </c>
      <c r="BU20">
        <f t="shared" si="18"/>
        <v>9.5238095238095233E-2</v>
      </c>
      <c r="BW20">
        <f t="shared" si="32"/>
        <v>1.8178197010872597</v>
      </c>
      <c r="BX20">
        <f t="shared" si="19"/>
        <v>-0.40852719625060985</v>
      </c>
      <c r="BY20">
        <f t="shared" si="20"/>
        <v>0.18439118019161094</v>
      </c>
      <c r="CB20">
        <f t="shared" si="21"/>
        <v>2.7028754930500996</v>
      </c>
      <c r="CC20">
        <f t="shared" si="22"/>
        <v>0.64013665743323389</v>
      </c>
      <c r="CD20">
        <f t="shared" si="23"/>
        <v>2.7382504976340289</v>
      </c>
      <c r="CE20">
        <f t="shared" si="24"/>
        <v>2.7117465968961527</v>
      </c>
      <c r="CF20">
        <f t="shared" si="25"/>
        <v>0.64013665743323389</v>
      </c>
      <c r="CJ20" t="str">
        <f t="shared" si="26"/>
        <v>Cluster 2</v>
      </c>
      <c r="CK20" t="str">
        <f t="shared" si="33"/>
        <v>Price Only</v>
      </c>
      <c r="CL20" t="str">
        <f t="shared" si="27"/>
        <v>Price Only</v>
      </c>
      <c r="CM20" t="str">
        <f t="shared" si="34"/>
        <v/>
      </c>
    </row>
    <row r="21" spans="2:91">
      <c r="B21" s="18" t="s">
        <v>65</v>
      </c>
      <c r="C21" s="5">
        <v>4.25</v>
      </c>
      <c r="D21" s="19" t="s">
        <v>119</v>
      </c>
      <c r="E21" s="19" t="s">
        <v>120</v>
      </c>
      <c r="H21">
        <v>14</v>
      </c>
      <c r="I21">
        <v>1</v>
      </c>
      <c r="J21">
        <v>2</v>
      </c>
      <c r="K21">
        <v>5</v>
      </c>
      <c r="L21">
        <v>8</v>
      </c>
      <c r="M21">
        <v>12</v>
      </c>
      <c r="N21">
        <v>3</v>
      </c>
      <c r="O21">
        <v>6</v>
      </c>
      <c r="P21">
        <v>10</v>
      </c>
      <c r="Q21">
        <v>14</v>
      </c>
      <c r="R21">
        <v>17</v>
      </c>
      <c r="S21">
        <v>4</v>
      </c>
      <c r="T21">
        <v>7</v>
      </c>
      <c r="U21">
        <v>11</v>
      </c>
      <c r="V21">
        <v>15</v>
      </c>
      <c r="W21">
        <v>18</v>
      </c>
      <c r="X21">
        <v>9</v>
      </c>
      <c r="Y21">
        <v>13</v>
      </c>
      <c r="Z21">
        <v>16</v>
      </c>
      <c r="AA21">
        <v>19</v>
      </c>
      <c r="AB21">
        <v>20</v>
      </c>
      <c r="AD21">
        <f t="shared" ref="AD21:AH21" si="68">SUMIFS($I21:$AB21,$I$2:$AB$2,AD$7)</f>
        <v>17</v>
      </c>
      <c r="AE21">
        <f t="shared" si="68"/>
        <v>28</v>
      </c>
      <c r="AF21">
        <f t="shared" si="68"/>
        <v>42</v>
      </c>
      <c r="AG21">
        <f t="shared" si="68"/>
        <v>56</v>
      </c>
      <c r="AH21">
        <f t="shared" si="68"/>
        <v>67</v>
      </c>
      <c r="AI21">
        <f t="shared" si="5"/>
        <v>78</v>
      </c>
      <c r="AJ21">
        <f t="shared" si="5"/>
        <v>132</v>
      </c>
      <c r="AK21">
        <f t="shared" si="6"/>
        <v>127</v>
      </c>
      <c r="AL21">
        <f t="shared" si="6"/>
        <v>83</v>
      </c>
      <c r="AN21" s="67">
        <f t="shared" ref="AN21:AV21" si="69">((AD21-MIN($AD21:$AL21))/(MAX($AD21:$AL21)-MIN($AD21:$AL21)))</f>
        <v>0</v>
      </c>
      <c r="AO21" s="67">
        <f t="shared" si="69"/>
        <v>9.5652173913043481E-2</v>
      </c>
      <c r="AP21" s="67">
        <f t="shared" si="69"/>
        <v>0.21739130434782608</v>
      </c>
      <c r="AQ21" s="67">
        <f t="shared" si="69"/>
        <v>0.33913043478260868</v>
      </c>
      <c r="AR21" s="67">
        <f t="shared" si="69"/>
        <v>0.43478260869565216</v>
      </c>
      <c r="AS21" s="67">
        <f t="shared" si="69"/>
        <v>0.5304347826086957</v>
      </c>
      <c r="AT21" s="67">
        <f t="shared" si="69"/>
        <v>1</v>
      </c>
      <c r="AU21" s="67">
        <f t="shared" si="69"/>
        <v>0.95652173913043481</v>
      </c>
      <c r="AV21" s="67">
        <f t="shared" si="69"/>
        <v>0.57391304347826089</v>
      </c>
      <c r="AX21">
        <f t="shared" si="8"/>
        <v>0.43478260869565216</v>
      </c>
      <c r="AY21">
        <f t="shared" si="9"/>
        <v>0.4695652173913043</v>
      </c>
      <c r="AZ21">
        <f t="shared" si="10"/>
        <v>0.38260869565217392</v>
      </c>
      <c r="BB21">
        <f t="shared" ref="BB21:BD21" si="70">AX21/SUM($AX21:$AZ21)</f>
        <v>0.33783783783783783</v>
      </c>
      <c r="BC21">
        <f t="shared" si="70"/>
        <v>0.36486486486486486</v>
      </c>
      <c r="BD21">
        <f t="shared" si="70"/>
        <v>0.29729729729729731</v>
      </c>
      <c r="BF21" t="str">
        <f t="shared" si="12"/>
        <v xml:space="preserve">Brand </v>
      </c>
      <c r="BG21" t="str">
        <f t="shared" si="13"/>
        <v>Super Bowl</v>
      </c>
      <c r="BI21">
        <f t="shared" si="14"/>
        <v>3.5</v>
      </c>
      <c r="BJ21" t="str">
        <f t="shared" si="15"/>
        <v>Super Bowl</v>
      </c>
      <c r="BK21" t="str">
        <f t="shared" si="16"/>
        <v>A</v>
      </c>
      <c r="BS21">
        <f t="shared" si="17"/>
        <v>0.43478260869565216</v>
      </c>
      <c r="BT21">
        <f t="shared" si="31"/>
        <v>-0.4695652173913043</v>
      </c>
      <c r="BU21">
        <f t="shared" si="18"/>
        <v>-0.38260869565217392</v>
      </c>
      <c r="BW21">
        <f t="shared" si="32"/>
        <v>0.27851370544927367</v>
      </c>
      <c r="BX21">
        <f t="shared" si="19"/>
        <v>-1.0187733229300151</v>
      </c>
      <c r="BY21">
        <f t="shared" si="20"/>
        <v>-0.82516409596528395</v>
      </c>
      <c r="CB21">
        <f t="shared" si="21"/>
        <v>2.132918414529489</v>
      </c>
      <c r="CC21">
        <f t="shared" si="22"/>
        <v>2.1303778171856185</v>
      </c>
      <c r="CD21">
        <f t="shared" si="23"/>
        <v>2.337323982386279</v>
      </c>
      <c r="CE21">
        <f t="shared" si="24"/>
        <v>0.8010214669374226</v>
      </c>
      <c r="CF21">
        <f t="shared" si="25"/>
        <v>0.8010214669374226</v>
      </c>
      <c r="CJ21" t="str">
        <f t="shared" si="26"/>
        <v>Cluster 4</v>
      </c>
      <c r="CK21" t="str">
        <f t="shared" si="33"/>
        <v>A Super Bowl</v>
      </c>
      <c r="CL21" t="str">
        <f t="shared" si="27"/>
        <v>Super Bowl A</v>
      </c>
      <c r="CM21" t="str">
        <f t="shared" si="34"/>
        <v>Diff</v>
      </c>
    </row>
    <row r="22" spans="2:91">
      <c r="B22" s="18" t="s">
        <v>66</v>
      </c>
      <c r="C22" s="5">
        <v>4.5</v>
      </c>
      <c r="D22" s="19" t="s">
        <v>119</v>
      </c>
      <c r="E22" s="19" t="s">
        <v>120</v>
      </c>
      <c r="H22">
        <v>15</v>
      </c>
      <c r="I22">
        <v>1</v>
      </c>
      <c r="J22">
        <v>2</v>
      </c>
      <c r="K22">
        <v>4</v>
      </c>
      <c r="L22">
        <v>6</v>
      </c>
      <c r="M22">
        <v>9</v>
      </c>
      <c r="N22">
        <v>7</v>
      </c>
      <c r="O22">
        <v>10</v>
      </c>
      <c r="P22">
        <v>13</v>
      </c>
      <c r="Q22">
        <v>16</v>
      </c>
      <c r="R22">
        <v>18</v>
      </c>
      <c r="S22">
        <v>3</v>
      </c>
      <c r="T22">
        <v>5</v>
      </c>
      <c r="U22">
        <v>8</v>
      </c>
      <c r="V22">
        <v>11</v>
      </c>
      <c r="W22">
        <v>14</v>
      </c>
      <c r="X22">
        <v>12</v>
      </c>
      <c r="Y22">
        <v>15</v>
      </c>
      <c r="Z22">
        <v>17</v>
      </c>
      <c r="AA22">
        <v>19</v>
      </c>
      <c r="AB22">
        <v>20</v>
      </c>
      <c r="AD22">
        <f t="shared" ref="AD22:AH22" si="71">SUMIFS($I22:$AB22,$I$2:$AB$2,AD$7)</f>
        <v>23</v>
      </c>
      <c r="AE22">
        <f t="shared" si="71"/>
        <v>32</v>
      </c>
      <c r="AF22">
        <f t="shared" si="71"/>
        <v>42</v>
      </c>
      <c r="AG22">
        <f t="shared" si="71"/>
        <v>52</v>
      </c>
      <c r="AH22">
        <f t="shared" si="71"/>
        <v>61</v>
      </c>
      <c r="AI22">
        <f t="shared" si="5"/>
        <v>86</v>
      </c>
      <c r="AJ22">
        <f t="shared" si="5"/>
        <v>124</v>
      </c>
      <c r="AK22">
        <f t="shared" si="6"/>
        <v>147</v>
      </c>
      <c r="AL22">
        <f t="shared" si="6"/>
        <v>63</v>
      </c>
      <c r="AN22" s="67">
        <f t="shared" ref="AN22:AV22" si="72">((AD22-MIN($AD22:$AL22))/(MAX($AD22:$AL22)-MIN($AD22:$AL22)))</f>
        <v>0</v>
      </c>
      <c r="AO22" s="67">
        <f t="shared" si="72"/>
        <v>7.2580645161290328E-2</v>
      </c>
      <c r="AP22" s="67">
        <f t="shared" si="72"/>
        <v>0.15322580645161291</v>
      </c>
      <c r="AQ22" s="67">
        <f t="shared" si="72"/>
        <v>0.23387096774193547</v>
      </c>
      <c r="AR22" s="67">
        <f t="shared" si="72"/>
        <v>0.30645161290322581</v>
      </c>
      <c r="AS22" s="67">
        <f t="shared" si="72"/>
        <v>0.50806451612903225</v>
      </c>
      <c r="AT22" s="67">
        <f t="shared" si="72"/>
        <v>0.81451612903225812</v>
      </c>
      <c r="AU22" s="67">
        <f t="shared" si="72"/>
        <v>1</v>
      </c>
      <c r="AV22" s="67">
        <f t="shared" si="72"/>
        <v>0.32258064516129031</v>
      </c>
      <c r="AX22">
        <f t="shared" si="8"/>
        <v>0.30645161290322581</v>
      </c>
      <c r="AY22">
        <f t="shared" si="9"/>
        <v>0.30645161290322587</v>
      </c>
      <c r="AZ22">
        <f t="shared" si="10"/>
        <v>0.67741935483870974</v>
      </c>
      <c r="BB22">
        <f t="shared" ref="BB22:BD22" si="73">AX22/SUM($AX22:$AZ22)</f>
        <v>0.23749999999999996</v>
      </c>
      <c r="BC22">
        <f t="shared" si="73"/>
        <v>0.23750000000000002</v>
      </c>
      <c r="BD22">
        <f t="shared" si="73"/>
        <v>0.52500000000000002</v>
      </c>
      <c r="BF22" t="str">
        <f t="shared" si="12"/>
        <v>Sugar</v>
      </c>
      <c r="BG22" t="str">
        <f t="shared" si="13"/>
        <v>A</v>
      </c>
      <c r="BI22">
        <f t="shared" si="14"/>
        <v>3.5</v>
      </c>
      <c r="BJ22" t="str">
        <f t="shared" si="15"/>
        <v>Super Bowl</v>
      </c>
      <c r="BK22" t="str">
        <f t="shared" si="16"/>
        <v>A</v>
      </c>
      <c r="BS22">
        <f t="shared" si="17"/>
        <v>0.30645161290322581</v>
      </c>
      <c r="BT22">
        <f t="shared" si="31"/>
        <v>-0.30645161290322587</v>
      </c>
      <c r="BU22">
        <f t="shared" si="18"/>
        <v>-0.67741935483870974</v>
      </c>
      <c r="BW22">
        <f t="shared" si="32"/>
        <v>-0.85196193689073108</v>
      </c>
      <c r="BX22">
        <f t="shared" si="19"/>
        <v>-0.66211492454073817</v>
      </c>
      <c r="BY22">
        <f t="shared" si="20"/>
        <v>-1.4480157340280904</v>
      </c>
      <c r="CB22">
        <f t="shared" si="21"/>
        <v>2.6123441878809226</v>
      </c>
      <c r="CC22">
        <f t="shared" si="22"/>
        <v>3.1536736163195704</v>
      </c>
      <c r="CD22">
        <f t="shared" si="23"/>
        <v>2.2271906262454588</v>
      </c>
      <c r="CE22">
        <f t="shared" si="24"/>
        <v>0.75071414070800935</v>
      </c>
      <c r="CF22">
        <f t="shared" si="25"/>
        <v>0.75071414070800935</v>
      </c>
      <c r="CJ22" t="str">
        <f t="shared" si="26"/>
        <v>Cluster 4</v>
      </c>
      <c r="CK22" t="str">
        <f t="shared" si="33"/>
        <v>A Super Bowl</v>
      </c>
      <c r="CL22" t="str">
        <f t="shared" si="27"/>
        <v>Super Bowl A</v>
      </c>
      <c r="CM22" t="str">
        <f t="shared" si="34"/>
        <v>Diff</v>
      </c>
    </row>
    <row r="23" spans="2:91">
      <c r="B23" s="18" t="s">
        <v>67</v>
      </c>
      <c r="C23" s="5">
        <v>3.5</v>
      </c>
      <c r="D23" s="19" t="s">
        <v>119</v>
      </c>
      <c r="E23" s="19" t="s">
        <v>121</v>
      </c>
      <c r="H23">
        <v>16</v>
      </c>
      <c r="I23">
        <v>1</v>
      </c>
      <c r="J23">
        <v>2</v>
      </c>
      <c r="K23">
        <v>3</v>
      </c>
      <c r="L23">
        <v>6</v>
      </c>
      <c r="M23">
        <v>9</v>
      </c>
      <c r="N23">
        <v>4</v>
      </c>
      <c r="O23">
        <v>7</v>
      </c>
      <c r="P23">
        <v>10</v>
      </c>
      <c r="Q23">
        <v>13</v>
      </c>
      <c r="R23">
        <v>16</v>
      </c>
      <c r="S23">
        <v>6</v>
      </c>
      <c r="T23">
        <v>9</v>
      </c>
      <c r="U23">
        <v>11</v>
      </c>
      <c r="V23">
        <v>14</v>
      </c>
      <c r="W23">
        <v>17</v>
      </c>
      <c r="X23">
        <v>13</v>
      </c>
      <c r="Y23">
        <v>16</v>
      </c>
      <c r="Z23">
        <v>18</v>
      </c>
      <c r="AA23">
        <v>19</v>
      </c>
      <c r="AB23">
        <v>20</v>
      </c>
      <c r="AD23">
        <f t="shared" ref="AD23:AH23" si="74">SUMIFS($I23:$AB23,$I$2:$AB$2,AD$7)</f>
        <v>24</v>
      </c>
      <c r="AE23">
        <f t="shared" si="74"/>
        <v>34</v>
      </c>
      <c r="AF23">
        <f t="shared" si="74"/>
        <v>42</v>
      </c>
      <c r="AG23">
        <f t="shared" si="74"/>
        <v>52</v>
      </c>
      <c r="AH23">
        <f t="shared" si="74"/>
        <v>62</v>
      </c>
      <c r="AI23">
        <f t="shared" si="5"/>
        <v>71</v>
      </c>
      <c r="AJ23">
        <f t="shared" si="5"/>
        <v>143</v>
      </c>
      <c r="AK23">
        <f t="shared" si="6"/>
        <v>136</v>
      </c>
      <c r="AL23">
        <f t="shared" si="6"/>
        <v>78</v>
      </c>
      <c r="AN23" s="67">
        <f t="shared" ref="AN23:AV23" si="75">((AD23-MIN($AD23:$AL23))/(MAX($AD23:$AL23)-MIN($AD23:$AL23)))</f>
        <v>0</v>
      </c>
      <c r="AO23" s="67">
        <f t="shared" si="75"/>
        <v>8.4033613445378158E-2</v>
      </c>
      <c r="AP23" s="67">
        <f t="shared" si="75"/>
        <v>0.15126050420168066</v>
      </c>
      <c r="AQ23" s="67">
        <f t="shared" si="75"/>
        <v>0.23529411764705882</v>
      </c>
      <c r="AR23" s="67">
        <f t="shared" si="75"/>
        <v>0.31932773109243695</v>
      </c>
      <c r="AS23" s="67">
        <f t="shared" si="75"/>
        <v>0.3949579831932773</v>
      </c>
      <c r="AT23" s="67">
        <f t="shared" si="75"/>
        <v>1</v>
      </c>
      <c r="AU23" s="67">
        <f t="shared" si="75"/>
        <v>0.94117647058823528</v>
      </c>
      <c r="AV23" s="67">
        <f t="shared" si="75"/>
        <v>0.45378151260504201</v>
      </c>
      <c r="AX23">
        <f t="shared" si="8"/>
        <v>0.31932773109243695</v>
      </c>
      <c r="AY23">
        <f t="shared" si="9"/>
        <v>0.60504201680672276</v>
      </c>
      <c r="AZ23">
        <f t="shared" si="10"/>
        <v>0.48739495798319327</v>
      </c>
      <c r="BB23">
        <f t="shared" ref="BB23:BD23" si="76">AX23/SUM($AX23:$AZ23)</f>
        <v>0.22619047619047616</v>
      </c>
      <c r="BC23">
        <f t="shared" si="76"/>
        <v>0.4285714285714286</v>
      </c>
      <c r="BD23">
        <f t="shared" si="76"/>
        <v>0.34523809523809523</v>
      </c>
      <c r="BF23" t="str">
        <f t="shared" si="12"/>
        <v xml:space="preserve">Brand </v>
      </c>
      <c r="BG23" t="str">
        <f t="shared" si="13"/>
        <v>Super Bowl</v>
      </c>
      <c r="BI23">
        <f t="shared" si="14"/>
        <v>3.5</v>
      </c>
      <c r="BJ23" t="str">
        <f t="shared" si="15"/>
        <v>Super Bowl</v>
      </c>
      <c r="BK23" t="str">
        <f t="shared" si="16"/>
        <v>A</v>
      </c>
      <c r="BS23">
        <f t="shared" si="17"/>
        <v>0.31932773109243695</v>
      </c>
      <c r="BT23">
        <f t="shared" si="31"/>
        <v>-0.60504201680672276</v>
      </c>
      <c r="BU23">
        <f t="shared" si="18"/>
        <v>-0.48739495798319327</v>
      </c>
      <c r="BW23">
        <f t="shared" si="32"/>
        <v>-0.73853541907317566</v>
      </c>
      <c r="BX23">
        <f t="shared" si="19"/>
        <v>-1.3150020676141532</v>
      </c>
      <c r="BY23">
        <f t="shared" si="20"/>
        <v>-1.0465478658718472</v>
      </c>
      <c r="CB23">
        <f t="shared" si="21"/>
        <v>2.1651912391283652</v>
      </c>
      <c r="CC23">
        <f t="shared" si="22"/>
        <v>3.1469313869595061</v>
      </c>
      <c r="CD23">
        <f t="shared" si="23"/>
        <v>2.590570739389741</v>
      </c>
      <c r="CE23">
        <f t="shared" si="24"/>
        <v>0.29837248545625938</v>
      </c>
      <c r="CF23">
        <f t="shared" si="25"/>
        <v>0.29837248545625938</v>
      </c>
      <c r="CJ23" t="str">
        <f t="shared" si="26"/>
        <v>Cluster 4</v>
      </c>
      <c r="CK23" t="str">
        <f t="shared" si="33"/>
        <v>A Super Bowl</v>
      </c>
      <c r="CL23" t="str">
        <f t="shared" si="27"/>
        <v>Super Bowl A</v>
      </c>
      <c r="CM23" t="str">
        <f t="shared" si="34"/>
        <v>Diff</v>
      </c>
    </row>
    <row r="24" spans="2:91">
      <c r="B24" s="18" t="s">
        <v>68</v>
      </c>
      <c r="C24" s="5">
        <v>3.75</v>
      </c>
      <c r="D24" s="19" t="s">
        <v>119</v>
      </c>
      <c r="E24" s="19" t="s">
        <v>121</v>
      </c>
      <c r="H24">
        <v>17</v>
      </c>
      <c r="I24">
        <v>1</v>
      </c>
      <c r="J24">
        <v>2</v>
      </c>
      <c r="K24">
        <v>4</v>
      </c>
      <c r="L24">
        <v>7</v>
      </c>
      <c r="M24">
        <v>10</v>
      </c>
      <c r="N24">
        <v>3</v>
      </c>
      <c r="O24">
        <v>6</v>
      </c>
      <c r="P24">
        <v>9</v>
      </c>
      <c r="Q24">
        <v>13</v>
      </c>
      <c r="R24">
        <v>16</v>
      </c>
      <c r="S24">
        <v>5</v>
      </c>
      <c r="T24">
        <v>8</v>
      </c>
      <c r="U24">
        <v>12</v>
      </c>
      <c r="V24">
        <v>15</v>
      </c>
      <c r="W24">
        <v>18</v>
      </c>
      <c r="X24">
        <v>11</v>
      </c>
      <c r="Y24">
        <v>14</v>
      </c>
      <c r="Z24">
        <v>17</v>
      </c>
      <c r="AA24">
        <v>19</v>
      </c>
      <c r="AB24">
        <v>20</v>
      </c>
      <c r="AD24">
        <f t="shared" ref="AD24:AH24" si="77">SUMIFS($I24:$AB24,$I$2:$AB$2,AD$7)</f>
        <v>20</v>
      </c>
      <c r="AE24">
        <f t="shared" si="77"/>
        <v>30</v>
      </c>
      <c r="AF24">
        <f t="shared" si="77"/>
        <v>42</v>
      </c>
      <c r="AG24">
        <f t="shared" si="77"/>
        <v>54</v>
      </c>
      <c r="AH24">
        <f t="shared" si="77"/>
        <v>64</v>
      </c>
      <c r="AI24">
        <f t="shared" si="5"/>
        <v>71</v>
      </c>
      <c r="AJ24">
        <f t="shared" si="5"/>
        <v>139</v>
      </c>
      <c r="AK24">
        <f t="shared" si="6"/>
        <v>128</v>
      </c>
      <c r="AL24">
        <f t="shared" si="6"/>
        <v>82</v>
      </c>
      <c r="AN24" s="67">
        <f t="shared" ref="AN24:AV24" si="78">((AD24-MIN($AD24:$AL24))/(MAX($AD24:$AL24)-MIN($AD24:$AL24)))</f>
        <v>0</v>
      </c>
      <c r="AO24" s="67">
        <f t="shared" si="78"/>
        <v>8.4033613445378158E-2</v>
      </c>
      <c r="AP24" s="67">
        <f t="shared" si="78"/>
        <v>0.18487394957983194</v>
      </c>
      <c r="AQ24" s="67">
        <f t="shared" si="78"/>
        <v>0.2857142857142857</v>
      </c>
      <c r="AR24" s="67">
        <f t="shared" si="78"/>
        <v>0.36974789915966388</v>
      </c>
      <c r="AS24" s="67">
        <f t="shared" si="78"/>
        <v>0.42857142857142855</v>
      </c>
      <c r="AT24" s="67">
        <f t="shared" si="78"/>
        <v>1</v>
      </c>
      <c r="AU24" s="67">
        <f t="shared" si="78"/>
        <v>0.90756302521008403</v>
      </c>
      <c r="AV24" s="67">
        <f t="shared" si="78"/>
        <v>0.52100840336134457</v>
      </c>
      <c r="AX24">
        <f t="shared" si="8"/>
        <v>0.36974789915966388</v>
      </c>
      <c r="AY24">
        <f t="shared" si="9"/>
        <v>0.5714285714285714</v>
      </c>
      <c r="AZ24">
        <f t="shared" si="10"/>
        <v>0.38655462184873945</v>
      </c>
      <c r="BB24">
        <f t="shared" ref="BB24:BD24" si="79">AX24/SUM($AX24:$AZ24)</f>
        <v>0.27848101265822789</v>
      </c>
      <c r="BC24">
        <f t="shared" si="79"/>
        <v>0.43037974683544306</v>
      </c>
      <c r="BD24">
        <f t="shared" si="79"/>
        <v>0.29113924050632911</v>
      </c>
      <c r="BF24" t="str">
        <f t="shared" si="12"/>
        <v xml:space="preserve">Brand </v>
      </c>
      <c r="BG24" t="str">
        <f t="shared" si="13"/>
        <v>Super Bowl</v>
      </c>
      <c r="BI24">
        <f t="shared" si="14"/>
        <v>3.5</v>
      </c>
      <c r="BJ24" t="str">
        <f t="shared" si="15"/>
        <v>Super Bowl</v>
      </c>
      <c r="BK24" t="str">
        <f t="shared" si="16"/>
        <v>A</v>
      </c>
      <c r="BS24">
        <f t="shared" si="17"/>
        <v>0.36974789915966388</v>
      </c>
      <c r="BT24">
        <f t="shared" si="31"/>
        <v>-0.5714285714285714</v>
      </c>
      <c r="BU24">
        <f t="shared" si="18"/>
        <v>-0.38655462184873945</v>
      </c>
      <c r="BW24">
        <f t="shared" si="32"/>
        <v>-0.29438105456653607</v>
      </c>
      <c r="BX24">
        <f t="shared" si="19"/>
        <v>-1.2415041050711628</v>
      </c>
      <c r="BY24">
        <f t="shared" si="20"/>
        <v>-0.83350072328394098</v>
      </c>
      <c r="CB24">
        <f t="shared" si="21"/>
        <v>1.9701867330341092</v>
      </c>
      <c r="CC24">
        <f t="shared" si="22"/>
        <v>2.6867152799916112</v>
      </c>
      <c r="CD24">
        <f t="shared" si="23"/>
        <v>2.4414332584832024</v>
      </c>
      <c r="CE24">
        <f t="shared" si="24"/>
        <v>0.28650203300308619</v>
      </c>
      <c r="CF24">
        <f t="shared" si="25"/>
        <v>0.28650203300308619</v>
      </c>
      <c r="CJ24" t="str">
        <f t="shared" si="26"/>
        <v>Cluster 4</v>
      </c>
      <c r="CK24" t="str">
        <f t="shared" si="33"/>
        <v>A Super Bowl</v>
      </c>
      <c r="CL24" t="str">
        <f t="shared" si="27"/>
        <v>Super Bowl A</v>
      </c>
      <c r="CM24" t="str">
        <f t="shared" si="34"/>
        <v>Diff</v>
      </c>
    </row>
    <row r="25" spans="2:91">
      <c r="B25" s="18" t="s">
        <v>69</v>
      </c>
      <c r="C25" s="5">
        <v>4</v>
      </c>
      <c r="D25" s="19" t="s">
        <v>119</v>
      </c>
      <c r="E25" s="19" t="s">
        <v>121</v>
      </c>
      <c r="H25">
        <v>18</v>
      </c>
      <c r="I25">
        <v>6</v>
      </c>
      <c r="J25">
        <v>9</v>
      </c>
      <c r="K25">
        <v>13</v>
      </c>
      <c r="L25">
        <v>16</v>
      </c>
      <c r="M25">
        <v>18</v>
      </c>
      <c r="N25">
        <v>11</v>
      </c>
      <c r="O25">
        <v>14</v>
      </c>
      <c r="P25">
        <v>17</v>
      </c>
      <c r="Q25">
        <v>19</v>
      </c>
      <c r="R25">
        <v>20</v>
      </c>
      <c r="S25">
        <v>1</v>
      </c>
      <c r="T25">
        <v>2</v>
      </c>
      <c r="U25">
        <v>4</v>
      </c>
      <c r="V25">
        <v>7</v>
      </c>
      <c r="W25">
        <v>10</v>
      </c>
      <c r="X25">
        <v>3</v>
      </c>
      <c r="Y25">
        <v>5</v>
      </c>
      <c r="Z25">
        <v>8</v>
      </c>
      <c r="AA25">
        <v>12</v>
      </c>
      <c r="AB25">
        <v>15</v>
      </c>
      <c r="AD25">
        <f t="shared" ref="AD25:AH25" si="80">SUMIFS($I25:$AB25,$I$2:$AB$2,AD$7)</f>
        <v>21</v>
      </c>
      <c r="AE25">
        <f t="shared" si="80"/>
        <v>30</v>
      </c>
      <c r="AF25">
        <f t="shared" si="80"/>
        <v>42</v>
      </c>
      <c r="AG25">
        <f t="shared" si="80"/>
        <v>54</v>
      </c>
      <c r="AH25">
        <f t="shared" si="80"/>
        <v>63</v>
      </c>
      <c r="AI25">
        <f t="shared" si="5"/>
        <v>143</v>
      </c>
      <c r="AJ25">
        <f t="shared" si="5"/>
        <v>67</v>
      </c>
      <c r="AK25">
        <f t="shared" si="6"/>
        <v>124</v>
      </c>
      <c r="AL25">
        <f t="shared" si="6"/>
        <v>86</v>
      </c>
      <c r="AN25" s="67">
        <f t="shared" ref="AN25:AV25" si="81">((AD25-MIN($AD25:$AL25))/(MAX($AD25:$AL25)-MIN($AD25:$AL25)))</f>
        <v>0</v>
      </c>
      <c r="AO25" s="67">
        <f t="shared" si="81"/>
        <v>7.3770491803278687E-2</v>
      </c>
      <c r="AP25" s="67">
        <f t="shared" si="81"/>
        <v>0.1721311475409836</v>
      </c>
      <c r="AQ25" s="67">
        <f t="shared" si="81"/>
        <v>0.27049180327868855</v>
      </c>
      <c r="AR25" s="67">
        <f t="shared" si="81"/>
        <v>0.34426229508196721</v>
      </c>
      <c r="AS25" s="67">
        <f t="shared" si="81"/>
        <v>1</v>
      </c>
      <c r="AT25" s="67">
        <f t="shared" si="81"/>
        <v>0.37704918032786883</v>
      </c>
      <c r="AU25" s="67">
        <f t="shared" si="81"/>
        <v>0.84426229508196726</v>
      </c>
      <c r="AV25" s="67">
        <f t="shared" si="81"/>
        <v>0.53278688524590168</v>
      </c>
      <c r="AX25">
        <f t="shared" si="8"/>
        <v>0.34426229508196721</v>
      </c>
      <c r="AY25">
        <f t="shared" si="9"/>
        <v>0.62295081967213117</v>
      </c>
      <c r="AZ25">
        <f t="shared" si="10"/>
        <v>0.31147540983606559</v>
      </c>
      <c r="BB25">
        <f t="shared" ref="BB25:BD25" si="82">AX25/SUM($AX25:$AZ25)</f>
        <v>0.26923076923076922</v>
      </c>
      <c r="BC25">
        <f t="shared" si="82"/>
        <v>0.48717948717948717</v>
      </c>
      <c r="BD25">
        <f t="shared" si="82"/>
        <v>0.24358974358974358</v>
      </c>
      <c r="BF25" t="str">
        <f t="shared" si="12"/>
        <v xml:space="preserve">Brand </v>
      </c>
      <c r="BG25" t="str">
        <f t="shared" si="13"/>
        <v>Tennis</v>
      </c>
      <c r="BI25">
        <f t="shared" si="14"/>
        <v>3.5</v>
      </c>
      <c r="BJ25" t="str">
        <f t="shared" si="15"/>
        <v>Tennis</v>
      </c>
      <c r="BK25" t="str">
        <f t="shared" si="16"/>
        <v>A</v>
      </c>
      <c r="BS25">
        <f t="shared" si="17"/>
        <v>0.34426229508196721</v>
      </c>
      <c r="BT25">
        <f t="shared" si="31"/>
        <v>0.62295081967213117</v>
      </c>
      <c r="BU25">
        <f t="shared" si="18"/>
        <v>-0.31147540983606559</v>
      </c>
      <c r="BW25">
        <f t="shared" si="32"/>
        <v>-0.51888530984994685</v>
      </c>
      <c r="BX25">
        <f t="shared" si="19"/>
        <v>1.370083334468686</v>
      </c>
      <c r="BY25">
        <f t="shared" si="20"/>
        <v>-0.67487955837901092</v>
      </c>
      <c r="CB25">
        <f t="shared" si="21"/>
        <v>3.084117939285512</v>
      </c>
      <c r="CC25">
        <f t="shared" si="22"/>
        <v>2.6826339637733287</v>
      </c>
      <c r="CD25">
        <f t="shared" si="23"/>
        <v>0.60701515592342081</v>
      </c>
      <c r="CE25">
        <f t="shared" si="24"/>
        <v>2.5674891800363939</v>
      </c>
      <c r="CF25">
        <f t="shared" si="25"/>
        <v>0.60701515592342081</v>
      </c>
      <c r="CJ25" t="str">
        <f t="shared" si="26"/>
        <v>Cluster 3</v>
      </c>
      <c r="CK25" t="str">
        <f t="shared" si="33"/>
        <v>Tennis Only</v>
      </c>
      <c r="CL25" t="str">
        <f t="shared" si="27"/>
        <v>Tennis A</v>
      </c>
      <c r="CM25" t="str">
        <f t="shared" si="34"/>
        <v>Diff</v>
      </c>
    </row>
    <row r="26" spans="2:91">
      <c r="B26" s="18" t="s">
        <v>70</v>
      </c>
      <c r="C26" s="5">
        <v>4.25</v>
      </c>
      <c r="D26" s="19" t="s">
        <v>119</v>
      </c>
      <c r="E26" s="19" t="s">
        <v>121</v>
      </c>
      <c r="H26">
        <v>19</v>
      </c>
      <c r="I26">
        <v>3</v>
      </c>
      <c r="J26">
        <v>7</v>
      </c>
      <c r="K26">
        <v>11</v>
      </c>
      <c r="L26">
        <v>15</v>
      </c>
      <c r="M26">
        <v>19</v>
      </c>
      <c r="N26">
        <v>4</v>
      </c>
      <c r="O26">
        <v>8</v>
      </c>
      <c r="P26">
        <v>12</v>
      </c>
      <c r="Q26">
        <v>16</v>
      </c>
      <c r="R26">
        <v>20</v>
      </c>
      <c r="S26">
        <v>1</v>
      </c>
      <c r="T26">
        <v>5</v>
      </c>
      <c r="U26">
        <v>9</v>
      </c>
      <c r="V26">
        <v>13</v>
      </c>
      <c r="W26">
        <v>17</v>
      </c>
      <c r="X26">
        <v>2</v>
      </c>
      <c r="Y26">
        <v>6</v>
      </c>
      <c r="Z26">
        <v>10</v>
      </c>
      <c r="AA26">
        <v>14</v>
      </c>
      <c r="AB26">
        <v>18</v>
      </c>
      <c r="AD26">
        <f t="shared" ref="AD26:AH26" si="83">SUMIFS($I26:$AB26,$I$2:$AB$2,AD$7)</f>
        <v>10</v>
      </c>
      <c r="AE26">
        <f t="shared" si="83"/>
        <v>26</v>
      </c>
      <c r="AF26">
        <f t="shared" si="83"/>
        <v>42</v>
      </c>
      <c r="AG26">
        <f t="shared" si="83"/>
        <v>58</v>
      </c>
      <c r="AH26">
        <f t="shared" si="83"/>
        <v>74</v>
      </c>
      <c r="AI26">
        <f t="shared" si="5"/>
        <v>115</v>
      </c>
      <c r="AJ26">
        <f t="shared" si="5"/>
        <v>95</v>
      </c>
      <c r="AK26">
        <f t="shared" si="6"/>
        <v>110</v>
      </c>
      <c r="AL26">
        <f t="shared" si="6"/>
        <v>100</v>
      </c>
      <c r="AN26" s="67">
        <f t="shared" ref="AN26:AV26" si="84">((AD26-MIN($AD26:$AL26))/(MAX($AD26:$AL26)-MIN($AD26:$AL26)))</f>
        <v>0</v>
      </c>
      <c r="AO26" s="67">
        <f t="shared" si="84"/>
        <v>0.15238095238095239</v>
      </c>
      <c r="AP26" s="67">
        <f t="shared" si="84"/>
        <v>0.30476190476190479</v>
      </c>
      <c r="AQ26" s="67">
        <f t="shared" si="84"/>
        <v>0.45714285714285713</v>
      </c>
      <c r="AR26" s="67">
        <f t="shared" si="84"/>
        <v>0.60952380952380958</v>
      </c>
      <c r="AS26" s="67">
        <f t="shared" si="84"/>
        <v>1</v>
      </c>
      <c r="AT26" s="67">
        <f t="shared" si="84"/>
        <v>0.80952380952380953</v>
      </c>
      <c r="AU26" s="67">
        <f t="shared" si="84"/>
        <v>0.95238095238095233</v>
      </c>
      <c r="AV26" s="67">
        <f t="shared" si="84"/>
        <v>0.8571428571428571</v>
      </c>
      <c r="AX26">
        <f t="shared" si="8"/>
        <v>0.60952380952380958</v>
      </c>
      <c r="AY26">
        <f t="shared" si="9"/>
        <v>0.19047619047619047</v>
      </c>
      <c r="AZ26">
        <f t="shared" si="10"/>
        <v>9.5238095238095233E-2</v>
      </c>
      <c r="BB26">
        <f t="shared" ref="BB26:BD26" si="85">AX26/SUM($AX26:$AZ26)</f>
        <v>0.68085106382978722</v>
      </c>
      <c r="BC26">
        <f t="shared" si="85"/>
        <v>0.21276595744680848</v>
      </c>
      <c r="BD26">
        <f t="shared" si="85"/>
        <v>0.10638297872340424</v>
      </c>
      <c r="BF26" t="str">
        <f t="shared" si="12"/>
        <v>Price</v>
      </c>
      <c r="BG26">
        <f t="shared" si="13"/>
        <v>3.5</v>
      </c>
      <c r="BI26">
        <f t="shared" si="14"/>
        <v>3.5</v>
      </c>
      <c r="BJ26" t="str">
        <f t="shared" si="15"/>
        <v>Tennis</v>
      </c>
      <c r="BK26" t="str">
        <f t="shared" si="16"/>
        <v>A</v>
      </c>
      <c r="BS26">
        <f t="shared" si="17"/>
        <v>0.60952380952380958</v>
      </c>
      <c r="BT26">
        <f t="shared" si="31"/>
        <v>0.19047619047619047</v>
      </c>
      <c r="BU26">
        <f t="shared" si="18"/>
        <v>-9.5238095238095233E-2</v>
      </c>
      <c r="BW26">
        <f t="shared" si="32"/>
        <v>1.8178197010872597</v>
      </c>
      <c r="BX26">
        <f t="shared" si="19"/>
        <v>0.42444971256994318</v>
      </c>
      <c r="BY26">
        <f t="shared" si="20"/>
        <v>-0.21803120025221195</v>
      </c>
      <c r="CB26">
        <f t="shared" si="21"/>
        <v>3.1829295460508495</v>
      </c>
      <c r="CC26">
        <f t="shared" si="22"/>
        <v>0.32315137650282982</v>
      </c>
      <c r="CD26">
        <f t="shared" si="23"/>
        <v>2.3644295228015042</v>
      </c>
      <c r="CE26">
        <f t="shared" si="24"/>
        <v>2.9140733921359261</v>
      </c>
      <c r="CF26">
        <f t="shared" si="25"/>
        <v>0.32315137650282982</v>
      </c>
      <c r="CJ26" t="str">
        <f t="shared" si="26"/>
        <v>Cluster 2</v>
      </c>
      <c r="CK26" t="str">
        <f t="shared" si="33"/>
        <v>Price Only</v>
      </c>
      <c r="CL26" t="str">
        <f t="shared" si="27"/>
        <v>Price Only</v>
      </c>
      <c r="CM26" t="str">
        <f t="shared" si="34"/>
        <v/>
      </c>
    </row>
    <row r="27" spans="2:91">
      <c r="B27" s="18" t="s">
        <v>71</v>
      </c>
      <c r="C27" s="5">
        <v>4.5</v>
      </c>
      <c r="D27" s="19" t="s">
        <v>119</v>
      </c>
      <c r="E27" s="19" t="s">
        <v>121</v>
      </c>
      <c r="H27">
        <v>20</v>
      </c>
      <c r="I27">
        <v>10</v>
      </c>
      <c r="J27">
        <v>14</v>
      </c>
      <c r="K27">
        <v>17</v>
      </c>
      <c r="L27">
        <v>19</v>
      </c>
      <c r="M27">
        <v>20</v>
      </c>
      <c r="N27">
        <v>5</v>
      </c>
      <c r="O27">
        <v>8</v>
      </c>
      <c r="P27">
        <v>12</v>
      </c>
      <c r="Q27">
        <v>15</v>
      </c>
      <c r="R27">
        <v>18</v>
      </c>
      <c r="S27">
        <v>3</v>
      </c>
      <c r="T27">
        <v>6</v>
      </c>
      <c r="U27">
        <v>9</v>
      </c>
      <c r="V27">
        <v>13</v>
      </c>
      <c r="W27">
        <v>16</v>
      </c>
      <c r="X27">
        <v>1</v>
      </c>
      <c r="Y27">
        <v>2</v>
      </c>
      <c r="Z27">
        <v>4</v>
      </c>
      <c r="AA27">
        <v>7</v>
      </c>
      <c r="AB27">
        <v>11</v>
      </c>
      <c r="AD27">
        <f t="shared" ref="AD27:AH27" si="86">SUMIFS($I27:$AB27,$I$2:$AB$2,AD$7)</f>
        <v>19</v>
      </c>
      <c r="AE27">
        <f t="shared" si="86"/>
        <v>30</v>
      </c>
      <c r="AF27">
        <f t="shared" si="86"/>
        <v>42</v>
      </c>
      <c r="AG27">
        <f t="shared" si="86"/>
        <v>54</v>
      </c>
      <c r="AH27">
        <f t="shared" si="86"/>
        <v>65</v>
      </c>
      <c r="AI27">
        <f t="shared" si="5"/>
        <v>138</v>
      </c>
      <c r="AJ27">
        <f t="shared" si="5"/>
        <v>72</v>
      </c>
      <c r="AK27">
        <f t="shared" si="6"/>
        <v>83</v>
      </c>
      <c r="AL27">
        <f t="shared" si="6"/>
        <v>127</v>
      </c>
      <c r="AN27" s="67">
        <f t="shared" ref="AN27:AV27" si="87">((AD27-MIN($AD27:$AL27))/(MAX($AD27:$AL27)-MIN($AD27:$AL27)))</f>
        <v>0</v>
      </c>
      <c r="AO27" s="67">
        <f t="shared" si="87"/>
        <v>9.2436974789915971E-2</v>
      </c>
      <c r="AP27" s="67">
        <f t="shared" si="87"/>
        <v>0.19327731092436976</v>
      </c>
      <c r="AQ27" s="67">
        <f t="shared" si="87"/>
        <v>0.29411764705882354</v>
      </c>
      <c r="AR27" s="67">
        <f t="shared" si="87"/>
        <v>0.38655462184873951</v>
      </c>
      <c r="AS27" s="67">
        <f t="shared" si="87"/>
        <v>1</v>
      </c>
      <c r="AT27" s="67">
        <f t="shared" si="87"/>
        <v>0.44537815126050423</v>
      </c>
      <c r="AU27" s="67">
        <f t="shared" si="87"/>
        <v>0.53781512605042014</v>
      </c>
      <c r="AV27" s="67">
        <f t="shared" si="87"/>
        <v>0.90756302521008403</v>
      </c>
      <c r="AX27">
        <f t="shared" si="8"/>
        <v>0.38655462184873951</v>
      </c>
      <c r="AY27">
        <f t="shared" si="9"/>
        <v>0.55462184873949583</v>
      </c>
      <c r="AZ27">
        <f t="shared" si="10"/>
        <v>0.36974789915966388</v>
      </c>
      <c r="BB27">
        <f t="shared" ref="BB27:BD27" si="88">AX27/SUM($AX27:$AZ27)</f>
        <v>0.29487179487179488</v>
      </c>
      <c r="BC27">
        <f t="shared" si="88"/>
        <v>0.42307692307692307</v>
      </c>
      <c r="BD27">
        <f t="shared" si="88"/>
        <v>0.28205128205128205</v>
      </c>
      <c r="BF27" t="str">
        <f t="shared" si="12"/>
        <v xml:space="preserve">Brand </v>
      </c>
      <c r="BG27" t="str">
        <f t="shared" si="13"/>
        <v>Tennis</v>
      </c>
      <c r="BI27">
        <f t="shared" si="14"/>
        <v>3.5</v>
      </c>
      <c r="BJ27" t="str">
        <f t="shared" si="15"/>
        <v>Tennis</v>
      </c>
      <c r="BK27" t="str">
        <f t="shared" si="16"/>
        <v>B</v>
      </c>
      <c r="BS27">
        <f t="shared" si="17"/>
        <v>0.38655462184873951</v>
      </c>
      <c r="BT27">
        <f t="shared" si="31"/>
        <v>0.55462184873949583</v>
      </c>
      <c r="BU27">
        <f t="shared" si="18"/>
        <v>0.36974789915966388</v>
      </c>
      <c r="BW27">
        <f t="shared" si="32"/>
        <v>-0.14632959973098972</v>
      </c>
      <c r="BX27">
        <f t="shared" si="19"/>
        <v>1.2206776401190014</v>
      </c>
      <c r="BY27">
        <f t="shared" si="20"/>
        <v>0.76435284612535581</v>
      </c>
      <c r="CB27">
        <f t="shared" si="21"/>
        <v>2.4352555749916966</v>
      </c>
      <c r="CC27">
        <f t="shared" si="22"/>
        <v>2.3122758785860817</v>
      </c>
      <c r="CD27">
        <f t="shared" si="23"/>
        <v>0.96084428420025614</v>
      </c>
      <c r="CE27">
        <f t="shared" si="24"/>
        <v>3.0152505445576705</v>
      </c>
      <c r="CF27">
        <f t="shared" si="25"/>
        <v>0.96084428420025614</v>
      </c>
      <c r="CJ27" t="str">
        <f t="shared" si="26"/>
        <v>Cluster 3</v>
      </c>
      <c r="CK27" t="str">
        <f t="shared" si="33"/>
        <v>Tennis Only</v>
      </c>
      <c r="CL27" t="str">
        <f t="shared" si="27"/>
        <v>Tennis B</v>
      </c>
      <c r="CM27" t="str">
        <f t="shared" si="34"/>
        <v>Diff</v>
      </c>
    </row>
    <row r="28" spans="2:91">
      <c r="H28">
        <v>21</v>
      </c>
      <c r="I28">
        <v>5</v>
      </c>
      <c r="J28">
        <v>9</v>
      </c>
      <c r="K28">
        <v>13</v>
      </c>
      <c r="L28">
        <v>16</v>
      </c>
      <c r="M28">
        <v>20</v>
      </c>
      <c r="N28">
        <v>2</v>
      </c>
      <c r="O28">
        <v>6</v>
      </c>
      <c r="P28">
        <v>10</v>
      </c>
      <c r="Q28">
        <v>14</v>
      </c>
      <c r="R28">
        <v>18</v>
      </c>
      <c r="S28">
        <v>3</v>
      </c>
      <c r="T28">
        <v>7</v>
      </c>
      <c r="U28">
        <v>11</v>
      </c>
      <c r="V28">
        <v>15</v>
      </c>
      <c r="W28">
        <v>19</v>
      </c>
      <c r="X28">
        <v>1</v>
      </c>
      <c r="Y28">
        <v>4</v>
      </c>
      <c r="Z28">
        <v>8</v>
      </c>
      <c r="AA28">
        <v>13</v>
      </c>
      <c r="AB28">
        <v>17</v>
      </c>
      <c r="AD28">
        <f t="shared" ref="AD28:AH28" si="89">SUMIFS($I28:$AB28,$I$2:$AB$2,AD$7)</f>
        <v>11</v>
      </c>
      <c r="AE28">
        <f t="shared" si="89"/>
        <v>26</v>
      </c>
      <c r="AF28">
        <f t="shared" si="89"/>
        <v>42</v>
      </c>
      <c r="AG28">
        <f t="shared" si="89"/>
        <v>58</v>
      </c>
      <c r="AH28">
        <f t="shared" si="89"/>
        <v>74</v>
      </c>
      <c r="AI28">
        <f t="shared" ref="AI28:AJ47" si="90">SUMIFS($I28:$AB28,$I$3:$AB$3,AI$7)</f>
        <v>113</v>
      </c>
      <c r="AJ28">
        <f t="shared" si="90"/>
        <v>98</v>
      </c>
      <c r="AK28">
        <f t="shared" ref="AK28:AL47" si="91">SUMIFS($I28:$AB28,$I$4:$AB$4,AK$7)</f>
        <v>93</v>
      </c>
      <c r="AL28">
        <f t="shared" si="91"/>
        <v>118</v>
      </c>
      <c r="AN28" s="67">
        <f t="shared" ref="AN28:AV28" si="92">((AD28-MIN($AD28:$AL28))/(MAX($AD28:$AL28)-MIN($AD28:$AL28)))</f>
        <v>0</v>
      </c>
      <c r="AO28" s="67">
        <f t="shared" si="92"/>
        <v>0.14018691588785046</v>
      </c>
      <c r="AP28" s="67">
        <f t="shared" si="92"/>
        <v>0.28971962616822428</v>
      </c>
      <c r="AQ28" s="67">
        <f t="shared" si="92"/>
        <v>0.43925233644859812</v>
      </c>
      <c r="AR28" s="67">
        <f t="shared" si="92"/>
        <v>0.58878504672897192</v>
      </c>
      <c r="AS28" s="67">
        <f t="shared" si="92"/>
        <v>0.95327102803738317</v>
      </c>
      <c r="AT28" s="67">
        <f t="shared" si="92"/>
        <v>0.81308411214953269</v>
      </c>
      <c r="AU28" s="67">
        <f t="shared" si="92"/>
        <v>0.76635514018691586</v>
      </c>
      <c r="AV28" s="67">
        <f t="shared" si="92"/>
        <v>1</v>
      </c>
      <c r="AX28">
        <f t="shared" si="8"/>
        <v>0.58878504672897192</v>
      </c>
      <c r="AY28">
        <f t="shared" si="9"/>
        <v>0.14018691588785048</v>
      </c>
      <c r="AZ28">
        <f t="shared" si="10"/>
        <v>0.23364485981308414</v>
      </c>
      <c r="BB28">
        <f t="shared" ref="BB28:BD28" si="93">AX28/SUM($AX28:$AZ28)</f>
        <v>0.61165048543689315</v>
      </c>
      <c r="BC28">
        <f t="shared" si="93"/>
        <v>0.14563106796116507</v>
      </c>
      <c r="BD28">
        <f t="shared" si="93"/>
        <v>0.24271844660194178</v>
      </c>
      <c r="BF28" t="str">
        <f t="shared" si="12"/>
        <v>Price</v>
      </c>
      <c r="BG28">
        <f t="shared" si="13"/>
        <v>3.5</v>
      </c>
      <c r="BI28">
        <f t="shared" si="14"/>
        <v>3.5</v>
      </c>
      <c r="BJ28" t="str">
        <f t="shared" si="15"/>
        <v>Tennis</v>
      </c>
      <c r="BK28" t="str">
        <f t="shared" si="16"/>
        <v>B</v>
      </c>
      <c r="BS28">
        <f t="shared" si="17"/>
        <v>0.58878504672897192</v>
      </c>
      <c r="BT28">
        <f t="shared" si="31"/>
        <v>0.14018691588785048</v>
      </c>
      <c r="BU28">
        <f t="shared" si="18"/>
        <v>0.23364485981308414</v>
      </c>
      <c r="BW28">
        <f t="shared" si="32"/>
        <v>1.6351306628929911</v>
      </c>
      <c r="BX28">
        <f t="shared" si="19"/>
        <v>0.31448897577470669</v>
      </c>
      <c r="BY28">
        <f t="shared" si="20"/>
        <v>0.4768055734580337</v>
      </c>
      <c r="CB28">
        <f t="shared" si="21"/>
        <v>2.7536953825542918</v>
      </c>
      <c r="CC28">
        <f t="shared" si="22"/>
        <v>0.49252623030215537</v>
      </c>
      <c r="CD28">
        <f t="shared" si="23"/>
        <v>2.308252432896845</v>
      </c>
      <c r="CE28">
        <f t="shared" si="24"/>
        <v>2.9959931028462679</v>
      </c>
      <c r="CF28">
        <f t="shared" si="25"/>
        <v>0.49252623030215537</v>
      </c>
      <c r="CJ28" t="str">
        <f t="shared" si="26"/>
        <v>Cluster 2</v>
      </c>
      <c r="CK28" t="str">
        <f t="shared" si="33"/>
        <v>Price Only</v>
      </c>
      <c r="CL28" t="str">
        <f t="shared" si="27"/>
        <v>Price Only</v>
      </c>
      <c r="CM28" t="str">
        <f t="shared" si="34"/>
        <v/>
      </c>
    </row>
    <row r="29" spans="2:91">
      <c r="B29" t="s">
        <v>78</v>
      </c>
      <c r="C29" s="5" t="s">
        <v>79</v>
      </c>
      <c r="D29" t="s">
        <v>80</v>
      </c>
      <c r="E29" t="s">
        <v>81</v>
      </c>
      <c r="H29">
        <v>22</v>
      </c>
      <c r="I29">
        <v>3</v>
      </c>
      <c r="J29">
        <v>6</v>
      </c>
      <c r="K29">
        <v>9</v>
      </c>
      <c r="L29">
        <v>13</v>
      </c>
      <c r="M29">
        <v>16</v>
      </c>
      <c r="N29">
        <v>11</v>
      </c>
      <c r="O29">
        <v>14</v>
      </c>
      <c r="P29">
        <v>17</v>
      </c>
      <c r="Q29">
        <v>19</v>
      </c>
      <c r="R29">
        <v>20</v>
      </c>
      <c r="S29">
        <v>1</v>
      </c>
      <c r="T29">
        <v>2</v>
      </c>
      <c r="U29">
        <v>4</v>
      </c>
      <c r="V29">
        <v>7</v>
      </c>
      <c r="W29">
        <v>10</v>
      </c>
      <c r="X29">
        <v>5</v>
      </c>
      <c r="Y29">
        <v>8</v>
      </c>
      <c r="Z29">
        <v>12</v>
      </c>
      <c r="AA29">
        <v>15</v>
      </c>
      <c r="AB29">
        <v>18</v>
      </c>
      <c r="AD29">
        <f t="shared" ref="AD29:AH29" si="94">SUMIFS($I29:$AB29,$I$2:$AB$2,AD$7)</f>
        <v>20</v>
      </c>
      <c r="AE29">
        <f t="shared" si="94"/>
        <v>30</v>
      </c>
      <c r="AF29">
        <f t="shared" si="94"/>
        <v>42</v>
      </c>
      <c r="AG29">
        <f t="shared" si="94"/>
        <v>54</v>
      </c>
      <c r="AH29">
        <f t="shared" si="94"/>
        <v>64</v>
      </c>
      <c r="AI29">
        <f t="shared" si="90"/>
        <v>128</v>
      </c>
      <c r="AJ29">
        <f t="shared" si="90"/>
        <v>82</v>
      </c>
      <c r="AK29">
        <f t="shared" si="91"/>
        <v>139</v>
      </c>
      <c r="AL29">
        <f t="shared" si="91"/>
        <v>71</v>
      </c>
      <c r="AN29" s="67">
        <f t="shared" ref="AN29:AV29" si="95">((AD29-MIN($AD29:$AL29))/(MAX($AD29:$AL29)-MIN($AD29:$AL29)))</f>
        <v>0</v>
      </c>
      <c r="AO29" s="67">
        <f t="shared" si="95"/>
        <v>8.4033613445378158E-2</v>
      </c>
      <c r="AP29" s="67">
        <f t="shared" si="95"/>
        <v>0.18487394957983194</v>
      </c>
      <c r="AQ29" s="67">
        <f t="shared" si="95"/>
        <v>0.2857142857142857</v>
      </c>
      <c r="AR29" s="67">
        <f t="shared" si="95"/>
        <v>0.36974789915966388</v>
      </c>
      <c r="AS29" s="67">
        <f t="shared" si="95"/>
        <v>0.90756302521008403</v>
      </c>
      <c r="AT29" s="67">
        <f t="shared" si="95"/>
        <v>0.52100840336134457</v>
      </c>
      <c r="AU29" s="67">
        <f t="shared" si="95"/>
        <v>1</v>
      </c>
      <c r="AV29" s="67">
        <f t="shared" si="95"/>
        <v>0.42857142857142855</v>
      </c>
      <c r="AX29">
        <f t="shared" si="8"/>
        <v>0.36974789915966388</v>
      </c>
      <c r="AY29">
        <f t="shared" si="9"/>
        <v>0.38655462184873945</v>
      </c>
      <c r="AZ29">
        <f t="shared" si="10"/>
        <v>0.5714285714285714</v>
      </c>
      <c r="BB29">
        <f t="shared" ref="BB29:BD29" si="96">AX29/SUM($AX29:$AZ29)</f>
        <v>0.27848101265822789</v>
      </c>
      <c r="BC29">
        <f t="shared" si="96"/>
        <v>0.29113924050632911</v>
      </c>
      <c r="BD29">
        <f t="shared" si="96"/>
        <v>0.43037974683544306</v>
      </c>
      <c r="BF29" t="str">
        <f t="shared" si="12"/>
        <v>Sugar</v>
      </c>
      <c r="BG29" t="str">
        <f t="shared" si="13"/>
        <v>A</v>
      </c>
      <c r="BI29">
        <f t="shared" si="14"/>
        <v>3.5</v>
      </c>
      <c r="BJ29" t="str">
        <f t="shared" si="15"/>
        <v>Tennis</v>
      </c>
      <c r="BK29" t="str">
        <f t="shared" si="16"/>
        <v>A</v>
      </c>
      <c r="BS29">
        <f t="shared" si="17"/>
        <v>0.36974789915966388</v>
      </c>
      <c r="BT29">
        <f t="shared" si="31"/>
        <v>0.38655462184873945</v>
      </c>
      <c r="BU29">
        <f t="shared" si="18"/>
        <v>-0.5714285714285714</v>
      </c>
      <c r="BW29">
        <f t="shared" si="32"/>
        <v>-0.29438105456653607</v>
      </c>
      <c r="BX29">
        <f t="shared" si="19"/>
        <v>0.8531878274040513</v>
      </c>
      <c r="BY29">
        <f t="shared" si="20"/>
        <v>-1.2240871513617693</v>
      </c>
      <c r="CB29">
        <f t="shared" si="21"/>
        <v>3.0874696027743229</v>
      </c>
      <c r="CC29">
        <f t="shared" si="22"/>
        <v>2.5187854591284573</v>
      </c>
      <c r="CD29">
        <f t="shared" si="23"/>
        <v>1.122195709261673</v>
      </c>
      <c r="CE29">
        <f t="shared" si="24"/>
        <v>2.0402307200829508</v>
      </c>
      <c r="CF29">
        <f t="shared" si="25"/>
        <v>1.122195709261673</v>
      </c>
      <c r="CJ29" t="str">
        <f t="shared" si="26"/>
        <v>Cluster 3</v>
      </c>
      <c r="CK29" t="str">
        <f t="shared" si="33"/>
        <v>Tennis Only</v>
      </c>
      <c r="CL29" t="str">
        <f t="shared" si="27"/>
        <v>Tennis A</v>
      </c>
      <c r="CM29" t="str">
        <f t="shared" si="34"/>
        <v>Diff</v>
      </c>
    </row>
    <row r="30" spans="2:91">
      <c r="B30" s="55">
        <v>3.5</v>
      </c>
      <c r="C30" s="56"/>
      <c r="D30" s="57"/>
      <c r="E30" s="58"/>
      <c r="H30">
        <v>23</v>
      </c>
      <c r="I30">
        <v>4</v>
      </c>
      <c r="J30">
        <v>8</v>
      </c>
      <c r="K30">
        <v>12</v>
      </c>
      <c r="L30">
        <v>16</v>
      </c>
      <c r="M30">
        <v>20</v>
      </c>
      <c r="N30">
        <v>2</v>
      </c>
      <c r="O30">
        <v>6</v>
      </c>
      <c r="P30">
        <v>10</v>
      </c>
      <c r="Q30">
        <v>14</v>
      </c>
      <c r="R30">
        <v>18</v>
      </c>
      <c r="S30">
        <v>4</v>
      </c>
      <c r="T30">
        <v>8</v>
      </c>
      <c r="U30">
        <v>12</v>
      </c>
      <c r="V30">
        <v>16</v>
      </c>
      <c r="W30">
        <v>20</v>
      </c>
      <c r="X30">
        <v>2</v>
      </c>
      <c r="Y30">
        <v>6</v>
      </c>
      <c r="Z30">
        <v>10</v>
      </c>
      <c r="AA30">
        <v>14</v>
      </c>
      <c r="AB30">
        <v>18</v>
      </c>
      <c r="AD30">
        <f t="shared" ref="AD30:AH30" si="97">SUMIFS($I30:$AB30,$I$2:$AB$2,AD$7)</f>
        <v>12</v>
      </c>
      <c r="AE30">
        <f t="shared" si="97"/>
        <v>28</v>
      </c>
      <c r="AF30">
        <f t="shared" si="97"/>
        <v>44</v>
      </c>
      <c r="AG30">
        <f t="shared" si="97"/>
        <v>60</v>
      </c>
      <c r="AH30">
        <f t="shared" si="97"/>
        <v>76</v>
      </c>
      <c r="AI30">
        <f t="shared" si="90"/>
        <v>110</v>
      </c>
      <c r="AJ30">
        <f t="shared" si="90"/>
        <v>110</v>
      </c>
      <c r="AK30">
        <f t="shared" si="91"/>
        <v>100</v>
      </c>
      <c r="AL30">
        <f t="shared" si="91"/>
        <v>120</v>
      </c>
      <c r="AN30" s="67">
        <f t="shared" ref="AN30:AV30" si="98">((AD30-MIN($AD30:$AL30))/(MAX($AD30:$AL30)-MIN($AD30:$AL30)))</f>
        <v>0</v>
      </c>
      <c r="AO30" s="67">
        <f t="shared" si="98"/>
        <v>0.14814814814814814</v>
      </c>
      <c r="AP30" s="67">
        <f t="shared" si="98"/>
        <v>0.29629629629629628</v>
      </c>
      <c r="AQ30" s="67">
        <f t="shared" si="98"/>
        <v>0.44444444444444442</v>
      </c>
      <c r="AR30" s="67">
        <f t="shared" si="98"/>
        <v>0.59259259259259256</v>
      </c>
      <c r="AS30" s="67">
        <f t="shared" si="98"/>
        <v>0.90740740740740744</v>
      </c>
      <c r="AT30" s="67">
        <f t="shared" si="98"/>
        <v>0.90740740740740744</v>
      </c>
      <c r="AU30" s="67">
        <f t="shared" si="98"/>
        <v>0.81481481481481477</v>
      </c>
      <c r="AV30" s="67">
        <f t="shared" si="98"/>
        <v>1</v>
      </c>
      <c r="AX30">
        <f t="shared" si="8"/>
        <v>0.59259259259259256</v>
      </c>
      <c r="AY30">
        <f t="shared" si="9"/>
        <v>0</v>
      </c>
      <c r="AZ30">
        <f t="shared" si="10"/>
        <v>0.18518518518518523</v>
      </c>
      <c r="BB30">
        <f t="shared" ref="BB30:BD30" si="99">AX30/SUM($AX30:$AZ30)</f>
        <v>0.76190476190476186</v>
      </c>
      <c r="BC30">
        <f t="shared" si="99"/>
        <v>0</v>
      </c>
      <c r="BD30">
        <f t="shared" si="99"/>
        <v>0.23809523809523814</v>
      </c>
      <c r="BF30" t="str">
        <f t="shared" si="12"/>
        <v>Price</v>
      </c>
      <c r="BG30">
        <f t="shared" si="13"/>
        <v>3.5</v>
      </c>
      <c r="BI30">
        <f t="shared" si="14"/>
        <v>3.5</v>
      </c>
      <c r="BJ30" t="str">
        <f t="shared" si="15"/>
        <v>Super Bowl</v>
      </c>
      <c r="BK30" t="str">
        <f t="shared" si="16"/>
        <v>B</v>
      </c>
      <c r="BS30">
        <f t="shared" si="17"/>
        <v>0.59259259259259256</v>
      </c>
      <c r="BT30">
        <f t="shared" si="31"/>
        <v>0</v>
      </c>
      <c r="BU30">
        <f t="shared" si="18"/>
        <v>0.18518518518518523</v>
      </c>
      <c r="BW30">
        <f t="shared" si="32"/>
        <v>1.6686715688084861</v>
      </c>
      <c r="BX30">
        <f t="shared" si="19"/>
        <v>7.9612581596666537E-3</v>
      </c>
      <c r="BY30">
        <f t="shared" si="20"/>
        <v>0.37442397095674962</v>
      </c>
      <c r="CB30">
        <f t="shared" si="21"/>
        <v>2.6597154446170674</v>
      </c>
      <c r="CC30">
        <f t="shared" si="22"/>
        <v>0.42523195188784468</v>
      </c>
      <c r="CD30">
        <f t="shared" si="23"/>
        <v>2.4341632144026661</v>
      </c>
      <c r="CE30">
        <f t="shared" si="24"/>
        <v>2.8287352832219286</v>
      </c>
      <c r="CF30">
        <f t="shared" si="25"/>
        <v>0.42523195188784468</v>
      </c>
      <c r="CJ30" t="str">
        <f t="shared" si="26"/>
        <v>Cluster 2</v>
      </c>
      <c r="CK30" t="str">
        <f t="shared" si="33"/>
        <v>Price Only</v>
      </c>
      <c r="CL30" t="str">
        <f t="shared" si="27"/>
        <v>Price Only</v>
      </c>
      <c r="CM30" t="str">
        <f t="shared" si="34"/>
        <v/>
      </c>
    </row>
    <row r="31" spans="2:91">
      <c r="B31" s="59">
        <v>3.75</v>
      </c>
      <c r="E31" s="60"/>
      <c r="H31">
        <v>24</v>
      </c>
      <c r="I31">
        <v>1</v>
      </c>
      <c r="J31">
        <v>2</v>
      </c>
      <c r="K31">
        <v>4</v>
      </c>
      <c r="L31">
        <v>7</v>
      </c>
      <c r="M31">
        <v>10</v>
      </c>
      <c r="N31">
        <v>3</v>
      </c>
      <c r="O31">
        <v>6</v>
      </c>
      <c r="P31">
        <v>9</v>
      </c>
      <c r="Q31">
        <v>13</v>
      </c>
      <c r="R31">
        <v>16</v>
      </c>
      <c r="S31">
        <v>5</v>
      </c>
      <c r="T31">
        <v>8</v>
      </c>
      <c r="U31">
        <v>12</v>
      </c>
      <c r="V31">
        <v>15</v>
      </c>
      <c r="W31">
        <v>18</v>
      </c>
      <c r="X31">
        <v>11</v>
      </c>
      <c r="Y31">
        <v>14</v>
      </c>
      <c r="Z31">
        <v>17</v>
      </c>
      <c r="AA31">
        <v>19</v>
      </c>
      <c r="AB31">
        <v>20</v>
      </c>
      <c r="AD31">
        <f t="shared" ref="AD31:AH31" si="100">SUMIFS($I31:$AB31,$I$2:$AB$2,AD$7)</f>
        <v>20</v>
      </c>
      <c r="AE31">
        <f t="shared" si="100"/>
        <v>30</v>
      </c>
      <c r="AF31">
        <f t="shared" si="100"/>
        <v>42</v>
      </c>
      <c r="AG31">
        <f t="shared" si="100"/>
        <v>54</v>
      </c>
      <c r="AH31">
        <f t="shared" si="100"/>
        <v>64</v>
      </c>
      <c r="AI31">
        <f t="shared" si="90"/>
        <v>71</v>
      </c>
      <c r="AJ31">
        <f t="shared" si="90"/>
        <v>139</v>
      </c>
      <c r="AK31">
        <f t="shared" si="91"/>
        <v>128</v>
      </c>
      <c r="AL31">
        <f t="shared" si="91"/>
        <v>82</v>
      </c>
      <c r="AN31" s="67">
        <f t="shared" ref="AN31:AV31" si="101">((AD31-MIN($AD31:$AL31))/(MAX($AD31:$AL31)-MIN($AD31:$AL31)))</f>
        <v>0</v>
      </c>
      <c r="AO31" s="67">
        <f t="shared" si="101"/>
        <v>8.4033613445378158E-2</v>
      </c>
      <c r="AP31" s="67">
        <f t="shared" si="101"/>
        <v>0.18487394957983194</v>
      </c>
      <c r="AQ31" s="67">
        <f t="shared" si="101"/>
        <v>0.2857142857142857</v>
      </c>
      <c r="AR31" s="67">
        <f t="shared" si="101"/>
        <v>0.36974789915966388</v>
      </c>
      <c r="AS31" s="67">
        <f t="shared" si="101"/>
        <v>0.42857142857142855</v>
      </c>
      <c r="AT31" s="67">
        <f t="shared" si="101"/>
        <v>1</v>
      </c>
      <c r="AU31" s="67">
        <f t="shared" si="101"/>
        <v>0.90756302521008403</v>
      </c>
      <c r="AV31" s="67">
        <f t="shared" si="101"/>
        <v>0.52100840336134457</v>
      </c>
      <c r="AX31">
        <f t="shared" si="8"/>
        <v>0.36974789915966388</v>
      </c>
      <c r="AY31">
        <f t="shared" si="9"/>
        <v>0.5714285714285714</v>
      </c>
      <c r="AZ31">
        <f t="shared" si="10"/>
        <v>0.38655462184873945</v>
      </c>
      <c r="BB31">
        <f t="shared" ref="BB31:BD31" si="102">AX31/SUM($AX31:$AZ31)</f>
        <v>0.27848101265822789</v>
      </c>
      <c r="BC31">
        <f t="shared" si="102"/>
        <v>0.43037974683544306</v>
      </c>
      <c r="BD31">
        <f t="shared" si="102"/>
        <v>0.29113924050632911</v>
      </c>
      <c r="BF31" t="str">
        <f t="shared" si="12"/>
        <v xml:space="preserve">Brand </v>
      </c>
      <c r="BG31" t="str">
        <f t="shared" si="13"/>
        <v>Super Bowl</v>
      </c>
      <c r="BI31">
        <f t="shared" si="14"/>
        <v>3.5</v>
      </c>
      <c r="BJ31" t="str">
        <f t="shared" si="15"/>
        <v>Super Bowl</v>
      </c>
      <c r="BK31" t="str">
        <f t="shared" si="16"/>
        <v>A</v>
      </c>
      <c r="BS31">
        <f t="shared" si="17"/>
        <v>0.36974789915966388</v>
      </c>
      <c r="BT31">
        <f t="shared" si="31"/>
        <v>-0.5714285714285714</v>
      </c>
      <c r="BU31">
        <f t="shared" si="18"/>
        <v>-0.38655462184873945</v>
      </c>
      <c r="BW31">
        <f t="shared" si="32"/>
        <v>-0.29438105456653607</v>
      </c>
      <c r="BX31">
        <f t="shared" si="19"/>
        <v>-1.2415041050711628</v>
      </c>
      <c r="BY31">
        <f t="shared" si="20"/>
        <v>-0.83350072328394098</v>
      </c>
      <c r="CB31">
        <f t="shared" si="21"/>
        <v>1.9701867330341092</v>
      </c>
      <c r="CC31">
        <f t="shared" si="22"/>
        <v>2.6867152799916112</v>
      </c>
      <c r="CD31">
        <f t="shared" si="23"/>
        <v>2.4414332584832024</v>
      </c>
      <c r="CE31">
        <f t="shared" si="24"/>
        <v>0.28650203300308619</v>
      </c>
      <c r="CF31">
        <f t="shared" si="25"/>
        <v>0.28650203300308619</v>
      </c>
      <c r="CJ31" t="str">
        <f t="shared" si="26"/>
        <v>Cluster 4</v>
      </c>
      <c r="CK31" t="str">
        <f t="shared" si="33"/>
        <v>A Super Bowl</v>
      </c>
      <c r="CL31" t="str">
        <f t="shared" si="27"/>
        <v>Super Bowl A</v>
      </c>
      <c r="CM31" t="str">
        <f t="shared" si="34"/>
        <v>Diff</v>
      </c>
    </row>
    <row r="32" spans="2:91">
      <c r="B32" s="59">
        <v>4</v>
      </c>
      <c r="E32" s="60"/>
      <c r="H32">
        <v>25</v>
      </c>
      <c r="I32">
        <v>13</v>
      </c>
      <c r="J32">
        <v>16</v>
      </c>
      <c r="K32">
        <v>18</v>
      </c>
      <c r="L32">
        <v>19</v>
      </c>
      <c r="M32">
        <v>20</v>
      </c>
      <c r="N32">
        <v>4</v>
      </c>
      <c r="O32">
        <v>7</v>
      </c>
      <c r="P32">
        <v>10</v>
      </c>
      <c r="Q32">
        <v>13</v>
      </c>
      <c r="R32">
        <v>16</v>
      </c>
      <c r="S32">
        <v>6</v>
      </c>
      <c r="T32">
        <v>9</v>
      </c>
      <c r="U32">
        <v>11</v>
      </c>
      <c r="V32">
        <v>14</v>
      </c>
      <c r="W32">
        <v>17</v>
      </c>
      <c r="X32">
        <v>1</v>
      </c>
      <c r="Y32">
        <v>2</v>
      </c>
      <c r="Z32">
        <v>3</v>
      </c>
      <c r="AA32">
        <v>6</v>
      </c>
      <c r="AB32">
        <v>9</v>
      </c>
      <c r="AD32">
        <f t="shared" ref="AD32:AH32" si="103">SUMIFS($I32:$AB32,$I$2:$AB$2,AD$7)</f>
        <v>24</v>
      </c>
      <c r="AE32">
        <f t="shared" si="103"/>
        <v>34</v>
      </c>
      <c r="AF32">
        <f t="shared" si="103"/>
        <v>42</v>
      </c>
      <c r="AG32">
        <f t="shared" si="103"/>
        <v>52</v>
      </c>
      <c r="AH32">
        <f t="shared" si="103"/>
        <v>62</v>
      </c>
      <c r="AI32">
        <f t="shared" si="90"/>
        <v>136</v>
      </c>
      <c r="AJ32">
        <f t="shared" si="90"/>
        <v>78</v>
      </c>
      <c r="AK32">
        <f t="shared" si="91"/>
        <v>71</v>
      </c>
      <c r="AL32">
        <f t="shared" si="91"/>
        <v>143</v>
      </c>
      <c r="AN32" s="67">
        <f t="shared" ref="AN32:AV32" si="104">((AD32-MIN($AD32:$AL32))/(MAX($AD32:$AL32)-MIN($AD32:$AL32)))</f>
        <v>0</v>
      </c>
      <c r="AO32" s="67">
        <f t="shared" si="104"/>
        <v>8.4033613445378158E-2</v>
      </c>
      <c r="AP32" s="67">
        <f t="shared" si="104"/>
        <v>0.15126050420168066</v>
      </c>
      <c r="AQ32" s="67">
        <f t="shared" si="104"/>
        <v>0.23529411764705882</v>
      </c>
      <c r="AR32" s="67">
        <f t="shared" si="104"/>
        <v>0.31932773109243695</v>
      </c>
      <c r="AS32" s="67">
        <f t="shared" si="104"/>
        <v>0.94117647058823528</v>
      </c>
      <c r="AT32" s="67">
        <f t="shared" si="104"/>
        <v>0.45378151260504201</v>
      </c>
      <c r="AU32" s="67">
        <f t="shared" si="104"/>
        <v>0.3949579831932773</v>
      </c>
      <c r="AV32" s="67">
        <f t="shared" si="104"/>
        <v>1</v>
      </c>
      <c r="AX32">
        <f t="shared" si="8"/>
        <v>0.31932773109243695</v>
      </c>
      <c r="AY32">
        <f t="shared" si="9"/>
        <v>0.48739495798319327</v>
      </c>
      <c r="AZ32">
        <f t="shared" si="10"/>
        <v>0.60504201680672276</v>
      </c>
      <c r="BB32">
        <f t="shared" ref="BB32:BD32" si="105">AX32/SUM($AX32:$AZ32)</f>
        <v>0.22619047619047616</v>
      </c>
      <c r="BC32">
        <f t="shared" si="105"/>
        <v>0.34523809523809523</v>
      </c>
      <c r="BD32">
        <f t="shared" si="105"/>
        <v>0.4285714285714286</v>
      </c>
      <c r="BF32" t="str">
        <f t="shared" si="12"/>
        <v>Sugar</v>
      </c>
      <c r="BG32" t="str">
        <f t="shared" si="13"/>
        <v>B</v>
      </c>
      <c r="BI32">
        <f t="shared" si="14"/>
        <v>3.5</v>
      </c>
      <c r="BJ32" t="str">
        <f t="shared" si="15"/>
        <v>Tennis</v>
      </c>
      <c r="BK32" t="str">
        <f t="shared" si="16"/>
        <v>B</v>
      </c>
      <c r="BS32">
        <f t="shared" si="17"/>
        <v>0.31932773109243695</v>
      </c>
      <c r="BT32">
        <f t="shared" si="31"/>
        <v>0.48739495798319327</v>
      </c>
      <c r="BU32">
        <f t="shared" si="18"/>
        <v>0.60504201680672276</v>
      </c>
      <c r="BW32">
        <f t="shared" si="32"/>
        <v>-0.73853541907317566</v>
      </c>
      <c r="BX32">
        <f t="shared" si="19"/>
        <v>1.0736817150330213</v>
      </c>
      <c r="BY32">
        <f t="shared" si="20"/>
        <v>1.2614628454971371</v>
      </c>
      <c r="CB32">
        <f t="shared" si="21"/>
        <v>2.2270031871809461</v>
      </c>
      <c r="CC32">
        <f t="shared" si="22"/>
        <v>2.9508959573158187</v>
      </c>
      <c r="CD32">
        <f t="shared" si="23"/>
        <v>1.4302437641449686</v>
      </c>
      <c r="CE32">
        <f t="shared" si="24"/>
        <v>3.2267748170826391</v>
      </c>
      <c r="CF32">
        <f t="shared" si="25"/>
        <v>1.4302437641449686</v>
      </c>
      <c r="CJ32" t="str">
        <f t="shared" si="26"/>
        <v>Cluster 3</v>
      </c>
      <c r="CK32" t="str">
        <f t="shared" si="33"/>
        <v>Tennis Only</v>
      </c>
      <c r="CL32" t="str">
        <f t="shared" si="27"/>
        <v>Tennis B</v>
      </c>
      <c r="CM32" t="str">
        <f t="shared" si="34"/>
        <v>Diff</v>
      </c>
    </row>
    <row r="33" spans="2:91">
      <c r="B33" s="59">
        <v>4.25</v>
      </c>
      <c r="E33" s="60"/>
      <c r="H33">
        <v>26</v>
      </c>
      <c r="I33">
        <v>13</v>
      </c>
      <c r="J33">
        <v>16</v>
      </c>
      <c r="K33">
        <v>18</v>
      </c>
      <c r="L33">
        <v>19</v>
      </c>
      <c r="M33">
        <v>20</v>
      </c>
      <c r="N33">
        <v>4</v>
      </c>
      <c r="O33">
        <v>7</v>
      </c>
      <c r="P33">
        <v>10</v>
      </c>
      <c r="Q33">
        <v>12</v>
      </c>
      <c r="R33">
        <v>15</v>
      </c>
      <c r="S33">
        <v>6</v>
      </c>
      <c r="T33">
        <v>9</v>
      </c>
      <c r="U33">
        <v>11</v>
      </c>
      <c r="V33">
        <v>14</v>
      </c>
      <c r="W33">
        <v>17</v>
      </c>
      <c r="X33">
        <v>1</v>
      </c>
      <c r="Y33">
        <v>2</v>
      </c>
      <c r="Z33">
        <v>3</v>
      </c>
      <c r="AA33">
        <v>5</v>
      </c>
      <c r="AB33">
        <v>8</v>
      </c>
      <c r="AD33">
        <f t="shared" ref="AD33:AH33" si="106">SUMIFS($I33:$AB33,$I$2:$AB$2,AD$7)</f>
        <v>24</v>
      </c>
      <c r="AE33">
        <f t="shared" si="106"/>
        <v>34</v>
      </c>
      <c r="AF33">
        <f t="shared" si="106"/>
        <v>42</v>
      </c>
      <c r="AG33">
        <f t="shared" si="106"/>
        <v>50</v>
      </c>
      <c r="AH33">
        <f t="shared" si="106"/>
        <v>60</v>
      </c>
      <c r="AI33">
        <f t="shared" si="90"/>
        <v>134</v>
      </c>
      <c r="AJ33">
        <f t="shared" si="90"/>
        <v>76</v>
      </c>
      <c r="AK33">
        <f t="shared" si="91"/>
        <v>67</v>
      </c>
      <c r="AL33">
        <f t="shared" si="91"/>
        <v>143</v>
      </c>
      <c r="AN33" s="67">
        <f t="shared" ref="AN33:AV33" si="107">((AD33-MIN($AD33:$AL33))/(MAX($AD33:$AL33)-MIN($AD33:$AL33)))</f>
        <v>0</v>
      </c>
      <c r="AO33" s="67">
        <f t="shared" si="107"/>
        <v>8.4033613445378158E-2</v>
      </c>
      <c r="AP33" s="67">
        <f t="shared" si="107"/>
        <v>0.15126050420168066</v>
      </c>
      <c r="AQ33" s="67">
        <f t="shared" si="107"/>
        <v>0.21848739495798319</v>
      </c>
      <c r="AR33" s="67">
        <f t="shared" si="107"/>
        <v>0.30252100840336132</v>
      </c>
      <c r="AS33" s="67">
        <f t="shared" si="107"/>
        <v>0.92436974789915971</v>
      </c>
      <c r="AT33" s="67">
        <f t="shared" si="107"/>
        <v>0.43697478991596639</v>
      </c>
      <c r="AU33" s="67">
        <f t="shared" si="107"/>
        <v>0.36134453781512604</v>
      </c>
      <c r="AV33" s="67">
        <f t="shared" si="107"/>
        <v>1</v>
      </c>
      <c r="AX33">
        <f t="shared" si="8"/>
        <v>0.30252100840336132</v>
      </c>
      <c r="AY33">
        <f t="shared" si="9"/>
        <v>0.48739495798319332</v>
      </c>
      <c r="AZ33">
        <f t="shared" si="10"/>
        <v>0.6386554621848739</v>
      </c>
      <c r="BB33">
        <f t="shared" ref="BB33:BD33" si="108">AX33/SUM($AX33:$AZ33)</f>
        <v>0.21176470588235291</v>
      </c>
      <c r="BC33">
        <f t="shared" si="108"/>
        <v>0.3411764705882353</v>
      </c>
      <c r="BD33">
        <f t="shared" si="108"/>
        <v>0.44705882352941173</v>
      </c>
      <c r="BF33" t="str">
        <f t="shared" si="12"/>
        <v>Sugar</v>
      </c>
      <c r="BG33" t="str">
        <f t="shared" si="13"/>
        <v>B</v>
      </c>
      <c r="BI33">
        <f t="shared" si="14"/>
        <v>3.5</v>
      </c>
      <c r="BJ33" t="str">
        <f t="shared" si="15"/>
        <v>Tennis</v>
      </c>
      <c r="BK33" t="str">
        <f t="shared" si="16"/>
        <v>B</v>
      </c>
      <c r="BS33">
        <f t="shared" si="17"/>
        <v>0.30252100840336132</v>
      </c>
      <c r="BT33">
        <f t="shared" si="31"/>
        <v>0.48739495798319332</v>
      </c>
      <c r="BU33">
        <f t="shared" si="18"/>
        <v>0.6386554621848739</v>
      </c>
      <c r="BW33">
        <f t="shared" si="32"/>
        <v>-0.88658687390872204</v>
      </c>
      <c r="BX33">
        <f t="shared" si="19"/>
        <v>1.0736817150330213</v>
      </c>
      <c r="BY33">
        <f t="shared" si="20"/>
        <v>1.3324785596931055</v>
      </c>
      <c r="CB33">
        <f t="shared" si="21"/>
        <v>2.2461852548186831</v>
      </c>
      <c r="CC33">
        <f t="shared" si="22"/>
        <v>3.1082873992764504</v>
      </c>
      <c r="CD33">
        <f t="shared" si="23"/>
        <v>1.5353660446470228</v>
      </c>
      <c r="CE33">
        <f t="shared" si="24"/>
        <v>3.292953366201651</v>
      </c>
      <c r="CF33">
        <f t="shared" si="25"/>
        <v>1.5353660446470228</v>
      </c>
      <c r="CJ33" t="str">
        <f t="shared" si="26"/>
        <v>Cluster 3</v>
      </c>
      <c r="CK33" t="str">
        <f t="shared" si="33"/>
        <v>Tennis Only</v>
      </c>
      <c r="CL33" t="str">
        <f t="shared" si="27"/>
        <v>Tennis B</v>
      </c>
      <c r="CM33" t="str">
        <f t="shared" si="34"/>
        <v>Diff</v>
      </c>
    </row>
    <row r="34" spans="2:91">
      <c r="B34" s="61">
        <v>4.5</v>
      </c>
      <c r="C34" s="62"/>
      <c r="D34" s="63"/>
      <c r="E34" s="64"/>
      <c r="H34">
        <v>27</v>
      </c>
      <c r="I34">
        <v>1</v>
      </c>
      <c r="J34">
        <v>2</v>
      </c>
      <c r="K34">
        <v>3</v>
      </c>
      <c r="L34">
        <v>6</v>
      </c>
      <c r="M34">
        <v>9</v>
      </c>
      <c r="N34">
        <v>4</v>
      </c>
      <c r="O34">
        <v>7</v>
      </c>
      <c r="P34">
        <v>10</v>
      </c>
      <c r="Q34">
        <v>13</v>
      </c>
      <c r="R34">
        <v>16</v>
      </c>
      <c r="S34">
        <v>5</v>
      </c>
      <c r="T34">
        <v>8</v>
      </c>
      <c r="U34">
        <v>11</v>
      </c>
      <c r="V34">
        <v>14</v>
      </c>
      <c r="W34">
        <v>17</v>
      </c>
      <c r="X34">
        <v>12</v>
      </c>
      <c r="Y34">
        <v>15</v>
      </c>
      <c r="Z34">
        <v>18</v>
      </c>
      <c r="AA34">
        <v>19</v>
      </c>
      <c r="AB34">
        <v>20</v>
      </c>
      <c r="AD34">
        <f t="shared" ref="AD34:AH34" si="109">SUMIFS($I34:$AB34,$I$2:$AB$2,AD$7)</f>
        <v>22</v>
      </c>
      <c r="AE34">
        <f t="shared" si="109"/>
        <v>32</v>
      </c>
      <c r="AF34">
        <f t="shared" si="109"/>
        <v>42</v>
      </c>
      <c r="AG34">
        <f t="shared" si="109"/>
        <v>52</v>
      </c>
      <c r="AH34">
        <f t="shared" si="109"/>
        <v>62</v>
      </c>
      <c r="AI34">
        <f t="shared" si="90"/>
        <v>71</v>
      </c>
      <c r="AJ34">
        <f t="shared" si="90"/>
        <v>139</v>
      </c>
      <c r="AK34">
        <f t="shared" si="91"/>
        <v>134</v>
      </c>
      <c r="AL34">
        <f t="shared" si="91"/>
        <v>76</v>
      </c>
      <c r="AN34" s="67">
        <f t="shared" ref="AN34:AV34" si="110">((AD34-MIN($AD34:$AL34))/(MAX($AD34:$AL34)-MIN($AD34:$AL34)))</f>
        <v>0</v>
      </c>
      <c r="AO34" s="67">
        <f t="shared" si="110"/>
        <v>8.5470085470085472E-2</v>
      </c>
      <c r="AP34" s="67">
        <f t="shared" si="110"/>
        <v>0.17094017094017094</v>
      </c>
      <c r="AQ34" s="67">
        <f t="shared" si="110"/>
        <v>0.25641025641025639</v>
      </c>
      <c r="AR34" s="67">
        <f t="shared" si="110"/>
        <v>0.34188034188034189</v>
      </c>
      <c r="AS34" s="67">
        <f t="shared" si="110"/>
        <v>0.41880341880341881</v>
      </c>
      <c r="AT34" s="67">
        <f t="shared" si="110"/>
        <v>1</v>
      </c>
      <c r="AU34" s="67">
        <f t="shared" si="110"/>
        <v>0.95726495726495731</v>
      </c>
      <c r="AV34" s="67">
        <f t="shared" si="110"/>
        <v>0.46153846153846156</v>
      </c>
      <c r="AX34">
        <f t="shared" si="8"/>
        <v>0.34188034188034189</v>
      </c>
      <c r="AY34">
        <f t="shared" si="9"/>
        <v>0.58119658119658113</v>
      </c>
      <c r="AZ34">
        <f t="shared" si="10"/>
        <v>0.49572649572649574</v>
      </c>
      <c r="BB34">
        <f t="shared" ref="BB34:BD34" si="111">AX34/SUM($AX34:$AZ34)</f>
        <v>0.24096385542168677</v>
      </c>
      <c r="BC34">
        <f t="shared" si="111"/>
        <v>0.40963855421686746</v>
      </c>
      <c r="BD34">
        <f t="shared" si="111"/>
        <v>0.34939759036144585</v>
      </c>
      <c r="BF34" t="str">
        <f t="shared" si="12"/>
        <v xml:space="preserve">Brand </v>
      </c>
      <c r="BG34" t="str">
        <f t="shared" si="13"/>
        <v>Super Bowl</v>
      </c>
      <c r="BI34">
        <f t="shared" si="14"/>
        <v>3.5</v>
      </c>
      <c r="BJ34" t="str">
        <f t="shared" si="15"/>
        <v>Super Bowl</v>
      </c>
      <c r="BK34" t="str">
        <f t="shared" si="16"/>
        <v>A</v>
      </c>
      <c r="BS34">
        <f t="shared" si="17"/>
        <v>0.34188034188034189</v>
      </c>
      <c r="BT34">
        <f t="shared" si="31"/>
        <v>-0.58119658119658113</v>
      </c>
      <c r="BU34">
        <f t="shared" si="18"/>
        <v>-0.49572649572649574</v>
      </c>
      <c r="BW34">
        <f t="shared" si="32"/>
        <v>-0.53986808224257044</v>
      </c>
      <c r="BX34">
        <f t="shared" si="19"/>
        <v>-1.2628624873486129</v>
      </c>
      <c r="BY34">
        <f t="shared" si="20"/>
        <v>-1.0641500514417885</v>
      </c>
      <c r="CB34">
        <f t="shared" si="21"/>
        <v>2.1768936446029525</v>
      </c>
      <c r="CC34">
        <f t="shared" si="22"/>
        <v>2.9692877355381424</v>
      </c>
      <c r="CD34">
        <f t="shared" si="23"/>
        <v>2.5335833786877777</v>
      </c>
      <c r="CE34">
        <f t="shared" si="24"/>
        <v>0.11349575047265686</v>
      </c>
      <c r="CF34">
        <f t="shared" si="25"/>
        <v>0.11349575047265686</v>
      </c>
      <c r="CJ34" t="str">
        <f t="shared" si="26"/>
        <v>Cluster 4</v>
      </c>
      <c r="CK34" t="str">
        <f t="shared" si="33"/>
        <v>A Super Bowl</v>
      </c>
      <c r="CL34" t="str">
        <f t="shared" si="27"/>
        <v>Super Bowl A</v>
      </c>
      <c r="CM34" t="str">
        <f t="shared" si="34"/>
        <v>Diff</v>
      </c>
    </row>
    <row r="35" spans="2:91">
      <c r="B35" s="65" t="s">
        <v>118</v>
      </c>
      <c r="C35" s="56"/>
      <c r="D35" s="57"/>
      <c r="E35" s="58"/>
      <c r="H35">
        <v>28</v>
      </c>
      <c r="I35">
        <v>1</v>
      </c>
      <c r="J35">
        <v>2</v>
      </c>
      <c r="K35">
        <v>4</v>
      </c>
      <c r="L35">
        <v>7</v>
      </c>
      <c r="M35">
        <v>10</v>
      </c>
      <c r="N35">
        <v>5</v>
      </c>
      <c r="O35">
        <v>8</v>
      </c>
      <c r="P35">
        <v>12</v>
      </c>
      <c r="Q35">
        <v>15</v>
      </c>
      <c r="R35">
        <v>18</v>
      </c>
      <c r="S35">
        <v>3</v>
      </c>
      <c r="T35">
        <v>6</v>
      </c>
      <c r="U35">
        <v>9</v>
      </c>
      <c r="V35">
        <v>13</v>
      </c>
      <c r="W35">
        <v>16</v>
      </c>
      <c r="X35">
        <v>11</v>
      </c>
      <c r="Y35">
        <v>14</v>
      </c>
      <c r="Z35">
        <v>17</v>
      </c>
      <c r="AA35">
        <v>19</v>
      </c>
      <c r="AB35">
        <v>20</v>
      </c>
      <c r="AD35">
        <f t="shared" ref="AD35:AH35" si="112">SUMIFS($I35:$AB35,$I$2:$AB$2,AD$7)</f>
        <v>20</v>
      </c>
      <c r="AE35">
        <f t="shared" si="112"/>
        <v>30</v>
      </c>
      <c r="AF35">
        <f t="shared" si="112"/>
        <v>42</v>
      </c>
      <c r="AG35">
        <f t="shared" si="112"/>
        <v>54</v>
      </c>
      <c r="AH35">
        <f t="shared" si="112"/>
        <v>64</v>
      </c>
      <c r="AI35">
        <f t="shared" si="90"/>
        <v>82</v>
      </c>
      <c r="AJ35">
        <f t="shared" si="90"/>
        <v>128</v>
      </c>
      <c r="AK35">
        <f t="shared" si="91"/>
        <v>139</v>
      </c>
      <c r="AL35">
        <f t="shared" si="91"/>
        <v>71</v>
      </c>
      <c r="AN35" s="67">
        <f t="shared" ref="AN35:AV35" si="113">((AD35-MIN($AD35:$AL35))/(MAX($AD35:$AL35)-MIN($AD35:$AL35)))</f>
        <v>0</v>
      </c>
      <c r="AO35" s="67">
        <f t="shared" si="113"/>
        <v>8.4033613445378158E-2</v>
      </c>
      <c r="AP35" s="67">
        <f t="shared" si="113"/>
        <v>0.18487394957983194</v>
      </c>
      <c r="AQ35" s="67">
        <f t="shared" si="113"/>
        <v>0.2857142857142857</v>
      </c>
      <c r="AR35" s="67">
        <f t="shared" si="113"/>
        <v>0.36974789915966388</v>
      </c>
      <c r="AS35" s="67">
        <f t="shared" si="113"/>
        <v>0.52100840336134457</v>
      </c>
      <c r="AT35" s="67">
        <f t="shared" si="113"/>
        <v>0.90756302521008403</v>
      </c>
      <c r="AU35" s="67">
        <f t="shared" si="113"/>
        <v>1</v>
      </c>
      <c r="AV35" s="67">
        <f t="shared" si="113"/>
        <v>0.42857142857142855</v>
      </c>
      <c r="AX35">
        <f t="shared" si="8"/>
        <v>0.36974789915966388</v>
      </c>
      <c r="AY35">
        <f t="shared" si="9"/>
        <v>0.38655462184873945</v>
      </c>
      <c r="AZ35">
        <f t="shared" si="10"/>
        <v>0.5714285714285714</v>
      </c>
      <c r="BB35">
        <f t="shared" ref="BB35:BD35" si="114">AX35/SUM($AX35:$AZ35)</f>
        <v>0.27848101265822789</v>
      </c>
      <c r="BC35">
        <f t="shared" si="114"/>
        <v>0.29113924050632911</v>
      </c>
      <c r="BD35">
        <f t="shared" si="114"/>
        <v>0.43037974683544306</v>
      </c>
      <c r="BF35" t="str">
        <f t="shared" si="12"/>
        <v>Sugar</v>
      </c>
      <c r="BG35" t="str">
        <f t="shared" si="13"/>
        <v>A</v>
      </c>
      <c r="BI35">
        <f t="shared" si="14"/>
        <v>3.5</v>
      </c>
      <c r="BJ35" t="str">
        <f t="shared" si="15"/>
        <v>Super Bowl</v>
      </c>
      <c r="BK35" t="str">
        <f t="shared" si="16"/>
        <v>A</v>
      </c>
      <c r="BS35">
        <f t="shared" si="17"/>
        <v>0.36974789915966388</v>
      </c>
      <c r="BT35">
        <f t="shared" si="31"/>
        <v>-0.38655462184873945</v>
      </c>
      <c r="BU35">
        <f t="shared" si="18"/>
        <v>-0.5714285714285714</v>
      </c>
      <c r="BW35">
        <f t="shared" si="32"/>
        <v>-0.29438105456653607</v>
      </c>
      <c r="BX35">
        <f t="shared" si="19"/>
        <v>-0.83726531108471813</v>
      </c>
      <c r="BY35">
        <f t="shared" si="20"/>
        <v>-1.2240871513617693</v>
      </c>
      <c r="CB35">
        <f t="shared" si="21"/>
        <v>2.3740382557567234</v>
      </c>
      <c r="CC35">
        <f t="shared" si="22"/>
        <v>2.6513698547172786</v>
      </c>
      <c r="CD35">
        <f t="shared" si="23"/>
        <v>2.2205827379287304</v>
      </c>
      <c r="CE35">
        <f t="shared" si="24"/>
        <v>0.42159691902168522</v>
      </c>
      <c r="CF35">
        <f t="shared" si="25"/>
        <v>0.42159691902168522</v>
      </c>
      <c r="CJ35" t="str">
        <f t="shared" si="26"/>
        <v>Cluster 4</v>
      </c>
      <c r="CK35" t="str">
        <f t="shared" si="33"/>
        <v>A Super Bowl</v>
      </c>
      <c r="CL35" t="str">
        <f t="shared" si="27"/>
        <v>Super Bowl A</v>
      </c>
      <c r="CM35" t="str">
        <f t="shared" si="34"/>
        <v>Diff</v>
      </c>
    </row>
    <row r="36" spans="2:91">
      <c r="B36" s="66" t="s">
        <v>119</v>
      </c>
      <c r="C36" s="62"/>
      <c r="D36" s="63"/>
      <c r="E36" s="64"/>
      <c r="H36">
        <v>29</v>
      </c>
      <c r="I36">
        <v>12</v>
      </c>
      <c r="J36">
        <v>15</v>
      </c>
      <c r="K36">
        <v>18</v>
      </c>
      <c r="L36">
        <v>19</v>
      </c>
      <c r="M36">
        <v>20</v>
      </c>
      <c r="N36">
        <v>5</v>
      </c>
      <c r="O36">
        <v>8</v>
      </c>
      <c r="P36">
        <v>11</v>
      </c>
      <c r="Q36">
        <v>14</v>
      </c>
      <c r="R36">
        <v>17</v>
      </c>
      <c r="S36">
        <v>4</v>
      </c>
      <c r="T36">
        <v>7</v>
      </c>
      <c r="U36">
        <v>10</v>
      </c>
      <c r="V36">
        <v>13</v>
      </c>
      <c r="W36">
        <v>16</v>
      </c>
      <c r="X36">
        <v>1</v>
      </c>
      <c r="Y36">
        <v>2</v>
      </c>
      <c r="Z36">
        <v>3</v>
      </c>
      <c r="AA36">
        <v>6</v>
      </c>
      <c r="AB36">
        <v>9</v>
      </c>
      <c r="AD36">
        <f t="shared" ref="AD36:AH36" si="115">SUMIFS($I36:$AB36,$I$2:$AB$2,AD$7)</f>
        <v>22</v>
      </c>
      <c r="AE36">
        <f t="shared" si="115"/>
        <v>32</v>
      </c>
      <c r="AF36">
        <f t="shared" si="115"/>
        <v>42</v>
      </c>
      <c r="AG36">
        <f t="shared" si="115"/>
        <v>52</v>
      </c>
      <c r="AH36">
        <f t="shared" si="115"/>
        <v>62</v>
      </c>
      <c r="AI36">
        <f t="shared" si="90"/>
        <v>139</v>
      </c>
      <c r="AJ36">
        <f t="shared" si="90"/>
        <v>71</v>
      </c>
      <c r="AK36">
        <f t="shared" si="91"/>
        <v>76</v>
      </c>
      <c r="AL36">
        <f t="shared" si="91"/>
        <v>134</v>
      </c>
      <c r="AN36" s="67">
        <f t="shared" ref="AN36:AV36" si="116">((AD36-MIN($AD36:$AL36))/(MAX($AD36:$AL36)-MIN($AD36:$AL36)))</f>
        <v>0</v>
      </c>
      <c r="AO36" s="67">
        <f t="shared" si="116"/>
        <v>8.5470085470085472E-2</v>
      </c>
      <c r="AP36" s="67">
        <f t="shared" si="116"/>
        <v>0.17094017094017094</v>
      </c>
      <c r="AQ36" s="67">
        <f t="shared" si="116"/>
        <v>0.25641025641025639</v>
      </c>
      <c r="AR36" s="67">
        <f t="shared" si="116"/>
        <v>0.34188034188034189</v>
      </c>
      <c r="AS36" s="67">
        <f t="shared" si="116"/>
        <v>1</v>
      </c>
      <c r="AT36" s="67">
        <f t="shared" si="116"/>
        <v>0.41880341880341881</v>
      </c>
      <c r="AU36" s="67">
        <f t="shared" si="116"/>
        <v>0.46153846153846156</v>
      </c>
      <c r="AV36" s="67">
        <f t="shared" si="116"/>
        <v>0.95726495726495731</v>
      </c>
      <c r="AX36">
        <f t="shared" si="8"/>
        <v>0.34188034188034189</v>
      </c>
      <c r="AY36">
        <f t="shared" si="9"/>
        <v>0.58119658119658113</v>
      </c>
      <c r="AZ36">
        <f t="shared" si="10"/>
        <v>0.49572649572649574</v>
      </c>
      <c r="BB36">
        <f t="shared" ref="BB36:BD36" si="117">AX36/SUM($AX36:$AZ36)</f>
        <v>0.24096385542168677</v>
      </c>
      <c r="BC36">
        <f t="shared" si="117"/>
        <v>0.40963855421686746</v>
      </c>
      <c r="BD36">
        <f t="shared" si="117"/>
        <v>0.34939759036144585</v>
      </c>
      <c r="BF36" t="str">
        <f t="shared" si="12"/>
        <v xml:space="preserve">Brand </v>
      </c>
      <c r="BG36" t="str">
        <f t="shared" si="13"/>
        <v>Tennis</v>
      </c>
      <c r="BI36">
        <f t="shared" si="14"/>
        <v>3.5</v>
      </c>
      <c r="BJ36" t="str">
        <f t="shared" si="15"/>
        <v>Tennis</v>
      </c>
      <c r="BK36" t="str">
        <f t="shared" si="16"/>
        <v>B</v>
      </c>
      <c r="BS36">
        <f t="shared" si="17"/>
        <v>0.34188034188034189</v>
      </c>
      <c r="BT36">
        <f t="shared" si="31"/>
        <v>0.58119658119658113</v>
      </c>
      <c r="BU36">
        <f t="shared" si="18"/>
        <v>0.49572649572649574</v>
      </c>
      <c r="BW36">
        <f t="shared" si="32"/>
        <v>-0.53986808224257044</v>
      </c>
      <c r="BX36">
        <f t="shared" si="19"/>
        <v>1.2787850036679462</v>
      </c>
      <c r="BY36">
        <f t="shared" si="20"/>
        <v>1.0305100313811875</v>
      </c>
      <c r="CB36">
        <f t="shared" si="21"/>
        <v>2.4256581232390313</v>
      </c>
      <c r="CC36">
        <f t="shared" si="22"/>
        <v>2.7599361554454043</v>
      </c>
      <c r="CD36">
        <f t="shared" si="23"/>
        <v>1.1874580690425542</v>
      </c>
      <c r="CE36">
        <f t="shared" si="24"/>
        <v>3.2093265822714914</v>
      </c>
      <c r="CF36">
        <f t="shared" si="25"/>
        <v>1.1874580690425542</v>
      </c>
      <c r="CJ36" t="str">
        <f t="shared" si="26"/>
        <v>Cluster 3</v>
      </c>
      <c r="CK36" t="str">
        <f t="shared" si="33"/>
        <v>Tennis Only</v>
      </c>
      <c r="CL36" t="str">
        <f t="shared" si="27"/>
        <v>Tennis B</v>
      </c>
      <c r="CM36" t="str">
        <f t="shared" si="34"/>
        <v>Diff</v>
      </c>
    </row>
    <row r="37" spans="2:91">
      <c r="B37" s="65" t="s">
        <v>121</v>
      </c>
      <c r="C37" s="56"/>
      <c r="D37" s="57"/>
      <c r="E37" s="58"/>
      <c r="H37">
        <v>30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3</v>
      </c>
      <c r="O37">
        <v>6</v>
      </c>
      <c r="P37">
        <v>9</v>
      </c>
      <c r="Q37">
        <v>13</v>
      </c>
      <c r="R37">
        <v>16</v>
      </c>
      <c r="S37">
        <v>5</v>
      </c>
      <c r="T37">
        <v>8</v>
      </c>
      <c r="U37">
        <v>12</v>
      </c>
      <c r="V37">
        <v>15</v>
      </c>
      <c r="W37">
        <v>18</v>
      </c>
      <c r="X37">
        <v>1</v>
      </c>
      <c r="Y37">
        <v>2</v>
      </c>
      <c r="Z37">
        <v>4</v>
      </c>
      <c r="AA37">
        <v>7</v>
      </c>
      <c r="AB37">
        <v>10</v>
      </c>
      <c r="AD37">
        <f t="shared" ref="AD37:AH37" si="118">SUMIFS($I37:$AB37,$I$2:$AB$2,AD$7)</f>
        <v>20</v>
      </c>
      <c r="AE37">
        <f t="shared" si="118"/>
        <v>30</v>
      </c>
      <c r="AF37">
        <f t="shared" si="118"/>
        <v>42</v>
      </c>
      <c r="AG37">
        <f t="shared" si="118"/>
        <v>54</v>
      </c>
      <c r="AH37">
        <f t="shared" si="118"/>
        <v>64</v>
      </c>
      <c r="AI37">
        <f t="shared" si="90"/>
        <v>128</v>
      </c>
      <c r="AJ37">
        <f t="shared" si="90"/>
        <v>82</v>
      </c>
      <c r="AK37">
        <f t="shared" si="91"/>
        <v>71</v>
      </c>
      <c r="AL37">
        <f t="shared" si="91"/>
        <v>139</v>
      </c>
      <c r="AN37" s="67">
        <f t="shared" ref="AN37:AV37" si="119">((AD37-MIN($AD37:$AL37))/(MAX($AD37:$AL37)-MIN($AD37:$AL37)))</f>
        <v>0</v>
      </c>
      <c r="AO37" s="67">
        <f t="shared" si="119"/>
        <v>8.4033613445378158E-2</v>
      </c>
      <c r="AP37" s="67">
        <f t="shared" si="119"/>
        <v>0.18487394957983194</v>
      </c>
      <c r="AQ37" s="67">
        <f t="shared" si="119"/>
        <v>0.2857142857142857</v>
      </c>
      <c r="AR37" s="67">
        <f t="shared" si="119"/>
        <v>0.36974789915966388</v>
      </c>
      <c r="AS37" s="67">
        <f t="shared" si="119"/>
        <v>0.90756302521008403</v>
      </c>
      <c r="AT37" s="67">
        <f t="shared" si="119"/>
        <v>0.52100840336134457</v>
      </c>
      <c r="AU37" s="67">
        <f t="shared" si="119"/>
        <v>0.42857142857142855</v>
      </c>
      <c r="AV37" s="67">
        <f t="shared" si="119"/>
        <v>1</v>
      </c>
      <c r="AX37">
        <f t="shared" si="8"/>
        <v>0.36974789915966388</v>
      </c>
      <c r="AY37">
        <f t="shared" si="9"/>
        <v>0.38655462184873945</v>
      </c>
      <c r="AZ37">
        <f t="shared" si="10"/>
        <v>0.5714285714285714</v>
      </c>
      <c r="BB37">
        <f t="shared" ref="BB37:BD37" si="120">AX37/SUM($AX37:$AZ37)</f>
        <v>0.27848101265822789</v>
      </c>
      <c r="BC37">
        <f t="shared" si="120"/>
        <v>0.29113924050632911</v>
      </c>
      <c r="BD37">
        <f t="shared" si="120"/>
        <v>0.43037974683544306</v>
      </c>
      <c r="BF37" t="str">
        <f t="shared" si="12"/>
        <v>Sugar</v>
      </c>
      <c r="BG37" t="str">
        <f t="shared" si="13"/>
        <v>B</v>
      </c>
      <c r="BI37">
        <f t="shared" si="14"/>
        <v>3.5</v>
      </c>
      <c r="BJ37" t="str">
        <f t="shared" si="15"/>
        <v>Tennis</v>
      </c>
      <c r="BK37" t="str">
        <f t="shared" si="16"/>
        <v>B</v>
      </c>
      <c r="BS37">
        <f t="shared" si="17"/>
        <v>0.36974789915966388</v>
      </c>
      <c r="BT37">
        <f t="shared" si="31"/>
        <v>0.38655462184873945</v>
      </c>
      <c r="BU37">
        <f t="shared" si="18"/>
        <v>0.5714285714285714</v>
      </c>
      <c r="BW37">
        <f t="shared" si="32"/>
        <v>-0.29438105456653607</v>
      </c>
      <c r="BX37">
        <f t="shared" si="19"/>
        <v>0.8531878274040513</v>
      </c>
      <c r="BY37">
        <f t="shared" si="20"/>
        <v>1.190447131301168</v>
      </c>
      <c r="CB37">
        <f t="shared" si="21"/>
        <v>2.0246640999810945</v>
      </c>
      <c r="CC37">
        <f t="shared" si="22"/>
        <v>2.479864263807086</v>
      </c>
      <c r="CD37">
        <f t="shared" si="23"/>
        <v>1.3597427164424376</v>
      </c>
      <c r="CE37">
        <f t="shared" si="24"/>
        <v>3.0189661876712872</v>
      </c>
      <c r="CF37">
        <f t="shared" si="25"/>
        <v>1.3597427164424376</v>
      </c>
      <c r="CJ37" t="str">
        <f t="shared" si="26"/>
        <v>Cluster 3</v>
      </c>
      <c r="CK37" t="str">
        <f t="shared" si="33"/>
        <v>Tennis Only</v>
      </c>
      <c r="CL37" t="str">
        <f t="shared" si="27"/>
        <v>Tennis B</v>
      </c>
      <c r="CM37" t="str">
        <f t="shared" si="34"/>
        <v>Diff</v>
      </c>
    </row>
    <row r="38" spans="2:91">
      <c r="B38" s="66" t="s">
        <v>120</v>
      </c>
      <c r="C38" s="62"/>
      <c r="D38" s="63"/>
      <c r="E38" s="64"/>
      <c r="H38">
        <v>31</v>
      </c>
      <c r="I38">
        <v>12</v>
      </c>
      <c r="J38">
        <v>15</v>
      </c>
      <c r="K38">
        <v>18</v>
      </c>
      <c r="L38">
        <v>19</v>
      </c>
      <c r="M38">
        <v>20</v>
      </c>
      <c r="N38">
        <v>4</v>
      </c>
      <c r="O38">
        <v>7</v>
      </c>
      <c r="P38">
        <v>10</v>
      </c>
      <c r="Q38">
        <v>13</v>
      </c>
      <c r="R38">
        <v>16</v>
      </c>
      <c r="S38">
        <v>5</v>
      </c>
      <c r="T38">
        <v>8</v>
      </c>
      <c r="U38">
        <v>11</v>
      </c>
      <c r="V38">
        <v>14</v>
      </c>
      <c r="W38">
        <v>17</v>
      </c>
      <c r="X38">
        <v>1</v>
      </c>
      <c r="Y38">
        <v>2</v>
      </c>
      <c r="Z38">
        <v>3</v>
      </c>
      <c r="AA38">
        <v>6</v>
      </c>
      <c r="AB38">
        <v>9</v>
      </c>
      <c r="AD38">
        <f t="shared" ref="AD38:AH38" si="121">SUMIFS($I38:$AB38,$I$2:$AB$2,AD$7)</f>
        <v>22</v>
      </c>
      <c r="AE38">
        <f t="shared" si="121"/>
        <v>32</v>
      </c>
      <c r="AF38">
        <f t="shared" si="121"/>
        <v>42</v>
      </c>
      <c r="AG38">
        <f t="shared" si="121"/>
        <v>52</v>
      </c>
      <c r="AH38">
        <f t="shared" si="121"/>
        <v>62</v>
      </c>
      <c r="AI38">
        <f t="shared" si="90"/>
        <v>134</v>
      </c>
      <c r="AJ38">
        <f t="shared" si="90"/>
        <v>76</v>
      </c>
      <c r="AK38">
        <f t="shared" si="91"/>
        <v>71</v>
      </c>
      <c r="AL38">
        <f t="shared" si="91"/>
        <v>139</v>
      </c>
      <c r="AN38" s="67">
        <f t="shared" ref="AN38:AV38" si="122">((AD38-MIN($AD38:$AL38))/(MAX($AD38:$AL38)-MIN($AD38:$AL38)))</f>
        <v>0</v>
      </c>
      <c r="AO38" s="67">
        <f t="shared" si="122"/>
        <v>8.5470085470085472E-2</v>
      </c>
      <c r="AP38" s="67">
        <f t="shared" si="122"/>
        <v>0.17094017094017094</v>
      </c>
      <c r="AQ38" s="67">
        <f t="shared" si="122"/>
        <v>0.25641025641025639</v>
      </c>
      <c r="AR38" s="67">
        <f t="shared" si="122"/>
        <v>0.34188034188034189</v>
      </c>
      <c r="AS38" s="67">
        <f t="shared" si="122"/>
        <v>0.95726495726495731</v>
      </c>
      <c r="AT38" s="67">
        <f t="shared" si="122"/>
        <v>0.46153846153846156</v>
      </c>
      <c r="AU38" s="67">
        <f t="shared" si="122"/>
        <v>0.41880341880341881</v>
      </c>
      <c r="AV38" s="67">
        <f t="shared" si="122"/>
        <v>1</v>
      </c>
      <c r="AX38">
        <f t="shared" si="8"/>
        <v>0.34188034188034189</v>
      </c>
      <c r="AY38">
        <f t="shared" si="9"/>
        <v>0.49572649572649574</v>
      </c>
      <c r="AZ38">
        <f t="shared" si="10"/>
        <v>0.58119658119658113</v>
      </c>
      <c r="BB38">
        <f t="shared" ref="BB38:BD38" si="123">AX38/SUM($AX38:$AZ38)</f>
        <v>0.24096385542168677</v>
      </c>
      <c r="BC38">
        <f t="shared" si="123"/>
        <v>0.34939759036144585</v>
      </c>
      <c r="BD38">
        <f t="shared" si="123"/>
        <v>0.40963855421686746</v>
      </c>
      <c r="BF38" t="str">
        <f t="shared" si="12"/>
        <v>Sugar</v>
      </c>
      <c r="BG38" t="str">
        <f t="shared" si="13"/>
        <v>B</v>
      </c>
      <c r="BI38">
        <f t="shared" si="14"/>
        <v>3.5</v>
      </c>
      <c r="BJ38" t="str">
        <f t="shared" si="15"/>
        <v>Tennis</v>
      </c>
      <c r="BK38" t="str">
        <f t="shared" si="16"/>
        <v>B</v>
      </c>
      <c r="BS38">
        <f t="shared" si="17"/>
        <v>0.34188034188034189</v>
      </c>
      <c r="BT38">
        <f t="shared" si="31"/>
        <v>0.49572649572649574</v>
      </c>
      <c r="BU38">
        <f t="shared" si="18"/>
        <v>0.58119658119658113</v>
      </c>
      <c r="BW38">
        <f t="shared" si="32"/>
        <v>-0.53986808224257044</v>
      </c>
      <c r="BX38">
        <f t="shared" si="19"/>
        <v>1.0918991587402582</v>
      </c>
      <c r="BY38">
        <f t="shared" si="20"/>
        <v>1.2110841764521332</v>
      </c>
      <c r="CB38">
        <f t="shared" si="21"/>
        <v>2.2399781711727513</v>
      </c>
      <c r="CC38">
        <f t="shared" si="22"/>
        <v>2.7657290292004486</v>
      </c>
      <c r="CD38">
        <f t="shared" si="23"/>
        <v>1.3530860677620034</v>
      </c>
      <c r="CE38">
        <f t="shared" si="24"/>
        <v>3.1937960171425281</v>
      </c>
      <c r="CF38">
        <f t="shared" si="25"/>
        <v>1.3530860677620034</v>
      </c>
      <c r="CJ38" t="str">
        <f t="shared" si="26"/>
        <v>Cluster 3</v>
      </c>
      <c r="CK38" t="str">
        <f t="shared" si="33"/>
        <v>Tennis Only</v>
      </c>
      <c r="CL38" t="str">
        <f t="shared" si="27"/>
        <v>Tennis B</v>
      </c>
      <c r="CM38" t="str">
        <f t="shared" si="34"/>
        <v>Diff</v>
      </c>
    </row>
    <row r="39" spans="2:91">
      <c r="H39">
        <v>32</v>
      </c>
      <c r="I39">
        <v>2</v>
      </c>
      <c r="J39">
        <v>6</v>
      </c>
      <c r="K39">
        <v>10</v>
      </c>
      <c r="L39">
        <v>14</v>
      </c>
      <c r="M39">
        <v>18</v>
      </c>
      <c r="N39">
        <v>4</v>
      </c>
      <c r="O39">
        <v>8</v>
      </c>
      <c r="P39">
        <v>12</v>
      </c>
      <c r="Q39">
        <v>16</v>
      </c>
      <c r="R39">
        <v>20</v>
      </c>
      <c r="S39">
        <v>2</v>
      </c>
      <c r="T39">
        <v>6</v>
      </c>
      <c r="U39">
        <v>10</v>
      </c>
      <c r="V39">
        <v>14</v>
      </c>
      <c r="W39">
        <v>18</v>
      </c>
      <c r="X39">
        <v>4</v>
      </c>
      <c r="Y39">
        <v>8</v>
      </c>
      <c r="Z39">
        <v>12</v>
      </c>
      <c r="AA39">
        <v>16</v>
      </c>
      <c r="AB39">
        <v>20</v>
      </c>
      <c r="AD39">
        <f t="shared" ref="AD39:AH39" si="124">SUMIFS($I39:$AB39,$I$2:$AB$2,AD$7)</f>
        <v>12</v>
      </c>
      <c r="AE39">
        <f t="shared" si="124"/>
        <v>28</v>
      </c>
      <c r="AF39">
        <f t="shared" si="124"/>
        <v>44</v>
      </c>
      <c r="AG39">
        <f t="shared" si="124"/>
        <v>60</v>
      </c>
      <c r="AH39">
        <f t="shared" si="124"/>
        <v>76</v>
      </c>
      <c r="AI39">
        <f t="shared" si="90"/>
        <v>110</v>
      </c>
      <c r="AJ39">
        <f t="shared" si="90"/>
        <v>110</v>
      </c>
      <c r="AK39">
        <f t="shared" si="91"/>
        <v>120</v>
      </c>
      <c r="AL39">
        <f t="shared" si="91"/>
        <v>100</v>
      </c>
      <c r="AN39" s="67">
        <f t="shared" ref="AN39:AV39" si="125">((AD39-MIN($AD39:$AL39))/(MAX($AD39:$AL39)-MIN($AD39:$AL39)))</f>
        <v>0</v>
      </c>
      <c r="AO39" s="67">
        <f t="shared" si="125"/>
        <v>0.14814814814814814</v>
      </c>
      <c r="AP39" s="67">
        <f t="shared" si="125"/>
        <v>0.29629629629629628</v>
      </c>
      <c r="AQ39" s="67">
        <f t="shared" si="125"/>
        <v>0.44444444444444442</v>
      </c>
      <c r="AR39" s="67">
        <f t="shared" si="125"/>
        <v>0.59259259259259256</v>
      </c>
      <c r="AS39" s="67">
        <f t="shared" si="125"/>
        <v>0.90740740740740744</v>
      </c>
      <c r="AT39" s="67">
        <f t="shared" si="125"/>
        <v>0.90740740740740744</v>
      </c>
      <c r="AU39" s="67">
        <f t="shared" si="125"/>
        <v>1</v>
      </c>
      <c r="AV39" s="67">
        <f t="shared" si="125"/>
        <v>0.81481481481481477</v>
      </c>
      <c r="AX39">
        <f t="shared" si="8"/>
        <v>0.59259259259259256</v>
      </c>
      <c r="AY39">
        <f t="shared" si="9"/>
        <v>0</v>
      </c>
      <c r="AZ39">
        <f t="shared" si="10"/>
        <v>0.18518518518518523</v>
      </c>
      <c r="BB39">
        <f t="shared" ref="BB39:BD39" si="126">AX39/SUM($AX39:$AZ39)</f>
        <v>0.76190476190476186</v>
      </c>
      <c r="BC39">
        <f t="shared" si="126"/>
        <v>0</v>
      </c>
      <c r="BD39">
        <f t="shared" si="126"/>
        <v>0.23809523809523814</v>
      </c>
      <c r="BF39" t="str">
        <f t="shared" si="12"/>
        <v>Price</v>
      </c>
      <c r="BG39">
        <f t="shared" si="13"/>
        <v>3.5</v>
      </c>
      <c r="BI39">
        <f t="shared" si="14"/>
        <v>3.5</v>
      </c>
      <c r="BJ39" t="str">
        <f t="shared" si="15"/>
        <v>Super Bowl</v>
      </c>
      <c r="BK39" t="str">
        <f t="shared" si="16"/>
        <v>A</v>
      </c>
      <c r="BS39">
        <f t="shared" si="17"/>
        <v>0.59259259259259256</v>
      </c>
      <c r="BT39">
        <f t="shared" si="31"/>
        <v>0</v>
      </c>
      <c r="BU39">
        <f t="shared" si="18"/>
        <v>-0.18518518518518523</v>
      </c>
      <c r="BW39">
        <f t="shared" si="32"/>
        <v>1.6686715688084861</v>
      </c>
      <c r="BX39">
        <f t="shared" si="19"/>
        <v>7.9612581596666537E-3</v>
      </c>
      <c r="BY39">
        <f t="shared" si="20"/>
        <v>-0.40806399101735069</v>
      </c>
      <c r="CB39">
        <f t="shared" si="21"/>
        <v>2.9723470098384843</v>
      </c>
      <c r="CC39">
        <f t="shared" si="22"/>
        <v>0.49383391243091967</v>
      </c>
      <c r="CD39">
        <f t="shared" si="23"/>
        <v>2.394594729674886</v>
      </c>
      <c r="CE39">
        <f t="shared" si="24"/>
        <v>2.5292396308076586</v>
      </c>
      <c r="CF39">
        <f t="shared" si="25"/>
        <v>0.49383391243091967</v>
      </c>
      <c r="CJ39" t="str">
        <f t="shared" si="26"/>
        <v>Cluster 2</v>
      </c>
      <c r="CK39" t="str">
        <f t="shared" si="33"/>
        <v>Price Only</v>
      </c>
      <c r="CL39" t="str">
        <f t="shared" si="27"/>
        <v>Price Only</v>
      </c>
      <c r="CM39" t="str">
        <f t="shared" si="34"/>
        <v/>
      </c>
    </row>
    <row r="40" spans="2:91">
      <c r="H40">
        <v>33</v>
      </c>
      <c r="I40">
        <v>13</v>
      </c>
      <c r="J40">
        <v>16</v>
      </c>
      <c r="K40">
        <v>18</v>
      </c>
      <c r="L40">
        <v>19</v>
      </c>
      <c r="M40">
        <v>20</v>
      </c>
      <c r="N40">
        <v>4</v>
      </c>
      <c r="O40">
        <v>7</v>
      </c>
      <c r="P40">
        <v>10</v>
      </c>
      <c r="Q40">
        <v>12</v>
      </c>
      <c r="R40">
        <v>15</v>
      </c>
      <c r="S40">
        <v>6</v>
      </c>
      <c r="T40">
        <v>9</v>
      </c>
      <c r="U40">
        <v>11</v>
      </c>
      <c r="V40">
        <v>14</v>
      </c>
      <c r="W40">
        <v>17</v>
      </c>
      <c r="X40">
        <v>1</v>
      </c>
      <c r="Y40">
        <v>2</v>
      </c>
      <c r="Z40">
        <v>3</v>
      </c>
      <c r="AA40">
        <v>5</v>
      </c>
      <c r="AB40">
        <v>8</v>
      </c>
      <c r="AD40">
        <f t="shared" ref="AD40:AH40" si="127">SUMIFS($I40:$AB40,$I$2:$AB$2,AD$7)</f>
        <v>24</v>
      </c>
      <c r="AE40">
        <f t="shared" si="127"/>
        <v>34</v>
      </c>
      <c r="AF40">
        <f t="shared" si="127"/>
        <v>42</v>
      </c>
      <c r="AG40">
        <f t="shared" si="127"/>
        <v>50</v>
      </c>
      <c r="AH40">
        <f t="shared" si="127"/>
        <v>60</v>
      </c>
      <c r="AI40">
        <f t="shared" si="90"/>
        <v>134</v>
      </c>
      <c r="AJ40">
        <f t="shared" si="90"/>
        <v>76</v>
      </c>
      <c r="AK40">
        <f t="shared" si="91"/>
        <v>67</v>
      </c>
      <c r="AL40">
        <f t="shared" si="91"/>
        <v>143</v>
      </c>
      <c r="AN40" s="67">
        <f t="shared" ref="AN40:AV40" si="128">((AD40-MIN($AD40:$AL40))/(MAX($AD40:$AL40)-MIN($AD40:$AL40)))</f>
        <v>0</v>
      </c>
      <c r="AO40" s="67">
        <f t="shared" si="128"/>
        <v>8.4033613445378158E-2</v>
      </c>
      <c r="AP40" s="67">
        <f t="shared" si="128"/>
        <v>0.15126050420168066</v>
      </c>
      <c r="AQ40" s="67">
        <f t="shared" si="128"/>
        <v>0.21848739495798319</v>
      </c>
      <c r="AR40" s="67">
        <f t="shared" si="128"/>
        <v>0.30252100840336132</v>
      </c>
      <c r="AS40" s="67">
        <f t="shared" si="128"/>
        <v>0.92436974789915971</v>
      </c>
      <c r="AT40" s="67">
        <f t="shared" si="128"/>
        <v>0.43697478991596639</v>
      </c>
      <c r="AU40" s="67">
        <f t="shared" si="128"/>
        <v>0.36134453781512604</v>
      </c>
      <c r="AV40" s="67">
        <f t="shared" si="128"/>
        <v>1</v>
      </c>
      <c r="AX40">
        <f t="shared" si="8"/>
        <v>0.30252100840336132</v>
      </c>
      <c r="AY40">
        <f t="shared" si="9"/>
        <v>0.48739495798319332</v>
      </c>
      <c r="AZ40">
        <f t="shared" si="10"/>
        <v>0.6386554621848739</v>
      </c>
      <c r="BB40">
        <f t="shared" ref="BB40:BD40" si="129">AX40/SUM($AX40:$AZ40)</f>
        <v>0.21176470588235291</v>
      </c>
      <c r="BC40">
        <f t="shared" si="129"/>
        <v>0.3411764705882353</v>
      </c>
      <c r="BD40">
        <f t="shared" si="129"/>
        <v>0.44705882352941173</v>
      </c>
      <c r="BF40" t="str">
        <f t="shared" si="12"/>
        <v>Sugar</v>
      </c>
      <c r="BG40" t="str">
        <f t="shared" si="13"/>
        <v>B</v>
      </c>
      <c r="BI40">
        <f t="shared" si="14"/>
        <v>3.5</v>
      </c>
      <c r="BJ40" t="str">
        <f t="shared" si="15"/>
        <v>Tennis</v>
      </c>
      <c r="BK40" t="str">
        <f t="shared" si="16"/>
        <v>B</v>
      </c>
      <c r="BS40">
        <f t="shared" si="17"/>
        <v>0.30252100840336132</v>
      </c>
      <c r="BT40">
        <f t="shared" si="31"/>
        <v>0.48739495798319332</v>
      </c>
      <c r="BU40">
        <f t="shared" si="18"/>
        <v>0.6386554621848739</v>
      </c>
      <c r="BW40">
        <f t="shared" ref="BW40:BW71" si="130">(BS40-$BW$4)/$BW$5</f>
        <v>-0.88658687390872204</v>
      </c>
      <c r="BX40">
        <f t="shared" ref="BX40:BX71" si="131">(BT40-$BX$4)/$BX$5</f>
        <v>1.0736817150330213</v>
      </c>
      <c r="BY40">
        <f t="shared" ref="BY40:BY71" si="132">(BU40-$BY$4)/$BY$5</f>
        <v>1.3324785596931055</v>
      </c>
      <c r="CB40">
        <f t="shared" ref="CB40:CB71" si="133">(($CB$3-BW40)^2+($CB$4-BX40)^2+($CB$5-BY40)^2)^(1/2)</f>
        <v>2.2461852548186831</v>
      </c>
      <c r="CC40">
        <f t="shared" ref="CC40:CC71" si="134">(($CC$3-BW40)^2+($CC$4-BX40)^2+($CC$5-BY40)^2)^(1/2)</f>
        <v>3.1082873992764504</v>
      </c>
      <c r="CD40">
        <f t="shared" ref="CD40:CD71" si="135">(($CD$3-BW40)^2+($CD$4-BX40)^2+($CD$5-BY40)^2)^(1/2)</f>
        <v>1.5353660446470228</v>
      </c>
      <c r="CE40">
        <f t="shared" ref="CE40:CE71" si="136">(($CE$3-BW40)^2+($CE$4-BX40)^2+($CE$5-BY40)^2)^(1/2)</f>
        <v>3.292953366201651</v>
      </c>
      <c r="CF40">
        <f t="shared" si="25"/>
        <v>1.5353660446470228</v>
      </c>
      <c r="CJ40" t="str">
        <f t="shared" si="26"/>
        <v>Cluster 3</v>
      </c>
      <c r="CK40" t="str">
        <f t="shared" ref="CK40:CK71" si="137">INDEX($CB$2:$CE$2,,MATCH(CJ40,$CB$7:$CE$7,0))</f>
        <v>Tennis Only</v>
      </c>
      <c r="CL40" t="str">
        <f t="shared" si="27"/>
        <v>Tennis B</v>
      </c>
      <c r="CM40" t="str">
        <f t="shared" si="34"/>
        <v>Diff</v>
      </c>
    </row>
    <row r="41" spans="2:91">
      <c r="H41">
        <v>34</v>
      </c>
      <c r="I41">
        <v>1</v>
      </c>
      <c r="J41">
        <v>2</v>
      </c>
      <c r="K41">
        <v>3</v>
      </c>
      <c r="L41">
        <v>5</v>
      </c>
      <c r="M41">
        <v>8</v>
      </c>
      <c r="N41">
        <v>6</v>
      </c>
      <c r="O41">
        <v>9</v>
      </c>
      <c r="P41">
        <v>11</v>
      </c>
      <c r="Q41">
        <v>14</v>
      </c>
      <c r="R41">
        <v>17</v>
      </c>
      <c r="S41">
        <v>4</v>
      </c>
      <c r="T41">
        <v>7</v>
      </c>
      <c r="U41">
        <v>10</v>
      </c>
      <c r="V41">
        <v>12</v>
      </c>
      <c r="W41">
        <v>15</v>
      </c>
      <c r="X41">
        <v>13</v>
      </c>
      <c r="Y41">
        <v>16</v>
      </c>
      <c r="Z41">
        <v>18</v>
      </c>
      <c r="AA41">
        <v>19</v>
      </c>
      <c r="AB41">
        <v>20</v>
      </c>
      <c r="AD41">
        <f t="shared" ref="AD41:AH41" si="138">SUMIFS($I41:$AB41,$I$2:$AB$2,AD$7)</f>
        <v>24</v>
      </c>
      <c r="AE41">
        <f t="shared" si="138"/>
        <v>34</v>
      </c>
      <c r="AF41">
        <f t="shared" si="138"/>
        <v>42</v>
      </c>
      <c r="AG41">
        <f t="shared" si="138"/>
        <v>50</v>
      </c>
      <c r="AH41">
        <f t="shared" si="138"/>
        <v>60</v>
      </c>
      <c r="AI41">
        <f t="shared" si="90"/>
        <v>76</v>
      </c>
      <c r="AJ41">
        <f t="shared" si="90"/>
        <v>134</v>
      </c>
      <c r="AK41">
        <f t="shared" si="91"/>
        <v>143</v>
      </c>
      <c r="AL41">
        <f t="shared" si="91"/>
        <v>67</v>
      </c>
      <c r="AN41" s="67">
        <f t="shared" ref="AN41:AV41" si="139">((AD41-MIN($AD41:$AL41))/(MAX($AD41:$AL41)-MIN($AD41:$AL41)))</f>
        <v>0</v>
      </c>
      <c r="AO41" s="67">
        <f t="shared" si="139"/>
        <v>8.4033613445378158E-2</v>
      </c>
      <c r="AP41" s="67">
        <f t="shared" si="139"/>
        <v>0.15126050420168066</v>
      </c>
      <c r="AQ41" s="67">
        <f t="shared" si="139"/>
        <v>0.21848739495798319</v>
      </c>
      <c r="AR41" s="67">
        <f t="shared" si="139"/>
        <v>0.30252100840336132</v>
      </c>
      <c r="AS41" s="67">
        <f t="shared" si="139"/>
        <v>0.43697478991596639</v>
      </c>
      <c r="AT41" s="67">
        <f t="shared" si="139"/>
        <v>0.92436974789915971</v>
      </c>
      <c r="AU41" s="67">
        <f t="shared" si="139"/>
        <v>1</v>
      </c>
      <c r="AV41" s="67">
        <f t="shared" si="139"/>
        <v>0.36134453781512604</v>
      </c>
      <c r="AX41">
        <f t="shared" si="8"/>
        <v>0.30252100840336132</v>
      </c>
      <c r="AY41">
        <f t="shared" si="9"/>
        <v>0.48739495798319332</v>
      </c>
      <c r="AZ41">
        <f t="shared" si="10"/>
        <v>0.6386554621848739</v>
      </c>
      <c r="BB41">
        <f t="shared" ref="BB41:BD41" si="140">AX41/SUM($AX41:$AZ41)</f>
        <v>0.21176470588235291</v>
      </c>
      <c r="BC41">
        <f t="shared" si="140"/>
        <v>0.3411764705882353</v>
      </c>
      <c r="BD41">
        <f t="shared" si="140"/>
        <v>0.44705882352941173</v>
      </c>
      <c r="BF41" t="str">
        <f t="shared" si="12"/>
        <v>Sugar</v>
      </c>
      <c r="BG41" t="str">
        <f t="shared" si="13"/>
        <v>A</v>
      </c>
      <c r="BI41">
        <f t="shared" si="14"/>
        <v>3.5</v>
      </c>
      <c r="BJ41" t="str">
        <f t="shared" si="15"/>
        <v>Super Bowl</v>
      </c>
      <c r="BK41" t="str">
        <f t="shared" si="16"/>
        <v>A</v>
      </c>
      <c r="BS41">
        <f t="shared" si="17"/>
        <v>0.30252100840336132</v>
      </c>
      <c r="BT41">
        <f t="shared" si="31"/>
        <v>-0.48739495798319332</v>
      </c>
      <c r="BU41">
        <f t="shared" si="18"/>
        <v>-0.6386554621848739</v>
      </c>
      <c r="BW41">
        <f t="shared" si="130"/>
        <v>-0.88658687390872204</v>
      </c>
      <c r="BX41">
        <f t="shared" si="131"/>
        <v>-1.0577591987136883</v>
      </c>
      <c r="BY41">
        <f t="shared" si="132"/>
        <v>-1.3661185797537068</v>
      </c>
      <c r="CB41">
        <f t="shared" si="133"/>
        <v>2.490960969603321</v>
      </c>
      <c r="CC41">
        <f t="shared" si="134"/>
        <v>3.2776814829627425</v>
      </c>
      <c r="CD41">
        <f t="shared" si="135"/>
        <v>2.5155317221095315</v>
      </c>
      <c r="CE41">
        <f t="shared" si="136"/>
        <v>0.53392286405484746</v>
      </c>
      <c r="CF41">
        <f t="shared" si="25"/>
        <v>0.53392286405484746</v>
      </c>
      <c r="CJ41" t="str">
        <f t="shared" si="26"/>
        <v>Cluster 4</v>
      </c>
      <c r="CK41" t="str">
        <f t="shared" si="137"/>
        <v>A Super Bowl</v>
      </c>
      <c r="CL41" t="str">
        <f t="shared" si="27"/>
        <v>Super Bowl A</v>
      </c>
      <c r="CM41" t="str">
        <f t="shared" ref="CM41:CM72" si="141">IF(CK41=CL41,"","Diff")</f>
        <v>Diff</v>
      </c>
    </row>
    <row r="42" spans="2:91">
      <c r="H42">
        <v>35</v>
      </c>
      <c r="I42">
        <v>1</v>
      </c>
      <c r="J42">
        <v>2</v>
      </c>
      <c r="K42">
        <v>4</v>
      </c>
      <c r="L42">
        <v>7</v>
      </c>
      <c r="M42">
        <v>10</v>
      </c>
      <c r="N42">
        <v>5</v>
      </c>
      <c r="O42">
        <v>8</v>
      </c>
      <c r="P42">
        <v>12</v>
      </c>
      <c r="Q42">
        <v>15</v>
      </c>
      <c r="R42">
        <v>18</v>
      </c>
      <c r="S42">
        <v>3</v>
      </c>
      <c r="T42">
        <v>6</v>
      </c>
      <c r="U42">
        <v>9</v>
      </c>
      <c r="V42">
        <v>13</v>
      </c>
      <c r="W42">
        <v>16</v>
      </c>
      <c r="X42">
        <v>11</v>
      </c>
      <c r="Y42">
        <v>14</v>
      </c>
      <c r="Z42">
        <v>17</v>
      </c>
      <c r="AA42">
        <v>19</v>
      </c>
      <c r="AB42">
        <v>20</v>
      </c>
      <c r="AD42">
        <f t="shared" ref="AD42:AH42" si="142">SUMIFS($I42:$AB42,$I$2:$AB$2,AD$7)</f>
        <v>20</v>
      </c>
      <c r="AE42">
        <f t="shared" si="142"/>
        <v>30</v>
      </c>
      <c r="AF42">
        <f t="shared" si="142"/>
        <v>42</v>
      </c>
      <c r="AG42">
        <f t="shared" si="142"/>
        <v>54</v>
      </c>
      <c r="AH42">
        <f t="shared" si="142"/>
        <v>64</v>
      </c>
      <c r="AI42">
        <f t="shared" si="90"/>
        <v>82</v>
      </c>
      <c r="AJ42">
        <f t="shared" si="90"/>
        <v>128</v>
      </c>
      <c r="AK42">
        <f t="shared" si="91"/>
        <v>139</v>
      </c>
      <c r="AL42">
        <f t="shared" si="91"/>
        <v>71</v>
      </c>
      <c r="AN42" s="67">
        <f t="shared" ref="AN42:AV42" si="143">((AD42-MIN($AD42:$AL42))/(MAX($AD42:$AL42)-MIN($AD42:$AL42)))</f>
        <v>0</v>
      </c>
      <c r="AO42" s="67">
        <f t="shared" si="143"/>
        <v>8.4033613445378158E-2</v>
      </c>
      <c r="AP42" s="67">
        <f t="shared" si="143"/>
        <v>0.18487394957983194</v>
      </c>
      <c r="AQ42" s="67">
        <f t="shared" si="143"/>
        <v>0.2857142857142857</v>
      </c>
      <c r="AR42" s="67">
        <f t="shared" si="143"/>
        <v>0.36974789915966388</v>
      </c>
      <c r="AS42" s="67">
        <f t="shared" si="143"/>
        <v>0.52100840336134457</v>
      </c>
      <c r="AT42" s="67">
        <f t="shared" si="143"/>
        <v>0.90756302521008403</v>
      </c>
      <c r="AU42" s="67">
        <f t="shared" si="143"/>
        <v>1</v>
      </c>
      <c r="AV42" s="67">
        <f t="shared" si="143"/>
        <v>0.42857142857142855</v>
      </c>
      <c r="AX42">
        <f t="shared" si="8"/>
        <v>0.36974789915966388</v>
      </c>
      <c r="AY42">
        <f t="shared" si="9"/>
        <v>0.38655462184873945</v>
      </c>
      <c r="AZ42">
        <f t="shared" si="10"/>
        <v>0.5714285714285714</v>
      </c>
      <c r="BB42">
        <f t="shared" ref="BB42:BD42" si="144">AX42/SUM($AX42:$AZ42)</f>
        <v>0.27848101265822789</v>
      </c>
      <c r="BC42">
        <f t="shared" si="144"/>
        <v>0.29113924050632911</v>
      </c>
      <c r="BD42">
        <f t="shared" si="144"/>
        <v>0.43037974683544306</v>
      </c>
      <c r="BF42" t="str">
        <f t="shared" si="12"/>
        <v>Sugar</v>
      </c>
      <c r="BG42" t="str">
        <f t="shared" si="13"/>
        <v>A</v>
      </c>
      <c r="BI42">
        <f t="shared" si="14"/>
        <v>3.5</v>
      </c>
      <c r="BJ42" t="str">
        <f t="shared" si="15"/>
        <v>Super Bowl</v>
      </c>
      <c r="BK42" t="str">
        <f t="shared" si="16"/>
        <v>A</v>
      </c>
      <c r="BS42">
        <f t="shared" si="17"/>
        <v>0.36974789915966388</v>
      </c>
      <c r="BT42">
        <f t="shared" si="31"/>
        <v>-0.38655462184873945</v>
      </c>
      <c r="BU42">
        <f t="shared" si="18"/>
        <v>-0.5714285714285714</v>
      </c>
      <c r="BW42">
        <f t="shared" si="130"/>
        <v>-0.29438105456653607</v>
      </c>
      <c r="BX42">
        <f t="shared" si="131"/>
        <v>-0.83726531108471813</v>
      </c>
      <c r="BY42">
        <f t="shared" si="132"/>
        <v>-1.2240871513617693</v>
      </c>
      <c r="CB42">
        <f t="shared" si="133"/>
        <v>2.3740382557567234</v>
      </c>
      <c r="CC42">
        <f t="shared" si="134"/>
        <v>2.6513698547172786</v>
      </c>
      <c r="CD42">
        <f t="shared" si="135"/>
        <v>2.2205827379287304</v>
      </c>
      <c r="CE42">
        <f t="shared" si="136"/>
        <v>0.42159691902168522</v>
      </c>
      <c r="CF42">
        <f t="shared" si="25"/>
        <v>0.42159691902168522</v>
      </c>
      <c r="CJ42" t="str">
        <f t="shared" si="26"/>
        <v>Cluster 4</v>
      </c>
      <c r="CK42" t="str">
        <f t="shared" si="137"/>
        <v>A Super Bowl</v>
      </c>
      <c r="CL42" t="str">
        <f t="shared" si="27"/>
        <v>Super Bowl A</v>
      </c>
      <c r="CM42" t="str">
        <f t="shared" si="141"/>
        <v>Diff</v>
      </c>
    </row>
    <row r="43" spans="2:91">
      <c r="H43">
        <v>36</v>
      </c>
      <c r="I43">
        <v>11</v>
      </c>
      <c r="J43">
        <v>14</v>
      </c>
      <c r="K43">
        <v>17</v>
      </c>
      <c r="L43">
        <v>19</v>
      </c>
      <c r="M43">
        <v>20</v>
      </c>
      <c r="N43">
        <v>3</v>
      </c>
      <c r="O43">
        <v>6</v>
      </c>
      <c r="P43">
        <v>9</v>
      </c>
      <c r="Q43">
        <v>13</v>
      </c>
      <c r="R43">
        <v>16</v>
      </c>
      <c r="S43">
        <v>5</v>
      </c>
      <c r="T43">
        <v>8</v>
      </c>
      <c r="U43">
        <v>12</v>
      </c>
      <c r="V43">
        <v>15</v>
      </c>
      <c r="W43">
        <v>18</v>
      </c>
      <c r="X43">
        <v>1</v>
      </c>
      <c r="Y43">
        <v>2</v>
      </c>
      <c r="Z43">
        <v>4</v>
      </c>
      <c r="AA43">
        <v>7</v>
      </c>
      <c r="AB43">
        <v>10</v>
      </c>
      <c r="AD43">
        <f t="shared" ref="AD43:AH43" si="145">SUMIFS($I43:$AB43,$I$2:$AB$2,AD$7)</f>
        <v>20</v>
      </c>
      <c r="AE43">
        <f t="shared" si="145"/>
        <v>30</v>
      </c>
      <c r="AF43">
        <f t="shared" si="145"/>
        <v>42</v>
      </c>
      <c r="AG43">
        <f t="shared" si="145"/>
        <v>54</v>
      </c>
      <c r="AH43">
        <f t="shared" si="145"/>
        <v>64</v>
      </c>
      <c r="AI43">
        <f t="shared" si="90"/>
        <v>128</v>
      </c>
      <c r="AJ43">
        <f t="shared" si="90"/>
        <v>82</v>
      </c>
      <c r="AK43">
        <f t="shared" si="91"/>
        <v>71</v>
      </c>
      <c r="AL43">
        <f t="shared" si="91"/>
        <v>139</v>
      </c>
      <c r="AN43" s="67">
        <f t="shared" ref="AN43:AV43" si="146">((AD43-MIN($AD43:$AL43))/(MAX($AD43:$AL43)-MIN($AD43:$AL43)))</f>
        <v>0</v>
      </c>
      <c r="AO43" s="67">
        <f t="shared" si="146"/>
        <v>8.4033613445378158E-2</v>
      </c>
      <c r="AP43" s="67">
        <f t="shared" si="146"/>
        <v>0.18487394957983194</v>
      </c>
      <c r="AQ43" s="67">
        <f t="shared" si="146"/>
        <v>0.2857142857142857</v>
      </c>
      <c r="AR43" s="67">
        <f t="shared" si="146"/>
        <v>0.36974789915966388</v>
      </c>
      <c r="AS43" s="67">
        <f t="shared" si="146"/>
        <v>0.90756302521008403</v>
      </c>
      <c r="AT43" s="67">
        <f t="shared" si="146"/>
        <v>0.52100840336134457</v>
      </c>
      <c r="AU43" s="67">
        <f t="shared" si="146"/>
        <v>0.42857142857142855</v>
      </c>
      <c r="AV43" s="67">
        <f t="shared" si="146"/>
        <v>1</v>
      </c>
      <c r="AX43">
        <f t="shared" si="8"/>
        <v>0.36974789915966388</v>
      </c>
      <c r="AY43">
        <f t="shared" si="9"/>
        <v>0.38655462184873945</v>
      </c>
      <c r="AZ43">
        <f t="shared" si="10"/>
        <v>0.5714285714285714</v>
      </c>
      <c r="BB43">
        <f t="shared" ref="BB43:BD43" si="147">AX43/SUM($AX43:$AZ43)</f>
        <v>0.27848101265822789</v>
      </c>
      <c r="BC43">
        <f t="shared" si="147"/>
        <v>0.29113924050632911</v>
      </c>
      <c r="BD43">
        <f t="shared" si="147"/>
        <v>0.43037974683544306</v>
      </c>
      <c r="BF43" t="str">
        <f t="shared" si="12"/>
        <v>Sugar</v>
      </c>
      <c r="BG43" t="str">
        <f t="shared" si="13"/>
        <v>B</v>
      </c>
      <c r="BI43">
        <f t="shared" si="14"/>
        <v>3.5</v>
      </c>
      <c r="BJ43" t="str">
        <f t="shared" si="15"/>
        <v>Tennis</v>
      </c>
      <c r="BK43" t="str">
        <f t="shared" si="16"/>
        <v>B</v>
      </c>
      <c r="BS43">
        <f t="shared" si="17"/>
        <v>0.36974789915966388</v>
      </c>
      <c r="BT43">
        <f t="shared" si="31"/>
        <v>0.38655462184873945</v>
      </c>
      <c r="BU43">
        <f t="shared" si="18"/>
        <v>0.5714285714285714</v>
      </c>
      <c r="BW43">
        <f t="shared" si="130"/>
        <v>-0.29438105456653607</v>
      </c>
      <c r="BX43">
        <f t="shared" si="131"/>
        <v>0.8531878274040513</v>
      </c>
      <c r="BY43">
        <f t="shared" si="132"/>
        <v>1.190447131301168</v>
      </c>
      <c r="CB43">
        <f t="shared" si="133"/>
        <v>2.0246640999810945</v>
      </c>
      <c r="CC43">
        <f t="shared" si="134"/>
        <v>2.479864263807086</v>
      </c>
      <c r="CD43">
        <f t="shared" si="135"/>
        <v>1.3597427164424376</v>
      </c>
      <c r="CE43">
        <f t="shared" si="136"/>
        <v>3.0189661876712872</v>
      </c>
      <c r="CF43">
        <f t="shared" si="25"/>
        <v>1.3597427164424376</v>
      </c>
      <c r="CJ43" t="str">
        <f t="shared" si="26"/>
        <v>Cluster 3</v>
      </c>
      <c r="CK43" t="str">
        <f t="shared" si="137"/>
        <v>Tennis Only</v>
      </c>
      <c r="CL43" t="str">
        <f t="shared" si="27"/>
        <v>Tennis B</v>
      </c>
      <c r="CM43" t="str">
        <f t="shared" si="141"/>
        <v>Diff</v>
      </c>
    </row>
    <row r="44" spans="2:91">
      <c r="H44">
        <v>37</v>
      </c>
      <c r="I44">
        <v>4</v>
      </c>
      <c r="J44">
        <v>7</v>
      </c>
      <c r="K44">
        <v>10</v>
      </c>
      <c r="L44">
        <v>13</v>
      </c>
      <c r="M44">
        <v>16</v>
      </c>
      <c r="N44">
        <v>1</v>
      </c>
      <c r="O44">
        <v>2</v>
      </c>
      <c r="P44">
        <v>4</v>
      </c>
      <c r="Q44">
        <v>7</v>
      </c>
      <c r="R44">
        <v>10</v>
      </c>
      <c r="S44">
        <v>13</v>
      </c>
      <c r="T44">
        <v>16</v>
      </c>
      <c r="U44">
        <v>18</v>
      </c>
      <c r="V44">
        <v>19</v>
      </c>
      <c r="W44">
        <v>20</v>
      </c>
      <c r="X44">
        <v>7</v>
      </c>
      <c r="Y44">
        <v>10</v>
      </c>
      <c r="Z44">
        <v>13</v>
      </c>
      <c r="AA44">
        <v>16</v>
      </c>
      <c r="AB44">
        <v>18</v>
      </c>
      <c r="AD44">
        <f t="shared" ref="AD44:AH44" si="148">SUMIFS($I44:$AB44,$I$2:$AB$2,AD$7)</f>
        <v>25</v>
      </c>
      <c r="AE44">
        <f t="shared" si="148"/>
        <v>35</v>
      </c>
      <c r="AF44">
        <f t="shared" si="148"/>
        <v>45</v>
      </c>
      <c r="AG44">
        <f t="shared" si="148"/>
        <v>55</v>
      </c>
      <c r="AH44">
        <f t="shared" si="148"/>
        <v>64</v>
      </c>
      <c r="AI44">
        <f t="shared" si="90"/>
        <v>74</v>
      </c>
      <c r="AJ44">
        <f t="shared" si="90"/>
        <v>150</v>
      </c>
      <c r="AK44">
        <f t="shared" si="91"/>
        <v>88</v>
      </c>
      <c r="AL44">
        <f t="shared" si="91"/>
        <v>136</v>
      </c>
      <c r="AN44" s="67">
        <f t="shared" ref="AN44:AV44" si="149">((AD44-MIN($AD44:$AL44))/(MAX($AD44:$AL44)-MIN($AD44:$AL44)))</f>
        <v>0</v>
      </c>
      <c r="AO44" s="67">
        <f t="shared" si="149"/>
        <v>0.08</v>
      </c>
      <c r="AP44" s="67">
        <f t="shared" si="149"/>
        <v>0.16</v>
      </c>
      <c r="AQ44" s="67">
        <f t="shared" si="149"/>
        <v>0.24</v>
      </c>
      <c r="AR44" s="67">
        <f t="shared" si="149"/>
        <v>0.312</v>
      </c>
      <c r="AS44" s="67">
        <f t="shared" si="149"/>
        <v>0.39200000000000002</v>
      </c>
      <c r="AT44" s="67">
        <f t="shared" si="149"/>
        <v>1</v>
      </c>
      <c r="AU44" s="67">
        <f t="shared" si="149"/>
        <v>0.504</v>
      </c>
      <c r="AV44" s="67">
        <f t="shared" si="149"/>
        <v>0.88800000000000001</v>
      </c>
      <c r="AX44">
        <f t="shared" si="8"/>
        <v>0.312</v>
      </c>
      <c r="AY44">
        <f t="shared" si="9"/>
        <v>0.60799999999999998</v>
      </c>
      <c r="AZ44">
        <f t="shared" si="10"/>
        <v>0.38400000000000001</v>
      </c>
      <c r="BB44">
        <f t="shared" ref="BB44:BD44" si="150">AX44/SUM($AX44:$AZ44)</f>
        <v>0.23926380368098163</v>
      </c>
      <c r="BC44">
        <f t="shared" si="150"/>
        <v>0.46625766871165647</v>
      </c>
      <c r="BD44">
        <f t="shared" si="150"/>
        <v>0.29447852760736198</v>
      </c>
      <c r="BF44" t="str">
        <f t="shared" si="12"/>
        <v xml:space="preserve">Brand </v>
      </c>
      <c r="BG44" t="str">
        <f t="shared" si="13"/>
        <v>Super Bowl</v>
      </c>
      <c r="BI44">
        <f t="shared" si="14"/>
        <v>3.5</v>
      </c>
      <c r="BJ44" t="str">
        <f t="shared" si="15"/>
        <v>Super Bowl</v>
      </c>
      <c r="BK44" t="str">
        <f t="shared" si="16"/>
        <v>B</v>
      </c>
      <c r="BS44">
        <f t="shared" si="17"/>
        <v>0.312</v>
      </c>
      <c r="BT44">
        <f t="shared" si="31"/>
        <v>-0.60799999999999998</v>
      </c>
      <c r="BU44">
        <f t="shared" si="18"/>
        <v>0.38400000000000001</v>
      </c>
      <c r="BW44">
        <f t="shared" si="130"/>
        <v>-0.80308585338147365</v>
      </c>
      <c r="BX44">
        <f t="shared" si="131"/>
        <v>-1.3214698883179361</v>
      </c>
      <c r="BY44">
        <f t="shared" si="132"/>
        <v>0.79446350894444651</v>
      </c>
      <c r="CB44">
        <f t="shared" si="133"/>
        <v>0.40721010266082525</v>
      </c>
      <c r="CC44">
        <f t="shared" si="134"/>
        <v>3.1151244054730052</v>
      </c>
      <c r="CD44">
        <f t="shared" si="135"/>
        <v>2.6136664955989897</v>
      </c>
      <c r="CE44">
        <f t="shared" si="136"/>
        <v>1.871393176965245</v>
      </c>
      <c r="CF44">
        <f t="shared" si="25"/>
        <v>0.40721010266082525</v>
      </c>
      <c r="CJ44" t="str">
        <f t="shared" si="26"/>
        <v>Cluster 1</v>
      </c>
      <c r="CK44" t="str">
        <f t="shared" si="137"/>
        <v>B Super Bowl</v>
      </c>
      <c r="CL44" t="str">
        <f t="shared" si="27"/>
        <v>Super Bowl B</v>
      </c>
      <c r="CM44" t="str">
        <f t="shared" si="141"/>
        <v>Diff</v>
      </c>
    </row>
    <row r="45" spans="2:91">
      <c r="H45">
        <v>38</v>
      </c>
      <c r="I45">
        <v>12</v>
      </c>
      <c r="J45">
        <v>15</v>
      </c>
      <c r="K45">
        <v>18</v>
      </c>
      <c r="L45">
        <v>19</v>
      </c>
      <c r="M45">
        <v>20</v>
      </c>
      <c r="N45">
        <v>5</v>
      </c>
      <c r="O45">
        <v>8</v>
      </c>
      <c r="P45">
        <v>11</v>
      </c>
      <c r="Q45">
        <v>14</v>
      </c>
      <c r="R45">
        <v>17</v>
      </c>
      <c r="S45">
        <v>4</v>
      </c>
      <c r="T45">
        <v>7</v>
      </c>
      <c r="U45">
        <v>10</v>
      </c>
      <c r="V45">
        <v>13</v>
      </c>
      <c r="W45">
        <v>16</v>
      </c>
      <c r="X45">
        <v>1</v>
      </c>
      <c r="Y45">
        <v>2</v>
      </c>
      <c r="Z45">
        <v>3</v>
      </c>
      <c r="AA45">
        <v>6</v>
      </c>
      <c r="AB45">
        <v>9</v>
      </c>
      <c r="AD45">
        <f t="shared" ref="AD45:AH45" si="151">SUMIFS($I45:$AB45,$I$2:$AB$2,AD$7)</f>
        <v>22</v>
      </c>
      <c r="AE45">
        <f t="shared" si="151"/>
        <v>32</v>
      </c>
      <c r="AF45">
        <f t="shared" si="151"/>
        <v>42</v>
      </c>
      <c r="AG45">
        <f t="shared" si="151"/>
        <v>52</v>
      </c>
      <c r="AH45">
        <f t="shared" si="151"/>
        <v>62</v>
      </c>
      <c r="AI45">
        <f t="shared" si="90"/>
        <v>139</v>
      </c>
      <c r="AJ45">
        <f t="shared" si="90"/>
        <v>71</v>
      </c>
      <c r="AK45">
        <f t="shared" si="91"/>
        <v>76</v>
      </c>
      <c r="AL45">
        <f t="shared" si="91"/>
        <v>134</v>
      </c>
      <c r="AN45" s="67">
        <f t="shared" ref="AN45:AV45" si="152">((AD45-MIN($AD45:$AL45))/(MAX($AD45:$AL45)-MIN($AD45:$AL45)))</f>
        <v>0</v>
      </c>
      <c r="AO45" s="67">
        <f t="shared" si="152"/>
        <v>8.5470085470085472E-2</v>
      </c>
      <c r="AP45" s="67">
        <f t="shared" si="152"/>
        <v>0.17094017094017094</v>
      </c>
      <c r="AQ45" s="67">
        <f t="shared" si="152"/>
        <v>0.25641025641025639</v>
      </c>
      <c r="AR45" s="67">
        <f t="shared" si="152"/>
        <v>0.34188034188034189</v>
      </c>
      <c r="AS45" s="67">
        <f t="shared" si="152"/>
        <v>1</v>
      </c>
      <c r="AT45" s="67">
        <f t="shared" si="152"/>
        <v>0.41880341880341881</v>
      </c>
      <c r="AU45" s="67">
        <f t="shared" si="152"/>
        <v>0.46153846153846156</v>
      </c>
      <c r="AV45" s="67">
        <f t="shared" si="152"/>
        <v>0.95726495726495731</v>
      </c>
      <c r="AX45">
        <f t="shared" si="8"/>
        <v>0.34188034188034189</v>
      </c>
      <c r="AY45">
        <f t="shared" si="9"/>
        <v>0.58119658119658113</v>
      </c>
      <c r="AZ45">
        <f t="shared" si="10"/>
        <v>0.49572649572649574</v>
      </c>
      <c r="BB45">
        <f t="shared" ref="BB45:BD45" si="153">AX45/SUM($AX45:$AZ45)</f>
        <v>0.24096385542168677</v>
      </c>
      <c r="BC45">
        <f t="shared" si="153"/>
        <v>0.40963855421686746</v>
      </c>
      <c r="BD45">
        <f t="shared" si="153"/>
        <v>0.34939759036144585</v>
      </c>
      <c r="BF45" t="str">
        <f t="shared" si="12"/>
        <v xml:space="preserve">Brand </v>
      </c>
      <c r="BG45" t="str">
        <f t="shared" si="13"/>
        <v>Tennis</v>
      </c>
      <c r="BI45">
        <f t="shared" si="14"/>
        <v>3.5</v>
      </c>
      <c r="BJ45" t="str">
        <f t="shared" si="15"/>
        <v>Tennis</v>
      </c>
      <c r="BK45" t="str">
        <f t="shared" si="16"/>
        <v>B</v>
      </c>
      <c r="BS45">
        <f t="shared" si="17"/>
        <v>0.34188034188034189</v>
      </c>
      <c r="BT45">
        <f t="shared" si="31"/>
        <v>0.58119658119658113</v>
      </c>
      <c r="BU45">
        <f t="shared" si="18"/>
        <v>0.49572649572649574</v>
      </c>
      <c r="BW45">
        <f t="shared" si="130"/>
        <v>-0.53986808224257044</v>
      </c>
      <c r="BX45">
        <f t="shared" si="131"/>
        <v>1.2787850036679462</v>
      </c>
      <c r="BY45">
        <f t="shared" si="132"/>
        <v>1.0305100313811875</v>
      </c>
      <c r="CB45">
        <f t="shared" si="133"/>
        <v>2.4256581232390313</v>
      </c>
      <c r="CC45">
        <f t="shared" si="134"/>
        <v>2.7599361554454043</v>
      </c>
      <c r="CD45">
        <f t="shared" si="135"/>
        <v>1.1874580690425542</v>
      </c>
      <c r="CE45">
        <f t="shared" si="136"/>
        <v>3.2093265822714914</v>
      </c>
      <c r="CF45">
        <f t="shared" si="25"/>
        <v>1.1874580690425542</v>
      </c>
      <c r="CJ45" t="str">
        <f t="shared" si="26"/>
        <v>Cluster 3</v>
      </c>
      <c r="CK45" t="str">
        <f t="shared" si="137"/>
        <v>Tennis Only</v>
      </c>
      <c r="CL45" t="str">
        <f t="shared" si="27"/>
        <v>Tennis B</v>
      </c>
      <c r="CM45" t="str">
        <f t="shared" si="141"/>
        <v>Diff</v>
      </c>
    </row>
    <row r="46" spans="2:91">
      <c r="H46">
        <v>39</v>
      </c>
      <c r="I46">
        <v>11</v>
      </c>
      <c r="J46">
        <v>14</v>
      </c>
      <c r="K46">
        <v>17</v>
      </c>
      <c r="L46">
        <v>19</v>
      </c>
      <c r="M46">
        <v>20</v>
      </c>
      <c r="N46">
        <v>3</v>
      </c>
      <c r="O46">
        <v>6</v>
      </c>
      <c r="P46">
        <v>9</v>
      </c>
      <c r="Q46">
        <v>13</v>
      </c>
      <c r="R46">
        <v>16</v>
      </c>
      <c r="S46">
        <v>5</v>
      </c>
      <c r="T46">
        <v>8</v>
      </c>
      <c r="U46">
        <v>12</v>
      </c>
      <c r="V46">
        <v>15</v>
      </c>
      <c r="W46">
        <v>18</v>
      </c>
      <c r="X46">
        <v>1</v>
      </c>
      <c r="Y46">
        <v>2</v>
      </c>
      <c r="Z46">
        <v>4</v>
      </c>
      <c r="AA46">
        <v>7</v>
      </c>
      <c r="AB46">
        <v>10</v>
      </c>
      <c r="AD46">
        <f t="shared" ref="AD46:AH46" si="154">SUMIFS($I46:$AB46,$I$2:$AB$2,AD$7)</f>
        <v>20</v>
      </c>
      <c r="AE46">
        <f t="shared" si="154"/>
        <v>30</v>
      </c>
      <c r="AF46">
        <f t="shared" si="154"/>
        <v>42</v>
      </c>
      <c r="AG46">
        <f t="shared" si="154"/>
        <v>54</v>
      </c>
      <c r="AH46">
        <f t="shared" si="154"/>
        <v>64</v>
      </c>
      <c r="AI46">
        <f t="shared" si="90"/>
        <v>128</v>
      </c>
      <c r="AJ46">
        <f t="shared" si="90"/>
        <v>82</v>
      </c>
      <c r="AK46">
        <f t="shared" si="91"/>
        <v>71</v>
      </c>
      <c r="AL46">
        <f t="shared" si="91"/>
        <v>139</v>
      </c>
      <c r="AN46" s="67">
        <f t="shared" ref="AN46:AV46" si="155">((AD46-MIN($AD46:$AL46))/(MAX($AD46:$AL46)-MIN($AD46:$AL46)))</f>
        <v>0</v>
      </c>
      <c r="AO46" s="67">
        <f t="shared" si="155"/>
        <v>8.4033613445378158E-2</v>
      </c>
      <c r="AP46" s="67">
        <f t="shared" si="155"/>
        <v>0.18487394957983194</v>
      </c>
      <c r="AQ46" s="67">
        <f t="shared" si="155"/>
        <v>0.2857142857142857</v>
      </c>
      <c r="AR46" s="67">
        <f t="shared" si="155"/>
        <v>0.36974789915966388</v>
      </c>
      <c r="AS46" s="67">
        <f t="shared" si="155"/>
        <v>0.90756302521008403</v>
      </c>
      <c r="AT46" s="67">
        <f t="shared" si="155"/>
        <v>0.52100840336134457</v>
      </c>
      <c r="AU46" s="67">
        <f t="shared" si="155"/>
        <v>0.42857142857142855</v>
      </c>
      <c r="AV46" s="67">
        <f t="shared" si="155"/>
        <v>1</v>
      </c>
      <c r="AX46">
        <f t="shared" si="8"/>
        <v>0.36974789915966388</v>
      </c>
      <c r="AY46">
        <f t="shared" si="9"/>
        <v>0.38655462184873945</v>
      </c>
      <c r="AZ46">
        <f t="shared" si="10"/>
        <v>0.5714285714285714</v>
      </c>
      <c r="BB46">
        <f t="shared" ref="BB46:BD46" si="156">AX46/SUM($AX46:$AZ46)</f>
        <v>0.27848101265822789</v>
      </c>
      <c r="BC46">
        <f t="shared" si="156"/>
        <v>0.29113924050632911</v>
      </c>
      <c r="BD46">
        <f t="shared" si="156"/>
        <v>0.43037974683544306</v>
      </c>
      <c r="BF46" t="str">
        <f t="shared" si="12"/>
        <v>Sugar</v>
      </c>
      <c r="BG46" t="str">
        <f t="shared" si="13"/>
        <v>B</v>
      </c>
      <c r="BI46">
        <f t="shared" si="14"/>
        <v>3.5</v>
      </c>
      <c r="BJ46" t="str">
        <f t="shared" si="15"/>
        <v>Tennis</v>
      </c>
      <c r="BK46" t="str">
        <f t="shared" si="16"/>
        <v>B</v>
      </c>
      <c r="BS46">
        <f t="shared" si="17"/>
        <v>0.36974789915966388</v>
      </c>
      <c r="BT46">
        <f t="shared" si="31"/>
        <v>0.38655462184873945</v>
      </c>
      <c r="BU46">
        <f t="shared" si="18"/>
        <v>0.5714285714285714</v>
      </c>
      <c r="BW46">
        <f t="shared" si="130"/>
        <v>-0.29438105456653607</v>
      </c>
      <c r="BX46">
        <f t="shared" si="131"/>
        <v>0.8531878274040513</v>
      </c>
      <c r="BY46">
        <f t="shared" si="132"/>
        <v>1.190447131301168</v>
      </c>
      <c r="CB46">
        <f t="shared" si="133"/>
        <v>2.0246640999810945</v>
      </c>
      <c r="CC46">
        <f t="shared" si="134"/>
        <v>2.479864263807086</v>
      </c>
      <c r="CD46">
        <f t="shared" si="135"/>
        <v>1.3597427164424376</v>
      </c>
      <c r="CE46">
        <f t="shared" si="136"/>
        <v>3.0189661876712872</v>
      </c>
      <c r="CF46">
        <f t="shared" si="25"/>
        <v>1.3597427164424376</v>
      </c>
      <c r="CJ46" t="str">
        <f t="shared" si="26"/>
        <v>Cluster 3</v>
      </c>
      <c r="CK46" t="str">
        <f t="shared" si="137"/>
        <v>Tennis Only</v>
      </c>
      <c r="CL46" t="str">
        <f t="shared" si="27"/>
        <v>Tennis B</v>
      </c>
      <c r="CM46" t="str">
        <f t="shared" si="141"/>
        <v>Diff</v>
      </c>
    </row>
    <row r="47" spans="2:91">
      <c r="H47">
        <v>40</v>
      </c>
      <c r="I47">
        <v>12</v>
      </c>
      <c r="J47">
        <v>15</v>
      </c>
      <c r="K47">
        <v>18</v>
      </c>
      <c r="L47">
        <v>19</v>
      </c>
      <c r="M47">
        <v>20</v>
      </c>
      <c r="N47">
        <v>5</v>
      </c>
      <c r="O47">
        <v>8</v>
      </c>
      <c r="P47">
        <v>11</v>
      </c>
      <c r="Q47">
        <v>14</v>
      </c>
      <c r="R47">
        <v>17</v>
      </c>
      <c r="S47">
        <v>5</v>
      </c>
      <c r="T47">
        <v>8</v>
      </c>
      <c r="U47">
        <v>11</v>
      </c>
      <c r="V47">
        <v>14</v>
      </c>
      <c r="W47">
        <v>17</v>
      </c>
      <c r="X47">
        <v>1</v>
      </c>
      <c r="Y47">
        <v>2</v>
      </c>
      <c r="Z47">
        <v>3</v>
      </c>
      <c r="AA47">
        <v>6</v>
      </c>
      <c r="AB47">
        <v>9</v>
      </c>
      <c r="AD47">
        <f t="shared" ref="AD47:AH47" si="157">SUMIFS($I47:$AB47,$I$2:$AB$2,AD$7)</f>
        <v>23</v>
      </c>
      <c r="AE47">
        <f t="shared" si="157"/>
        <v>33</v>
      </c>
      <c r="AF47">
        <f t="shared" si="157"/>
        <v>43</v>
      </c>
      <c r="AG47">
        <f t="shared" si="157"/>
        <v>53</v>
      </c>
      <c r="AH47">
        <f t="shared" si="157"/>
        <v>63</v>
      </c>
      <c r="AI47">
        <f t="shared" si="90"/>
        <v>139</v>
      </c>
      <c r="AJ47">
        <f t="shared" si="90"/>
        <v>76</v>
      </c>
      <c r="AK47">
        <f t="shared" si="91"/>
        <v>76</v>
      </c>
      <c r="AL47">
        <f t="shared" si="91"/>
        <v>139</v>
      </c>
      <c r="AN47" s="67">
        <f t="shared" ref="AN47:AV47" si="158">((AD47-MIN($AD47:$AL47))/(MAX($AD47:$AL47)-MIN($AD47:$AL47)))</f>
        <v>0</v>
      </c>
      <c r="AO47" s="67">
        <f t="shared" si="158"/>
        <v>8.6206896551724144E-2</v>
      </c>
      <c r="AP47" s="67">
        <f t="shared" si="158"/>
        <v>0.17241379310344829</v>
      </c>
      <c r="AQ47" s="67">
        <f t="shared" si="158"/>
        <v>0.25862068965517243</v>
      </c>
      <c r="AR47" s="67">
        <f t="shared" si="158"/>
        <v>0.34482758620689657</v>
      </c>
      <c r="AS47" s="67">
        <f t="shared" si="158"/>
        <v>1</v>
      </c>
      <c r="AT47" s="67">
        <f t="shared" si="158"/>
        <v>0.45689655172413796</v>
      </c>
      <c r="AU47" s="67">
        <f t="shared" si="158"/>
        <v>0.45689655172413796</v>
      </c>
      <c r="AV47" s="67">
        <f t="shared" si="158"/>
        <v>1</v>
      </c>
      <c r="AX47">
        <f t="shared" si="8"/>
        <v>0.34482758620689657</v>
      </c>
      <c r="AY47">
        <f t="shared" si="9"/>
        <v>0.5431034482758621</v>
      </c>
      <c r="AZ47">
        <f t="shared" si="10"/>
        <v>0.5431034482758621</v>
      </c>
      <c r="BB47">
        <f t="shared" ref="BB47:BD47" si="159">AX47/SUM($AX47:$AZ47)</f>
        <v>0.24096385542168675</v>
      </c>
      <c r="BC47">
        <f t="shared" si="159"/>
        <v>0.37951807228915663</v>
      </c>
      <c r="BD47">
        <f t="shared" si="159"/>
        <v>0.37951807228915663</v>
      </c>
      <c r="BF47" t="str">
        <f t="shared" si="12"/>
        <v xml:space="preserve">Brand </v>
      </c>
      <c r="BG47" t="str">
        <f t="shared" si="13"/>
        <v>Tennis</v>
      </c>
      <c r="BI47">
        <f t="shared" si="14"/>
        <v>3.5</v>
      </c>
      <c r="BJ47" t="str">
        <f t="shared" si="15"/>
        <v>Tennis</v>
      </c>
      <c r="BK47" t="str">
        <f t="shared" si="16"/>
        <v>B</v>
      </c>
      <c r="BS47">
        <f t="shared" si="17"/>
        <v>0.34482758620689657</v>
      </c>
      <c r="BT47">
        <f t="shared" si="31"/>
        <v>0.5431034482758621</v>
      </c>
      <c r="BU47">
        <f t="shared" si="18"/>
        <v>0.5431034482758621</v>
      </c>
      <c r="BW47">
        <f t="shared" si="130"/>
        <v>-0.51390562552958763</v>
      </c>
      <c r="BX47">
        <f t="shared" si="131"/>
        <v>1.19549191588552</v>
      </c>
      <c r="BY47">
        <f t="shared" si="132"/>
        <v>1.13060414800241</v>
      </c>
      <c r="CB47">
        <f t="shared" si="133"/>
        <v>2.3422217475235896</v>
      </c>
      <c r="CC47">
        <f t="shared" si="134"/>
        <v>2.745394868443237</v>
      </c>
      <c r="CD47">
        <f t="shared" si="135"/>
        <v>1.2752473476294015</v>
      </c>
      <c r="CE47">
        <f t="shared" si="136"/>
        <v>3.2126397968291247</v>
      </c>
      <c r="CF47">
        <f t="shared" si="25"/>
        <v>1.2752473476294015</v>
      </c>
      <c r="CJ47" t="str">
        <f t="shared" si="26"/>
        <v>Cluster 3</v>
      </c>
      <c r="CK47" t="str">
        <f t="shared" si="137"/>
        <v>Tennis Only</v>
      </c>
      <c r="CL47" t="str">
        <f t="shared" si="27"/>
        <v>Tennis B</v>
      </c>
      <c r="CM47" t="str">
        <f t="shared" si="141"/>
        <v>Diff</v>
      </c>
    </row>
    <row r="48" spans="2:91">
      <c r="H48">
        <v>41</v>
      </c>
      <c r="I48">
        <v>1</v>
      </c>
      <c r="J48">
        <v>5</v>
      </c>
      <c r="K48">
        <v>9</v>
      </c>
      <c r="L48">
        <v>13</v>
      </c>
      <c r="M48">
        <v>17</v>
      </c>
      <c r="N48">
        <v>2</v>
      </c>
      <c r="O48">
        <v>6</v>
      </c>
      <c r="P48">
        <v>10</v>
      </c>
      <c r="Q48">
        <v>14</v>
      </c>
      <c r="R48">
        <v>18</v>
      </c>
      <c r="S48">
        <v>3</v>
      </c>
      <c r="T48">
        <v>7</v>
      </c>
      <c r="U48">
        <v>11</v>
      </c>
      <c r="V48">
        <v>15</v>
      </c>
      <c r="W48">
        <v>19</v>
      </c>
      <c r="X48">
        <v>4</v>
      </c>
      <c r="Y48">
        <v>8</v>
      </c>
      <c r="Z48">
        <v>12</v>
      </c>
      <c r="AA48">
        <v>16</v>
      </c>
      <c r="AB48">
        <v>20</v>
      </c>
      <c r="AD48">
        <f t="shared" ref="AD48:AH48" si="160">SUMIFS($I48:$AB48,$I$2:$AB$2,AD$7)</f>
        <v>10</v>
      </c>
      <c r="AE48">
        <f t="shared" si="160"/>
        <v>26</v>
      </c>
      <c r="AF48">
        <f t="shared" si="160"/>
        <v>42</v>
      </c>
      <c r="AG48">
        <f t="shared" si="160"/>
        <v>58</v>
      </c>
      <c r="AH48">
        <f t="shared" si="160"/>
        <v>74</v>
      </c>
      <c r="AI48">
        <f t="shared" ref="AI48:AJ67" si="161">SUMIFS($I48:$AB48,$I$3:$AB$3,AI$7)</f>
        <v>95</v>
      </c>
      <c r="AJ48">
        <f t="shared" si="161"/>
        <v>115</v>
      </c>
      <c r="AK48">
        <f t="shared" ref="AK48:AL67" si="162">SUMIFS($I48:$AB48,$I$4:$AB$4,AK$7)</f>
        <v>110</v>
      </c>
      <c r="AL48">
        <f t="shared" si="162"/>
        <v>100</v>
      </c>
      <c r="AN48" s="67">
        <f t="shared" ref="AN48:AV48" si="163">((AD48-MIN($AD48:$AL48))/(MAX($AD48:$AL48)-MIN($AD48:$AL48)))</f>
        <v>0</v>
      </c>
      <c r="AO48" s="67">
        <f t="shared" si="163"/>
        <v>0.15238095238095239</v>
      </c>
      <c r="AP48" s="67">
        <f t="shared" si="163"/>
        <v>0.30476190476190479</v>
      </c>
      <c r="AQ48" s="67">
        <f t="shared" si="163"/>
        <v>0.45714285714285713</v>
      </c>
      <c r="AR48" s="67">
        <f t="shared" si="163"/>
        <v>0.60952380952380958</v>
      </c>
      <c r="AS48" s="67">
        <f t="shared" si="163"/>
        <v>0.80952380952380953</v>
      </c>
      <c r="AT48" s="67">
        <f t="shared" si="163"/>
        <v>1</v>
      </c>
      <c r="AU48" s="67">
        <f t="shared" si="163"/>
        <v>0.95238095238095233</v>
      </c>
      <c r="AV48" s="67">
        <f t="shared" si="163"/>
        <v>0.8571428571428571</v>
      </c>
      <c r="AX48">
        <f t="shared" si="8"/>
        <v>0.60952380952380958</v>
      </c>
      <c r="AY48">
        <f t="shared" si="9"/>
        <v>0.19047619047619047</v>
      </c>
      <c r="AZ48">
        <f t="shared" si="10"/>
        <v>9.5238095238095233E-2</v>
      </c>
      <c r="BB48">
        <f t="shared" ref="BB48:BD48" si="164">AX48/SUM($AX48:$AZ48)</f>
        <v>0.68085106382978722</v>
      </c>
      <c r="BC48">
        <f t="shared" si="164"/>
        <v>0.21276595744680848</v>
      </c>
      <c r="BD48">
        <f t="shared" si="164"/>
        <v>0.10638297872340424</v>
      </c>
      <c r="BF48" t="str">
        <f t="shared" si="12"/>
        <v>Price</v>
      </c>
      <c r="BG48">
        <f t="shared" si="13"/>
        <v>3.5</v>
      </c>
      <c r="BI48">
        <f t="shared" si="14"/>
        <v>3.5</v>
      </c>
      <c r="BJ48" t="str">
        <f t="shared" si="15"/>
        <v>Super Bowl</v>
      </c>
      <c r="BK48" t="str">
        <f t="shared" si="16"/>
        <v>A</v>
      </c>
      <c r="BS48">
        <f t="shared" si="17"/>
        <v>0.60952380952380958</v>
      </c>
      <c r="BT48">
        <f t="shared" si="31"/>
        <v>-0.19047619047619047</v>
      </c>
      <c r="BU48">
        <f t="shared" si="18"/>
        <v>-9.5238095238095233E-2</v>
      </c>
      <c r="BW48">
        <f t="shared" si="130"/>
        <v>1.8178197010872597</v>
      </c>
      <c r="BX48">
        <f t="shared" si="131"/>
        <v>-0.40852719625060985</v>
      </c>
      <c r="BY48">
        <f t="shared" si="132"/>
        <v>-0.21803120025221195</v>
      </c>
      <c r="CB48">
        <f t="shared" si="133"/>
        <v>2.8654964495961277</v>
      </c>
      <c r="CC48">
        <f t="shared" si="134"/>
        <v>0.6649815866308193</v>
      </c>
      <c r="CD48">
        <f t="shared" si="135"/>
        <v>2.7202486921151494</v>
      </c>
      <c r="CE48">
        <f t="shared" si="136"/>
        <v>2.5550538866964199</v>
      </c>
      <c r="CF48">
        <f t="shared" si="25"/>
        <v>0.6649815866308193</v>
      </c>
      <c r="CJ48" t="str">
        <f t="shared" si="26"/>
        <v>Cluster 2</v>
      </c>
      <c r="CK48" t="str">
        <f t="shared" si="137"/>
        <v>Price Only</v>
      </c>
      <c r="CL48" t="str">
        <f t="shared" si="27"/>
        <v>Price Only</v>
      </c>
      <c r="CM48" t="str">
        <f t="shared" si="141"/>
        <v/>
      </c>
    </row>
    <row r="49" spans="8:91">
      <c r="H49">
        <v>42</v>
      </c>
      <c r="I49">
        <v>1</v>
      </c>
      <c r="J49">
        <v>2</v>
      </c>
      <c r="K49">
        <v>3</v>
      </c>
      <c r="L49">
        <v>6</v>
      </c>
      <c r="M49">
        <v>9</v>
      </c>
      <c r="N49">
        <v>5</v>
      </c>
      <c r="O49">
        <v>8</v>
      </c>
      <c r="P49">
        <v>11</v>
      </c>
      <c r="Q49">
        <v>14</v>
      </c>
      <c r="R49">
        <v>17</v>
      </c>
      <c r="S49">
        <v>4</v>
      </c>
      <c r="T49">
        <v>7</v>
      </c>
      <c r="U49">
        <v>10</v>
      </c>
      <c r="V49">
        <v>13</v>
      </c>
      <c r="W49">
        <v>16</v>
      </c>
      <c r="X49">
        <v>12</v>
      </c>
      <c r="Y49">
        <v>15</v>
      </c>
      <c r="Z49">
        <v>18</v>
      </c>
      <c r="AA49">
        <v>19</v>
      </c>
      <c r="AB49">
        <v>20</v>
      </c>
      <c r="AD49">
        <f t="shared" ref="AD49:AH49" si="165">SUMIFS($I49:$AB49,$I$2:$AB$2,AD$7)</f>
        <v>22</v>
      </c>
      <c r="AE49">
        <f t="shared" si="165"/>
        <v>32</v>
      </c>
      <c r="AF49">
        <f t="shared" si="165"/>
        <v>42</v>
      </c>
      <c r="AG49">
        <f t="shared" si="165"/>
        <v>52</v>
      </c>
      <c r="AH49">
        <f t="shared" si="165"/>
        <v>62</v>
      </c>
      <c r="AI49">
        <f t="shared" si="161"/>
        <v>76</v>
      </c>
      <c r="AJ49">
        <f t="shared" si="161"/>
        <v>134</v>
      </c>
      <c r="AK49">
        <f t="shared" si="162"/>
        <v>139</v>
      </c>
      <c r="AL49">
        <f t="shared" si="162"/>
        <v>71</v>
      </c>
      <c r="AN49" s="67">
        <f t="shared" ref="AN49:AV49" si="166">((AD49-MIN($AD49:$AL49))/(MAX($AD49:$AL49)-MIN($AD49:$AL49)))</f>
        <v>0</v>
      </c>
      <c r="AO49" s="67">
        <f t="shared" si="166"/>
        <v>8.5470085470085472E-2</v>
      </c>
      <c r="AP49" s="67">
        <f t="shared" si="166"/>
        <v>0.17094017094017094</v>
      </c>
      <c r="AQ49" s="67">
        <f t="shared" si="166"/>
        <v>0.25641025641025639</v>
      </c>
      <c r="AR49" s="67">
        <f t="shared" si="166"/>
        <v>0.34188034188034189</v>
      </c>
      <c r="AS49" s="67">
        <f t="shared" si="166"/>
        <v>0.46153846153846156</v>
      </c>
      <c r="AT49" s="67">
        <f t="shared" si="166"/>
        <v>0.95726495726495731</v>
      </c>
      <c r="AU49" s="67">
        <f t="shared" si="166"/>
        <v>1</v>
      </c>
      <c r="AV49" s="67">
        <f t="shared" si="166"/>
        <v>0.41880341880341881</v>
      </c>
      <c r="AX49">
        <f t="shared" si="8"/>
        <v>0.34188034188034189</v>
      </c>
      <c r="AY49">
        <f t="shared" si="9"/>
        <v>0.49572649572649574</v>
      </c>
      <c r="AZ49">
        <f t="shared" si="10"/>
        <v>0.58119658119658113</v>
      </c>
      <c r="BB49">
        <f t="shared" ref="BB49:BD49" si="167">AX49/SUM($AX49:$AZ49)</f>
        <v>0.24096385542168677</v>
      </c>
      <c r="BC49">
        <f t="shared" si="167"/>
        <v>0.34939759036144585</v>
      </c>
      <c r="BD49">
        <f t="shared" si="167"/>
        <v>0.40963855421686746</v>
      </c>
      <c r="BF49" t="str">
        <f t="shared" si="12"/>
        <v>Sugar</v>
      </c>
      <c r="BG49" t="str">
        <f t="shared" si="13"/>
        <v>A</v>
      </c>
      <c r="BI49">
        <f t="shared" si="14"/>
        <v>3.5</v>
      </c>
      <c r="BJ49" t="str">
        <f t="shared" si="15"/>
        <v>Super Bowl</v>
      </c>
      <c r="BK49" t="str">
        <f t="shared" si="16"/>
        <v>A</v>
      </c>
      <c r="BS49">
        <f t="shared" si="17"/>
        <v>0.34188034188034189</v>
      </c>
      <c r="BT49">
        <f t="shared" si="31"/>
        <v>-0.49572649572649574</v>
      </c>
      <c r="BU49">
        <f t="shared" si="18"/>
        <v>-0.58119658119658113</v>
      </c>
      <c r="BW49">
        <f t="shared" si="130"/>
        <v>-0.53986808224257044</v>
      </c>
      <c r="BX49">
        <f t="shared" si="131"/>
        <v>-1.0759766424209249</v>
      </c>
      <c r="BY49">
        <f t="shared" si="132"/>
        <v>-1.2447241965127345</v>
      </c>
      <c r="CB49">
        <f t="shared" si="133"/>
        <v>2.3551506904715747</v>
      </c>
      <c r="CC49">
        <f t="shared" si="134"/>
        <v>2.9540165685047981</v>
      </c>
      <c r="CD49">
        <f t="shared" si="135"/>
        <v>2.4371732000694042</v>
      </c>
      <c r="CE49">
        <f t="shared" si="136"/>
        <v>0.23211873975450495</v>
      </c>
      <c r="CF49">
        <f t="shared" si="25"/>
        <v>0.23211873975450495</v>
      </c>
      <c r="CJ49" t="str">
        <f t="shared" si="26"/>
        <v>Cluster 4</v>
      </c>
      <c r="CK49" t="str">
        <f t="shared" si="137"/>
        <v>A Super Bowl</v>
      </c>
      <c r="CL49" t="str">
        <f t="shared" si="27"/>
        <v>Super Bowl A</v>
      </c>
      <c r="CM49" t="str">
        <f t="shared" si="141"/>
        <v>Diff</v>
      </c>
    </row>
    <row r="50" spans="8:91">
      <c r="H50">
        <v>43</v>
      </c>
      <c r="I50">
        <v>4</v>
      </c>
      <c r="J50">
        <v>8</v>
      </c>
      <c r="K50">
        <v>12</v>
      </c>
      <c r="L50">
        <v>16</v>
      </c>
      <c r="M50">
        <v>20</v>
      </c>
      <c r="N50">
        <v>3</v>
      </c>
      <c r="O50">
        <v>7</v>
      </c>
      <c r="P50">
        <v>11</v>
      </c>
      <c r="Q50">
        <v>15</v>
      </c>
      <c r="R50">
        <v>19</v>
      </c>
      <c r="S50">
        <v>2</v>
      </c>
      <c r="T50">
        <v>6</v>
      </c>
      <c r="U50">
        <v>10</v>
      </c>
      <c r="V50">
        <v>14</v>
      </c>
      <c r="W50">
        <v>18</v>
      </c>
      <c r="X50">
        <v>1</v>
      </c>
      <c r="Y50">
        <v>5</v>
      </c>
      <c r="Z50">
        <v>9</v>
      </c>
      <c r="AA50">
        <v>13</v>
      </c>
      <c r="AB50">
        <v>17</v>
      </c>
      <c r="AD50">
        <f t="shared" ref="AD50:AH50" si="168">SUMIFS($I50:$AB50,$I$2:$AB$2,AD$7)</f>
        <v>10</v>
      </c>
      <c r="AE50">
        <f t="shared" si="168"/>
        <v>26</v>
      </c>
      <c r="AF50">
        <f t="shared" si="168"/>
        <v>42</v>
      </c>
      <c r="AG50">
        <f t="shared" si="168"/>
        <v>58</v>
      </c>
      <c r="AH50">
        <f t="shared" si="168"/>
        <v>74</v>
      </c>
      <c r="AI50">
        <f t="shared" si="161"/>
        <v>115</v>
      </c>
      <c r="AJ50">
        <f t="shared" si="161"/>
        <v>95</v>
      </c>
      <c r="AK50">
        <f t="shared" si="162"/>
        <v>100</v>
      </c>
      <c r="AL50">
        <f t="shared" si="162"/>
        <v>110</v>
      </c>
      <c r="AN50" s="67">
        <f t="shared" ref="AN50:AV50" si="169">((AD50-MIN($AD50:$AL50))/(MAX($AD50:$AL50)-MIN($AD50:$AL50)))</f>
        <v>0</v>
      </c>
      <c r="AO50" s="67">
        <f t="shared" si="169"/>
        <v>0.15238095238095239</v>
      </c>
      <c r="AP50" s="67">
        <f t="shared" si="169"/>
        <v>0.30476190476190479</v>
      </c>
      <c r="AQ50" s="67">
        <f t="shared" si="169"/>
        <v>0.45714285714285713</v>
      </c>
      <c r="AR50" s="67">
        <f t="shared" si="169"/>
        <v>0.60952380952380958</v>
      </c>
      <c r="AS50" s="67">
        <f t="shared" si="169"/>
        <v>1</v>
      </c>
      <c r="AT50" s="67">
        <f t="shared" si="169"/>
        <v>0.80952380952380953</v>
      </c>
      <c r="AU50" s="67">
        <f t="shared" si="169"/>
        <v>0.8571428571428571</v>
      </c>
      <c r="AV50" s="67">
        <f t="shared" si="169"/>
        <v>0.95238095238095233</v>
      </c>
      <c r="AX50">
        <f t="shared" si="8"/>
        <v>0.60952380952380958</v>
      </c>
      <c r="AY50">
        <f t="shared" si="9"/>
        <v>0.19047619047619047</v>
      </c>
      <c r="AZ50">
        <f t="shared" si="10"/>
        <v>9.5238095238095233E-2</v>
      </c>
      <c r="BB50">
        <f t="shared" ref="BB50:BD50" si="170">AX50/SUM($AX50:$AZ50)</f>
        <v>0.68085106382978722</v>
      </c>
      <c r="BC50">
        <f t="shared" si="170"/>
        <v>0.21276595744680848</v>
      </c>
      <c r="BD50">
        <f t="shared" si="170"/>
        <v>0.10638297872340424</v>
      </c>
      <c r="BF50" t="str">
        <f t="shared" si="12"/>
        <v>Price</v>
      </c>
      <c r="BG50">
        <f t="shared" si="13"/>
        <v>3.5</v>
      </c>
      <c r="BI50">
        <f t="shared" si="14"/>
        <v>3.5</v>
      </c>
      <c r="BJ50" t="str">
        <f t="shared" si="15"/>
        <v>Tennis</v>
      </c>
      <c r="BK50" t="str">
        <f t="shared" si="16"/>
        <v>B</v>
      </c>
      <c r="BS50">
        <f t="shared" si="17"/>
        <v>0.60952380952380958</v>
      </c>
      <c r="BT50">
        <f t="shared" si="31"/>
        <v>0.19047619047619047</v>
      </c>
      <c r="BU50">
        <f t="shared" si="18"/>
        <v>9.5238095238095233E-2</v>
      </c>
      <c r="BW50">
        <f t="shared" si="130"/>
        <v>1.8178197010872597</v>
      </c>
      <c r="BX50">
        <f t="shared" si="131"/>
        <v>0.42444971256994318</v>
      </c>
      <c r="BY50">
        <f t="shared" si="132"/>
        <v>0.18439118019161094</v>
      </c>
      <c r="CB50">
        <f t="shared" si="133"/>
        <v>3.0373518932461994</v>
      </c>
      <c r="CC50">
        <f t="shared" si="134"/>
        <v>0.26833047118697734</v>
      </c>
      <c r="CD50">
        <f t="shared" si="135"/>
        <v>2.3851184056843331</v>
      </c>
      <c r="CE50">
        <f t="shared" si="136"/>
        <v>3.0523913537765708</v>
      </c>
      <c r="CF50">
        <f t="shared" si="25"/>
        <v>0.26833047118697734</v>
      </c>
      <c r="CJ50" t="str">
        <f t="shared" si="26"/>
        <v>Cluster 2</v>
      </c>
      <c r="CK50" t="str">
        <f t="shared" si="137"/>
        <v>Price Only</v>
      </c>
      <c r="CL50" t="str">
        <f t="shared" si="27"/>
        <v>Price Only</v>
      </c>
      <c r="CM50" t="str">
        <f t="shared" si="141"/>
        <v/>
      </c>
    </row>
    <row r="51" spans="8:91">
      <c r="H51">
        <v>44</v>
      </c>
      <c r="I51">
        <v>1</v>
      </c>
      <c r="J51">
        <v>2</v>
      </c>
      <c r="K51">
        <v>4</v>
      </c>
      <c r="L51">
        <v>7</v>
      </c>
      <c r="M51">
        <v>10</v>
      </c>
      <c r="N51">
        <v>3</v>
      </c>
      <c r="O51">
        <v>6</v>
      </c>
      <c r="P51">
        <v>9</v>
      </c>
      <c r="Q51">
        <v>13</v>
      </c>
      <c r="R51">
        <v>16</v>
      </c>
      <c r="S51">
        <v>5</v>
      </c>
      <c r="T51">
        <v>8</v>
      </c>
      <c r="U51">
        <v>12</v>
      </c>
      <c r="V51">
        <v>15</v>
      </c>
      <c r="W51">
        <v>18</v>
      </c>
      <c r="X51">
        <v>11</v>
      </c>
      <c r="Y51">
        <v>14</v>
      </c>
      <c r="Z51">
        <v>17</v>
      </c>
      <c r="AA51">
        <v>19</v>
      </c>
      <c r="AB51">
        <v>20</v>
      </c>
      <c r="AD51">
        <f t="shared" ref="AD51:AH51" si="171">SUMIFS($I51:$AB51,$I$2:$AB$2,AD$7)</f>
        <v>20</v>
      </c>
      <c r="AE51">
        <f t="shared" si="171"/>
        <v>30</v>
      </c>
      <c r="AF51">
        <f t="shared" si="171"/>
        <v>42</v>
      </c>
      <c r="AG51">
        <f t="shared" si="171"/>
        <v>54</v>
      </c>
      <c r="AH51">
        <f t="shared" si="171"/>
        <v>64</v>
      </c>
      <c r="AI51">
        <f t="shared" si="161"/>
        <v>71</v>
      </c>
      <c r="AJ51">
        <f t="shared" si="161"/>
        <v>139</v>
      </c>
      <c r="AK51">
        <f t="shared" si="162"/>
        <v>128</v>
      </c>
      <c r="AL51">
        <f t="shared" si="162"/>
        <v>82</v>
      </c>
      <c r="AN51" s="67">
        <f t="shared" ref="AN51:AV51" si="172">((AD51-MIN($AD51:$AL51))/(MAX($AD51:$AL51)-MIN($AD51:$AL51)))</f>
        <v>0</v>
      </c>
      <c r="AO51" s="67">
        <f t="shared" si="172"/>
        <v>8.4033613445378158E-2</v>
      </c>
      <c r="AP51" s="67">
        <f t="shared" si="172"/>
        <v>0.18487394957983194</v>
      </c>
      <c r="AQ51" s="67">
        <f t="shared" si="172"/>
        <v>0.2857142857142857</v>
      </c>
      <c r="AR51" s="67">
        <f t="shared" si="172"/>
        <v>0.36974789915966388</v>
      </c>
      <c r="AS51" s="67">
        <f t="shared" si="172"/>
        <v>0.42857142857142855</v>
      </c>
      <c r="AT51" s="67">
        <f t="shared" si="172"/>
        <v>1</v>
      </c>
      <c r="AU51" s="67">
        <f t="shared" si="172"/>
        <v>0.90756302521008403</v>
      </c>
      <c r="AV51" s="67">
        <f t="shared" si="172"/>
        <v>0.52100840336134457</v>
      </c>
      <c r="AX51">
        <f t="shared" si="8"/>
        <v>0.36974789915966388</v>
      </c>
      <c r="AY51">
        <f t="shared" si="9"/>
        <v>0.5714285714285714</v>
      </c>
      <c r="AZ51">
        <f t="shared" si="10"/>
        <v>0.38655462184873945</v>
      </c>
      <c r="BB51">
        <f t="shared" ref="BB51:BD51" si="173">AX51/SUM($AX51:$AZ51)</f>
        <v>0.27848101265822789</v>
      </c>
      <c r="BC51">
        <f t="shared" si="173"/>
        <v>0.43037974683544306</v>
      </c>
      <c r="BD51">
        <f t="shared" si="173"/>
        <v>0.29113924050632911</v>
      </c>
      <c r="BF51" t="str">
        <f t="shared" si="12"/>
        <v xml:space="preserve">Brand </v>
      </c>
      <c r="BG51" t="str">
        <f t="shared" si="13"/>
        <v>Super Bowl</v>
      </c>
      <c r="BI51">
        <f t="shared" si="14"/>
        <v>3.5</v>
      </c>
      <c r="BJ51" t="str">
        <f t="shared" si="15"/>
        <v>Super Bowl</v>
      </c>
      <c r="BK51" t="str">
        <f t="shared" si="16"/>
        <v>A</v>
      </c>
      <c r="BS51">
        <f t="shared" si="17"/>
        <v>0.36974789915966388</v>
      </c>
      <c r="BT51">
        <f t="shared" si="31"/>
        <v>-0.5714285714285714</v>
      </c>
      <c r="BU51">
        <f t="shared" si="18"/>
        <v>-0.38655462184873945</v>
      </c>
      <c r="BW51">
        <f t="shared" si="130"/>
        <v>-0.29438105456653607</v>
      </c>
      <c r="BX51">
        <f t="shared" si="131"/>
        <v>-1.2415041050711628</v>
      </c>
      <c r="BY51">
        <f t="shared" si="132"/>
        <v>-0.83350072328394098</v>
      </c>
      <c r="CB51">
        <f t="shared" si="133"/>
        <v>1.9701867330341092</v>
      </c>
      <c r="CC51">
        <f t="shared" si="134"/>
        <v>2.6867152799916112</v>
      </c>
      <c r="CD51">
        <f t="shared" si="135"/>
        <v>2.4414332584832024</v>
      </c>
      <c r="CE51">
        <f t="shared" si="136"/>
        <v>0.28650203300308619</v>
      </c>
      <c r="CF51">
        <f t="shared" si="25"/>
        <v>0.28650203300308619</v>
      </c>
      <c r="CJ51" t="str">
        <f t="shared" si="26"/>
        <v>Cluster 4</v>
      </c>
      <c r="CK51" t="str">
        <f t="shared" si="137"/>
        <v>A Super Bowl</v>
      </c>
      <c r="CL51" t="str">
        <f t="shared" si="27"/>
        <v>Super Bowl A</v>
      </c>
      <c r="CM51" t="str">
        <f t="shared" si="141"/>
        <v>Diff</v>
      </c>
    </row>
    <row r="52" spans="8:91">
      <c r="H52">
        <v>45</v>
      </c>
      <c r="I52">
        <v>3</v>
      </c>
      <c r="J52">
        <v>6</v>
      </c>
      <c r="K52">
        <v>10</v>
      </c>
      <c r="L52">
        <v>14</v>
      </c>
      <c r="M52">
        <v>17</v>
      </c>
      <c r="N52">
        <v>1</v>
      </c>
      <c r="O52">
        <v>2</v>
      </c>
      <c r="P52">
        <v>5</v>
      </c>
      <c r="Q52">
        <v>8</v>
      </c>
      <c r="R52">
        <v>12</v>
      </c>
      <c r="S52">
        <v>9</v>
      </c>
      <c r="T52">
        <v>13</v>
      </c>
      <c r="U52">
        <v>16</v>
      </c>
      <c r="V52">
        <v>19</v>
      </c>
      <c r="W52">
        <v>20</v>
      </c>
      <c r="X52">
        <v>4</v>
      </c>
      <c r="Y52">
        <v>7</v>
      </c>
      <c r="Z52">
        <v>11</v>
      </c>
      <c r="AA52">
        <v>15</v>
      </c>
      <c r="AB52">
        <v>18</v>
      </c>
      <c r="AD52">
        <f t="shared" ref="AD52:AH52" si="174">SUMIFS($I52:$AB52,$I$2:$AB$2,AD$7)</f>
        <v>17</v>
      </c>
      <c r="AE52">
        <f t="shared" si="174"/>
        <v>28</v>
      </c>
      <c r="AF52">
        <f t="shared" si="174"/>
        <v>42</v>
      </c>
      <c r="AG52">
        <f t="shared" si="174"/>
        <v>56</v>
      </c>
      <c r="AH52">
        <f t="shared" si="174"/>
        <v>67</v>
      </c>
      <c r="AI52">
        <f t="shared" si="161"/>
        <v>78</v>
      </c>
      <c r="AJ52">
        <f t="shared" si="161"/>
        <v>132</v>
      </c>
      <c r="AK52">
        <f t="shared" si="162"/>
        <v>83</v>
      </c>
      <c r="AL52">
        <f t="shared" si="162"/>
        <v>127</v>
      </c>
      <c r="AN52" s="67">
        <f t="shared" ref="AN52:AV52" si="175">((AD52-MIN($AD52:$AL52))/(MAX($AD52:$AL52)-MIN($AD52:$AL52)))</f>
        <v>0</v>
      </c>
      <c r="AO52" s="67">
        <f t="shared" si="175"/>
        <v>9.5652173913043481E-2</v>
      </c>
      <c r="AP52" s="67">
        <f t="shared" si="175"/>
        <v>0.21739130434782608</v>
      </c>
      <c r="AQ52" s="67">
        <f t="shared" si="175"/>
        <v>0.33913043478260868</v>
      </c>
      <c r="AR52" s="67">
        <f t="shared" si="175"/>
        <v>0.43478260869565216</v>
      </c>
      <c r="AS52" s="67">
        <f t="shared" si="175"/>
        <v>0.5304347826086957</v>
      </c>
      <c r="AT52" s="67">
        <f t="shared" si="175"/>
        <v>1</v>
      </c>
      <c r="AU52" s="67">
        <f t="shared" si="175"/>
        <v>0.57391304347826089</v>
      </c>
      <c r="AV52" s="67">
        <f t="shared" si="175"/>
        <v>0.95652173913043481</v>
      </c>
      <c r="AX52">
        <f t="shared" si="8"/>
        <v>0.43478260869565216</v>
      </c>
      <c r="AY52">
        <f t="shared" si="9"/>
        <v>0.4695652173913043</v>
      </c>
      <c r="AZ52">
        <f t="shared" si="10"/>
        <v>0.38260869565217392</v>
      </c>
      <c r="BB52">
        <f t="shared" ref="BB52:BD52" si="176">AX52/SUM($AX52:$AZ52)</f>
        <v>0.33783783783783783</v>
      </c>
      <c r="BC52">
        <f t="shared" si="176"/>
        <v>0.36486486486486486</v>
      </c>
      <c r="BD52">
        <f t="shared" si="176"/>
        <v>0.29729729729729731</v>
      </c>
      <c r="BF52" t="str">
        <f t="shared" si="12"/>
        <v xml:space="preserve">Brand </v>
      </c>
      <c r="BG52" t="str">
        <f t="shared" si="13"/>
        <v>Super Bowl</v>
      </c>
      <c r="BI52">
        <f t="shared" si="14"/>
        <v>3.5</v>
      </c>
      <c r="BJ52" t="str">
        <f t="shared" si="15"/>
        <v>Super Bowl</v>
      </c>
      <c r="BK52" t="str">
        <f t="shared" si="16"/>
        <v>B</v>
      </c>
      <c r="BS52">
        <f t="shared" si="17"/>
        <v>0.43478260869565216</v>
      </c>
      <c r="BT52">
        <f t="shared" si="31"/>
        <v>-0.4695652173913043</v>
      </c>
      <c r="BU52">
        <f t="shared" si="18"/>
        <v>0.38260869565217392</v>
      </c>
      <c r="BW52">
        <f t="shared" si="130"/>
        <v>0.27851370544927367</v>
      </c>
      <c r="BX52">
        <f t="shared" si="131"/>
        <v>-1.0187733229300151</v>
      </c>
      <c r="BY52">
        <f t="shared" si="132"/>
        <v>0.79152407590468299</v>
      </c>
      <c r="CB52">
        <f t="shared" si="133"/>
        <v>0.95470239303710469</v>
      </c>
      <c r="CC52">
        <f t="shared" si="134"/>
        <v>2.0995817296596577</v>
      </c>
      <c r="CD52">
        <f t="shared" si="135"/>
        <v>2.4202982628106944</v>
      </c>
      <c r="CE52">
        <f t="shared" si="136"/>
        <v>1.9892372574607908</v>
      </c>
      <c r="CF52">
        <f t="shared" si="25"/>
        <v>0.95470239303710469</v>
      </c>
      <c r="CJ52" t="str">
        <f t="shared" si="26"/>
        <v>Cluster 1</v>
      </c>
      <c r="CK52" t="str">
        <f t="shared" si="137"/>
        <v>B Super Bowl</v>
      </c>
      <c r="CL52" t="str">
        <f t="shared" si="27"/>
        <v>Super Bowl B</v>
      </c>
      <c r="CM52" t="str">
        <f t="shared" si="141"/>
        <v>Diff</v>
      </c>
    </row>
    <row r="53" spans="8:91">
      <c r="H53">
        <v>46</v>
      </c>
      <c r="I53">
        <v>4</v>
      </c>
      <c r="J53">
        <v>7</v>
      </c>
      <c r="K53">
        <v>10</v>
      </c>
      <c r="L53">
        <v>12</v>
      </c>
      <c r="M53">
        <v>15</v>
      </c>
      <c r="N53">
        <v>1</v>
      </c>
      <c r="O53">
        <v>2</v>
      </c>
      <c r="P53">
        <v>3</v>
      </c>
      <c r="Q53">
        <v>5</v>
      </c>
      <c r="R53">
        <v>8</v>
      </c>
      <c r="S53">
        <v>13</v>
      </c>
      <c r="T53">
        <v>16</v>
      </c>
      <c r="U53">
        <v>18</v>
      </c>
      <c r="V53">
        <v>19</v>
      </c>
      <c r="W53">
        <v>20</v>
      </c>
      <c r="X53">
        <v>6</v>
      </c>
      <c r="Y53">
        <v>9</v>
      </c>
      <c r="Z53">
        <v>11</v>
      </c>
      <c r="AA53">
        <v>14</v>
      </c>
      <c r="AB53">
        <v>17</v>
      </c>
      <c r="AD53">
        <f t="shared" ref="AD53:AH53" si="177">SUMIFS($I53:$AB53,$I$2:$AB$2,AD$7)</f>
        <v>24</v>
      </c>
      <c r="AE53">
        <f t="shared" si="177"/>
        <v>34</v>
      </c>
      <c r="AF53">
        <f t="shared" si="177"/>
        <v>42</v>
      </c>
      <c r="AG53">
        <f t="shared" si="177"/>
        <v>50</v>
      </c>
      <c r="AH53">
        <f t="shared" si="177"/>
        <v>60</v>
      </c>
      <c r="AI53">
        <f t="shared" si="161"/>
        <v>67</v>
      </c>
      <c r="AJ53">
        <f t="shared" si="161"/>
        <v>143</v>
      </c>
      <c r="AK53">
        <f t="shared" si="162"/>
        <v>76</v>
      </c>
      <c r="AL53">
        <f t="shared" si="162"/>
        <v>134</v>
      </c>
      <c r="AN53" s="67">
        <f t="shared" ref="AN53:AV53" si="178">((AD53-MIN($AD53:$AL53))/(MAX($AD53:$AL53)-MIN($AD53:$AL53)))</f>
        <v>0</v>
      </c>
      <c r="AO53" s="67">
        <f t="shared" si="178"/>
        <v>8.4033613445378158E-2</v>
      </c>
      <c r="AP53" s="67">
        <f t="shared" si="178"/>
        <v>0.15126050420168066</v>
      </c>
      <c r="AQ53" s="67">
        <f t="shared" si="178"/>
        <v>0.21848739495798319</v>
      </c>
      <c r="AR53" s="67">
        <f t="shared" si="178"/>
        <v>0.30252100840336132</v>
      </c>
      <c r="AS53" s="67">
        <f t="shared" si="178"/>
        <v>0.36134453781512604</v>
      </c>
      <c r="AT53" s="67">
        <f t="shared" si="178"/>
        <v>1</v>
      </c>
      <c r="AU53" s="67">
        <f t="shared" si="178"/>
        <v>0.43697478991596639</v>
      </c>
      <c r="AV53" s="67">
        <f t="shared" si="178"/>
        <v>0.92436974789915971</v>
      </c>
      <c r="AX53">
        <f t="shared" si="8"/>
        <v>0.30252100840336132</v>
      </c>
      <c r="AY53">
        <f t="shared" si="9"/>
        <v>0.6386554621848739</v>
      </c>
      <c r="AZ53">
        <f t="shared" si="10"/>
        <v>0.48739495798319332</v>
      </c>
      <c r="BB53">
        <f t="shared" ref="BB53:BD53" si="179">AX53/SUM($AX53:$AZ53)</f>
        <v>0.21176470588235291</v>
      </c>
      <c r="BC53">
        <f t="shared" si="179"/>
        <v>0.44705882352941173</v>
      </c>
      <c r="BD53">
        <f t="shared" si="179"/>
        <v>0.3411764705882353</v>
      </c>
      <c r="BF53" t="str">
        <f t="shared" si="12"/>
        <v xml:space="preserve">Brand </v>
      </c>
      <c r="BG53" t="str">
        <f t="shared" si="13"/>
        <v>Super Bowl</v>
      </c>
      <c r="BI53">
        <f t="shared" si="14"/>
        <v>3.5</v>
      </c>
      <c r="BJ53" t="str">
        <f t="shared" si="15"/>
        <v>Super Bowl</v>
      </c>
      <c r="BK53" t="str">
        <f t="shared" si="16"/>
        <v>B</v>
      </c>
      <c r="BS53">
        <f t="shared" si="17"/>
        <v>0.30252100840336132</v>
      </c>
      <c r="BT53">
        <f t="shared" si="31"/>
        <v>-0.6386554621848739</v>
      </c>
      <c r="BU53">
        <f t="shared" si="18"/>
        <v>0.48739495798319332</v>
      </c>
      <c r="BW53">
        <f t="shared" si="130"/>
        <v>-0.88658687390872204</v>
      </c>
      <c r="BX53">
        <f t="shared" si="131"/>
        <v>-1.3885000301571429</v>
      </c>
      <c r="BY53">
        <f t="shared" si="132"/>
        <v>1.0129078458112464</v>
      </c>
      <c r="CB53">
        <f t="shared" si="133"/>
        <v>0.37857413786475774</v>
      </c>
      <c r="CC53">
        <f t="shared" si="134"/>
        <v>3.27714760927975</v>
      </c>
      <c r="CD53">
        <f t="shared" si="135"/>
        <v>2.7715072870737076</v>
      </c>
      <c r="CE53">
        <f t="shared" si="136"/>
        <v>2.1067305917995012</v>
      </c>
      <c r="CF53">
        <f t="shared" si="25"/>
        <v>0.37857413786475774</v>
      </c>
      <c r="CJ53" t="str">
        <f t="shared" si="26"/>
        <v>Cluster 1</v>
      </c>
      <c r="CK53" t="str">
        <f t="shared" si="137"/>
        <v>B Super Bowl</v>
      </c>
      <c r="CL53" t="str">
        <f t="shared" si="27"/>
        <v>Super Bowl B</v>
      </c>
      <c r="CM53" t="str">
        <f t="shared" si="141"/>
        <v>Diff</v>
      </c>
    </row>
    <row r="54" spans="8:91">
      <c r="H54">
        <v>47</v>
      </c>
      <c r="I54">
        <v>3</v>
      </c>
      <c r="J54">
        <v>6</v>
      </c>
      <c r="K54">
        <v>9</v>
      </c>
      <c r="L54">
        <v>13</v>
      </c>
      <c r="M54">
        <v>16</v>
      </c>
      <c r="N54">
        <v>1</v>
      </c>
      <c r="O54">
        <v>2</v>
      </c>
      <c r="P54">
        <v>4</v>
      </c>
      <c r="Q54">
        <v>7</v>
      </c>
      <c r="R54">
        <v>10</v>
      </c>
      <c r="S54">
        <v>11</v>
      </c>
      <c r="T54">
        <v>14</v>
      </c>
      <c r="U54">
        <v>17</v>
      </c>
      <c r="V54">
        <v>19</v>
      </c>
      <c r="W54">
        <v>20</v>
      </c>
      <c r="X54">
        <v>5</v>
      </c>
      <c r="Y54">
        <v>8</v>
      </c>
      <c r="Z54">
        <v>12</v>
      </c>
      <c r="AA54">
        <v>15</v>
      </c>
      <c r="AB54">
        <v>18</v>
      </c>
      <c r="AD54">
        <f t="shared" ref="AD54:AH54" si="180">SUMIFS($I54:$AB54,$I$2:$AB$2,AD$7)</f>
        <v>20</v>
      </c>
      <c r="AE54">
        <f t="shared" si="180"/>
        <v>30</v>
      </c>
      <c r="AF54">
        <f t="shared" si="180"/>
        <v>42</v>
      </c>
      <c r="AG54">
        <f t="shared" si="180"/>
        <v>54</v>
      </c>
      <c r="AH54">
        <f t="shared" si="180"/>
        <v>64</v>
      </c>
      <c r="AI54">
        <f t="shared" si="161"/>
        <v>71</v>
      </c>
      <c r="AJ54">
        <f t="shared" si="161"/>
        <v>139</v>
      </c>
      <c r="AK54">
        <f t="shared" si="162"/>
        <v>82</v>
      </c>
      <c r="AL54">
        <f t="shared" si="162"/>
        <v>128</v>
      </c>
      <c r="AN54" s="67">
        <f t="shared" ref="AN54:AV54" si="181">((AD54-MIN($AD54:$AL54))/(MAX($AD54:$AL54)-MIN($AD54:$AL54)))</f>
        <v>0</v>
      </c>
      <c r="AO54" s="67">
        <f t="shared" si="181"/>
        <v>8.4033613445378158E-2</v>
      </c>
      <c r="AP54" s="67">
        <f t="shared" si="181"/>
        <v>0.18487394957983194</v>
      </c>
      <c r="AQ54" s="67">
        <f t="shared" si="181"/>
        <v>0.2857142857142857</v>
      </c>
      <c r="AR54" s="67">
        <f t="shared" si="181"/>
        <v>0.36974789915966388</v>
      </c>
      <c r="AS54" s="67">
        <f t="shared" si="181"/>
        <v>0.42857142857142855</v>
      </c>
      <c r="AT54" s="67">
        <f t="shared" si="181"/>
        <v>1</v>
      </c>
      <c r="AU54" s="67">
        <f t="shared" si="181"/>
        <v>0.52100840336134457</v>
      </c>
      <c r="AV54" s="67">
        <f t="shared" si="181"/>
        <v>0.90756302521008403</v>
      </c>
      <c r="AX54">
        <f t="shared" si="8"/>
        <v>0.36974789915966388</v>
      </c>
      <c r="AY54">
        <f t="shared" si="9"/>
        <v>0.5714285714285714</v>
      </c>
      <c r="AZ54">
        <f t="shared" si="10"/>
        <v>0.38655462184873945</v>
      </c>
      <c r="BB54">
        <f t="shared" ref="BB54:BD54" si="182">AX54/SUM($AX54:$AZ54)</f>
        <v>0.27848101265822789</v>
      </c>
      <c r="BC54">
        <f t="shared" si="182"/>
        <v>0.43037974683544306</v>
      </c>
      <c r="BD54">
        <f t="shared" si="182"/>
        <v>0.29113924050632911</v>
      </c>
      <c r="BF54" t="str">
        <f t="shared" si="12"/>
        <v xml:space="preserve">Brand </v>
      </c>
      <c r="BG54" t="str">
        <f t="shared" si="13"/>
        <v>Super Bowl</v>
      </c>
      <c r="BI54">
        <f t="shared" si="14"/>
        <v>3.5</v>
      </c>
      <c r="BJ54" t="str">
        <f t="shared" si="15"/>
        <v>Super Bowl</v>
      </c>
      <c r="BK54" t="str">
        <f t="shared" si="16"/>
        <v>B</v>
      </c>
      <c r="BS54">
        <f t="shared" si="17"/>
        <v>0.36974789915966388</v>
      </c>
      <c r="BT54">
        <f t="shared" si="31"/>
        <v>-0.5714285714285714</v>
      </c>
      <c r="BU54">
        <f t="shared" si="18"/>
        <v>0.38655462184873945</v>
      </c>
      <c r="BW54">
        <f t="shared" si="130"/>
        <v>-0.29438105456653607</v>
      </c>
      <c r="BX54">
        <f t="shared" si="131"/>
        <v>-1.2415041050711628</v>
      </c>
      <c r="BY54">
        <f t="shared" si="132"/>
        <v>0.79986070322334002</v>
      </c>
      <c r="CB54">
        <f t="shared" si="133"/>
        <v>0.45412902564818763</v>
      </c>
      <c r="CC54">
        <f t="shared" si="134"/>
        <v>2.6621099390850027</v>
      </c>
      <c r="CD54">
        <f t="shared" si="135"/>
        <v>2.5217906110720958</v>
      </c>
      <c r="CE54">
        <f t="shared" si="136"/>
        <v>1.8524863378328453</v>
      </c>
      <c r="CF54">
        <f t="shared" si="25"/>
        <v>0.45412902564818763</v>
      </c>
      <c r="CJ54" t="str">
        <f t="shared" si="26"/>
        <v>Cluster 1</v>
      </c>
      <c r="CK54" t="str">
        <f t="shared" si="137"/>
        <v>B Super Bowl</v>
      </c>
      <c r="CL54" t="str">
        <f t="shared" si="27"/>
        <v>Super Bowl B</v>
      </c>
      <c r="CM54" t="str">
        <f t="shared" si="141"/>
        <v>Diff</v>
      </c>
    </row>
    <row r="55" spans="8:91">
      <c r="H55">
        <v>48</v>
      </c>
      <c r="I55">
        <v>3</v>
      </c>
      <c r="J55">
        <v>6</v>
      </c>
      <c r="K55">
        <v>9</v>
      </c>
      <c r="L55">
        <v>13</v>
      </c>
      <c r="M55">
        <v>16</v>
      </c>
      <c r="N55">
        <v>11</v>
      </c>
      <c r="O55">
        <v>14</v>
      </c>
      <c r="P55">
        <v>17</v>
      </c>
      <c r="Q55">
        <v>19</v>
      </c>
      <c r="R55">
        <v>20</v>
      </c>
      <c r="S55">
        <v>1</v>
      </c>
      <c r="T55">
        <v>2</v>
      </c>
      <c r="U55">
        <v>4</v>
      </c>
      <c r="V55">
        <v>7</v>
      </c>
      <c r="W55">
        <v>10</v>
      </c>
      <c r="X55">
        <v>5</v>
      </c>
      <c r="Y55">
        <v>8</v>
      </c>
      <c r="Z55">
        <v>12</v>
      </c>
      <c r="AA55">
        <v>15</v>
      </c>
      <c r="AB55">
        <v>18</v>
      </c>
      <c r="AD55">
        <f t="shared" ref="AD55:AH55" si="183">SUMIFS($I55:$AB55,$I$2:$AB$2,AD$7)</f>
        <v>20</v>
      </c>
      <c r="AE55">
        <f t="shared" si="183"/>
        <v>30</v>
      </c>
      <c r="AF55">
        <f t="shared" si="183"/>
        <v>42</v>
      </c>
      <c r="AG55">
        <f t="shared" si="183"/>
        <v>54</v>
      </c>
      <c r="AH55">
        <f t="shared" si="183"/>
        <v>64</v>
      </c>
      <c r="AI55">
        <f t="shared" si="161"/>
        <v>128</v>
      </c>
      <c r="AJ55">
        <f t="shared" si="161"/>
        <v>82</v>
      </c>
      <c r="AK55">
        <f t="shared" si="162"/>
        <v>139</v>
      </c>
      <c r="AL55">
        <f t="shared" si="162"/>
        <v>71</v>
      </c>
      <c r="AN55" s="67">
        <f t="shared" ref="AN55:AV55" si="184">((AD55-MIN($AD55:$AL55))/(MAX($AD55:$AL55)-MIN($AD55:$AL55)))</f>
        <v>0</v>
      </c>
      <c r="AO55" s="67">
        <f t="shared" si="184"/>
        <v>8.4033613445378158E-2</v>
      </c>
      <c r="AP55" s="67">
        <f t="shared" si="184"/>
        <v>0.18487394957983194</v>
      </c>
      <c r="AQ55" s="67">
        <f t="shared" si="184"/>
        <v>0.2857142857142857</v>
      </c>
      <c r="AR55" s="67">
        <f t="shared" si="184"/>
        <v>0.36974789915966388</v>
      </c>
      <c r="AS55" s="67">
        <f t="shared" si="184"/>
        <v>0.90756302521008403</v>
      </c>
      <c r="AT55" s="67">
        <f t="shared" si="184"/>
        <v>0.52100840336134457</v>
      </c>
      <c r="AU55" s="67">
        <f t="shared" si="184"/>
        <v>1</v>
      </c>
      <c r="AV55" s="67">
        <f t="shared" si="184"/>
        <v>0.42857142857142855</v>
      </c>
      <c r="AX55">
        <f t="shared" si="8"/>
        <v>0.36974789915966388</v>
      </c>
      <c r="AY55">
        <f t="shared" si="9"/>
        <v>0.38655462184873945</v>
      </c>
      <c r="AZ55">
        <f t="shared" si="10"/>
        <v>0.5714285714285714</v>
      </c>
      <c r="BB55">
        <f t="shared" ref="BB55:BD55" si="185">AX55/SUM($AX55:$AZ55)</f>
        <v>0.27848101265822789</v>
      </c>
      <c r="BC55">
        <f t="shared" si="185"/>
        <v>0.29113924050632911</v>
      </c>
      <c r="BD55">
        <f t="shared" si="185"/>
        <v>0.43037974683544306</v>
      </c>
      <c r="BF55" t="str">
        <f t="shared" si="12"/>
        <v>Sugar</v>
      </c>
      <c r="BG55" t="str">
        <f t="shared" si="13"/>
        <v>A</v>
      </c>
      <c r="BI55">
        <f t="shared" si="14"/>
        <v>3.5</v>
      </c>
      <c r="BJ55" t="str">
        <f t="shared" si="15"/>
        <v>Tennis</v>
      </c>
      <c r="BK55" t="str">
        <f t="shared" si="16"/>
        <v>A</v>
      </c>
      <c r="BS55">
        <f t="shared" si="17"/>
        <v>0.36974789915966388</v>
      </c>
      <c r="BT55">
        <f t="shared" si="31"/>
        <v>0.38655462184873945</v>
      </c>
      <c r="BU55">
        <f t="shared" si="18"/>
        <v>-0.5714285714285714</v>
      </c>
      <c r="BW55">
        <f t="shared" si="130"/>
        <v>-0.29438105456653607</v>
      </c>
      <c r="BX55">
        <f t="shared" si="131"/>
        <v>0.8531878274040513</v>
      </c>
      <c r="BY55">
        <f t="shared" si="132"/>
        <v>-1.2240871513617693</v>
      </c>
      <c r="CB55">
        <f t="shared" si="133"/>
        <v>3.0874696027743229</v>
      </c>
      <c r="CC55">
        <f t="shared" si="134"/>
        <v>2.5187854591284573</v>
      </c>
      <c r="CD55">
        <f t="shared" si="135"/>
        <v>1.122195709261673</v>
      </c>
      <c r="CE55">
        <f t="shared" si="136"/>
        <v>2.0402307200829508</v>
      </c>
      <c r="CF55">
        <f t="shared" si="25"/>
        <v>1.122195709261673</v>
      </c>
      <c r="CJ55" t="str">
        <f t="shared" si="26"/>
        <v>Cluster 3</v>
      </c>
      <c r="CK55" t="str">
        <f t="shared" si="137"/>
        <v>Tennis Only</v>
      </c>
      <c r="CL55" t="str">
        <f t="shared" si="27"/>
        <v>Tennis A</v>
      </c>
      <c r="CM55" t="str">
        <f t="shared" si="141"/>
        <v>Diff</v>
      </c>
    </row>
    <row r="56" spans="8:91">
      <c r="H56">
        <v>49</v>
      </c>
      <c r="I56">
        <v>9</v>
      </c>
      <c r="J56">
        <v>13</v>
      </c>
      <c r="K56">
        <v>16</v>
      </c>
      <c r="L56">
        <v>19</v>
      </c>
      <c r="M56">
        <v>20</v>
      </c>
      <c r="N56">
        <v>3</v>
      </c>
      <c r="O56">
        <v>6</v>
      </c>
      <c r="P56">
        <v>10</v>
      </c>
      <c r="Q56">
        <v>14</v>
      </c>
      <c r="R56">
        <v>17</v>
      </c>
      <c r="S56">
        <v>4</v>
      </c>
      <c r="T56">
        <v>7</v>
      </c>
      <c r="U56">
        <v>11</v>
      </c>
      <c r="V56">
        <v>15</v>
      </c>
      <c r="W56">
        <v>18</v>
      </c>
      <c r="X56">
        <v>1</v>
      </c>
      <c r="Y56">
        <v>2</v>
      </c>
      <c r="Z56">
        <v>5</v>
      </c>
      <c r="AA56">
        <v>8</v>
      </c>
      <c r="AB56">
        <v>12</v>
      </c>
      <c r="AD56">
        <f t="shared" ref="AD56:AH56" si="186">SUMIFS($I56:$AB56,$I$2:$AB$2,AD$7)</f>
        <v>17</v>
      </c>
      <c r="AE56">
        <f t="shared" si="186"/>
        <v>28</v>
      </c>
      <c r="AF56">
        <f t="shared" si="186"/>
        <v>42</v>
      </c>
      <c r="AG56">
        <f t="shared" si="186"/>
        <v>56</v>
      </c>
      <c r="AH56">
        <f t="shared" si="186"/>
        <v>67</v>
      </c>
      <c r="AI56">
        <f t="shared" si="161"/>
        <v>127</v>
      </c>
      <c r="AJ56">
        <f t="shared" si="161"/>
        <v>83</v>
      </c>
      <c r="AK56">
        <f t="shared" si="162"/>
        <v>78</v>
      </c>
      <c r="AL56">
        <f t="shared" si="162"/>
        <v>132</v>
      </c>
      <c r="AN56" s="67">
        <f t="shared" ref="AN56:AV56" si="187">((AD56-MIN($AD56:$AL56))/(MAX($AD56:$AL56)-MIN($AD56:$AL56)))</f>
        <v>0</v>
      </c>
      <c r="AO56" s="67">
        <f t="shared" si="187"/>
        <v>9.5652173913043481E-2</v>
      </c>
      <c r="AP56" s="67">
        <f t="shared" si="187"/>
        <v>0.21739130434782608</v>
      </c>
      <c r="AQ56" s="67">
        <f t="shared" si="187"/>
        <v>0.33913043478260868</v>
      </c>
      <c r="AR56" s="67">
        <f t="shared" si="187"/>
        <v>0.43478260869565216</v>
      </c>
      <c r="AS56" s="67">
        <f t="shared" si="187"/>
        <v>0.95652173913043481</v>
      </c>
      <c r="AT56" s="67">
        <f t="shared" si="187"/>
        <v>0.57391304347826089</v>
      </c>
      <c r="AU56" s="67">
        <f t="shared" si="187"/>
        <v>0.5304347826086957</v>
      </c>
      <c r="AV56" s="67">
        <f t="shared" si="187"/>
        <v>1</v>
      </c>
      <c r="AX56">
        <f t="shared" si="8"/>
        <v>0.43478260869565216</v>
      </c>
      <c r="AY56">
        <f t="shared" si="9"/>
        <v>0.38260869565217392</v>
      </c>
      <c r="AZ56">
        <f t="shared" si="10"/>
        <v>0.4695652173913043</v>
      </c>
      <c r="BB56">
        <f t="shared" ref="BB56:BD56" si="188">AX56/SUM($AX56:$AZ56)</f>
        <v>0.33783783783783783</v>
      </c>
      <c r="BC56">
        <f t="shared" si="188"/>
        <v>0.29729729729729731</v>
      </c>
      <c r="BD56">
        <f t="shared" si="188"/>
        <v>0.36486486486486486</v>
      </c>
      <c r="BF56" t="str">
        <f t="shared" si="12"/>
        <v>Sugar</v>
      </c>
      <c r="BG56" t="str">
        <f t="shared" si="13"/>
        <v>B</v>
      </c>
      <c r="BI56">
        <f t="shared" si="14"/>
        <v>3.5</v>
      </c>
      <c r="BJ56" t="str">
        <f t="shared" si="15"/>
        <v>Tennis</v>
      </c>
      <c r="BK56" t="str">
        <f t="shared" si="16"/>
        <v>B</v>
      </c>
      <c r="BS56">
        <f t="shared" si="17"/>
        <v>0.43478260869565216</v>
      </c>
      <c r="BT56">
        <f t="shared" si="31"/>
        <v>0.38260869565217392</v>
      </c>
      <c r="BU56">
        <f t="shared" si="18"/>
        <v>0.4695652173913043</v>
      </c>
      <c r="BW56">
        <f t="shared" si="130"/>
        <v>0.27851370544927367</v>
      </c>
      <c r="BX56">
        <f t="shared" si="131"/>
        <v>0.84455980571422218</v>
      </c>
      <c r="BY56">
        <f t="shared" si="132"/>
        <v>0.97523864088990631</v>
      </c>
      <c r="CB56">
        <f t="shared" si="133"/>
        <v>2.1839013002905157</v>
      </c>
      <c r="CC56">
        <f t="shared" si="134"/>
        <v>1.901138821746196</v>
      </c>
      <c r="CD56">
        <f t="shared" si="135"/>
        <v>1.3535199987661473</v>
      </c>
      <c r="CE56">
        <f t="shared" si="136"/>
        <v>2.9500183154257567</v>
      </c>
      <c r="CF56">
        <f t="shared" si="25"/>
        <v>1.3535199987661473</v>
      </c>
      <c r="CJ56" t="str">
        <f t="shared" si="26"/>
        <v>Cluster 3</v>
      </c>
      <c r="CK56" t="str">
        <f t="shared" si="137"/>
        <v>Tennis Only</v>
      </c>
      <c r="CL56" t="str">
        <f t="shared" si="27"/>
        <v>Tennis B</v>
      </c>
      <c r="CM56" t="str">
        <f t="shared" si="141"/>
        <v>Diff</v>
      </c>
    </row>
    <row r="57" spans="8:91">
      <c r="H57">
        <v>50</v>
      </c>
      <c r="I57">
        <v>4</v>
      </c>
      <c r="J57">
        <v>7</v>
      </c>
      <c r="K57">
        <v>10</v>
      </c>
      <c r="L57">
        <v>12</v>
      </c>
      <c r="M57">
        <v>15</v>
      </c>
      <c r="N57">
        <v>1</v>
      </c>
      <c r="O57">
        <v>2</v>
      </c>
      <c r="P57">
        <v>3</v>
      </c>
      <c r="Q57">
        <v>5</v>
      </c>
      <c r="R57">
        <v>8</v>
      </c>
      <c r="S57">
        <v>13</v>
      </c>
      <c r="T57">
        <v>16</v>
      </c>
      <c r="U57">
        <v>18</v>
      </c>
      <c r="V57">
        <v>19</v>
      </c>
      <c r="W57">
        <v>20</v>
      </c>
      <c r="X57">
        <v>6</v>
      </c>
      <c r="Y57">
        <v>9</v>
      </c>
      <c r="Z57">
        <v>11</v>
      </c>
      <c r="AA57">
        <v>14</v>
      </c>
      <c r="AB57">
        <v>17</v>
      </c>
      <c r="AD57">
        <f t="shared" ref="AD57:AH57" si="189">SUMIFS($I57:$AB57,$I$2:$AB$2,AD$7)</f>
        <v>24</v>
      </c>
      <c r="AE57">
        <f t="shared" si="189"/>
        <v>34</v>
      </c>
      <c r="AF57">
        <f t="shared" si="189"/>
        <v>42</v>
      </c>
      <c r="AG57">
        <f t="shared" si="189"/>
        <v>50</v>
      </c>
      <c r="AH57">
        <f t="shared" si="189"/>
        <v>60</v>
      </c>
      <c r="AI57">
        <f t="shared" si="161"/>
        <v>67</v>
      </c>
      <c r="AJ57">
        <f t="shared" si="161"/>
        <v>143</v>
      </c>
      <c r="AK57">
        <f t="shared" si="162"/>
        <v>76</v>
      </c>
      <c r="AL57">
        <f t="shared" si="162"/>
        <v>134</v>
      </c>
      <c r="AN57" s="67">
        <f t="shared" ref="AN57:AV57" si="190">((AD57-MIN($AD57:$AL57))/(MAX($AD57:$AL57)-MIN($AD57:$AL57)))</f>
        <v>0</v>
      </c>
      <c r="AO57" s="67">
        <f t="shared" si="190"/>
        <v>8.4033613445378158E-2</v>
      </c>
      <c r="AP57" s="67">
        <f t="shared" si="190"/>
        <v>0.15126050420168066</v>
      </c>
      <c r="AQ57" s="67">
        <f t="shared" si="190"/>
        <v>0.21848739495798319</v>
      </c>
      <c r="AR57" s="67">
        <f t="shared" si="190"/>
        <v>0.30252100840336132</v>
      </c>
      <c r="AS57" s="67">
        <f t="shared" si="190"/>
        <v>0.36134453781512604</v>
      </c>
      <c r="AT57" s="67">
        <f t="shared" si="190"/>
        <v>1</v>
      </c>
      <c r="AU57" s="67">
        <f t="shared" si="190"/>
        <v>0.43697478991596639</v>
      </c>
      <c r="AV57" s="67">
        <f t="shared" si="190"/>
        <v>0.92436974789915971</v>
      </c>
      <c r="AX57">
        <f t="shared" si="8"/>
        <v>0.30252100840336132</v>
      </c>
      <c r="AY57">
        <f t="shared" si="9"/>
        <v>0.6386554621848739</v>
      </c>
      <c r="AZ57">
        <f t="shared" si="10"/>
        <v>0.48739495798319332</v>
      </c>
      <c r="BB57">
        <f t="shared" ref="BB57:BD57" si="191">AX57/SUM($AX57:$AZ57)</f>
        <v>0.21176470588235291</v>
      </c>
      <c r="BC57">
        <f t="shared" si="191"/>
        <v>0.44705882352941173</v>
      </c>
      <c r="BD57">
        <f t="shared" si="191"/>
        <v>0.3411764705882353</v>
      </c>
      <c r="BF57" t="str">
        <f t="shared" si="12"/>
        <v xml:space="preserve">Brand </v>
      </c>
      <c r="BG57" t="str">
        <f t="shared" si="13"/>
        <v>Super Bowl</v>
      </c>
      <c r="BI57">
        <f t="shared" si="14"/>
        <v>3.5</v>
      </c>
      <c r="BJ57" t="str">
        <f t="shared" si="15"/>
        <v>Super Bowl</v>
      </c>
      <c r="BK57" t="str">
        <f t="shared" si="16"/>
        <v>B</v>
      </c>
      <c r="BS57">
        <f t="shared" si="17"/>
        <v>0.30252100840336132</v>
      </c>
      <c r="BT57">
        <f t="shared" si="31"/>
        <v>-0.6386554621848739</v>
      </c>
      <c r="BU57">
        <f t="shared" si="18"/>
        <v>0.48739495798319332</v>
      </c>
      <c r="BW57">
        <f t="shared" si="130"/>
        <v>-0.88658687390872204</v>
      </c>
      <c r="BX57">
        <f t="shared" si="131"/>
        <v>-1.3885000301571429</v>
      </c>
      <c r="BY57">
        <f t="shared" si="132"/>
        <v>1.0129078458112464</v>
      </c>
      <c r="CB57">
        <f t="shared" si="133"/>
        <v>0.37857413786475774</v>
      </c>
      <c r="CC57">
        <f t="shared" si="134"/>
        <v>3.27714760927975</v>
      </c>
      <c r="CD57">
        <f t="shared" si="135"/>
        <v>2.7715072870737076</v>
      </c>
      <c r="CE57">
        <f t="shared" si="136"/>
        <v>2.1067305917995012</v>
      </c>
      <c r="CF57">
        <f t="shared" si="25"/>
        <v>0.37857413786475774</v>
      </c>
      <c r="CJ57" t="str">
        <f t="shared" si="26"/>
        <v>Cluster 1</v>
      </c>
      <c r="CK57" t="str">
        <f t="shared" si="137"/>
        <v>B Super Bowl</v>
      </c>
      <c r="CL57" t="str">
        <f t="shared" si="27"/>
        <v>Super Bowl B</v>
      </c>
      <c r="CM57" t="str">
        <f t="shared" si="141"/>
        <v>Diff</v>
      </c>
    </row>
    <row r="58" spans="8:91">
      <c r="H58">
        <v>51</v>
      </c>
      <c r="I58">
        <v>4</v>
      </c>
      <c r="J58">
        <v>8</v>
      </c>
      <c r="K58">
        <v>12</v>
      </c>
      <c r="L58">
        <v>16</v>
      </c>
      <c r="M58">
        <v>20</v>
      </c>
      <c r="N58">
        <v>2</v>
      </c>
      <c r="O58">
        <v>6</v>
      </c>
      <c r="P58">
        <v>10</v>
      </c>
      <c r="Q58">
        <v>14</v>
      </c>
      <c r="R58">
        <v>18</v>
      </c>
      <c r="S58">
        <v>3</v>
      </c>
      <c r="T58">
        <v>7</v>
      </c>
      <c r="U58">
        <v>11</v>
      </c>
      <c r="V58">
        <v>15</v>
      </c>
      <c r="W58">
        <v>19</v>
      </c>
      <c r="X58">
        <v>1</v>
      </c>
      <c r="Y58">
        <v>5</v>
      </c>
      <c r="Z58">
        <v>9</v>
      </c>
      <c r="AA58">
        <v>13</v>
      </c>
      <c r="AB58">
        <v>17</v>
      </c>
      <c r="AD58">
        <f t="shared" ref="AD58:AH58" si="192">SUMIFS($I58:$AB58,$I$2:$AB$2,AD$7)</f>
        <v>10</v>
      </c>
      <c r="AE58">
        <f t="shared" si="192"/>
        <v>26</v>
      </c>
      <c r="AF58">
        <f t="shared" si="192"/>
        <v>42</v>
      </c>
      <c r="AG58">
        <f t="shared" si="192"/>
        <v>58</v>
      </c>
      <c r="AH58">
        <f t="shared" si="192"/>
        <v>74</v>
      </c>
      <c r="AI58">
        <f t="shared" si="161"/>
        <v>110</v>
      </c>
      <c r="AJ58">
        <f t="shared" si="161"/>
        <v>100</v>
      </c>
      <c r="AK58">
        <f t="shared" si="162"/>
        <v>95</v>
      </c>
      <c r="AL58">
        <f t="shared" si="162"/>
        <v>115</v>
      </c>
      <c r="AN58" s="67">
        <f t="shared" ref="AN58:AV58" si="193">((AD58-MIN($AD58:$AL58))/(MAX($AD58:$AL58)-MIN($AD58:$AL58)))</f>
        <v>0</v>
      </c>
      <c r="AO58" s="67">
        <f t="shared" si="193"/>
        <v>0.15238095238095239</v>
      </c>
      <c r="AP58" s="67">
        <f t="shared" si="193"/>
        <v>0.30476190476190479</v>
      </c>
      <c r="AQ58" s="67">
        <f t="shared" si="193"/>
        <v>0.45714285714285713</v>
      </c>
      <c r="AR58" s="67">
        <f t="shared" si="193"/>
        <v>0.60952380952380958</v>
      </c>
      <c r="AS58" s="67">
        <f t="shared" si="193"/>
        <v>0.95238095238095233</v>
      </c>
      <c r="AT58" s="67">
        <f t="shared" si="193"/>
        <v>0.8571428571428571</v>
      </c>
      <c r="AU58" s="67">
        <f t="shared" si="193"/>
        <v>0.80952380952380953</v>
      </c>
      <c r="AV58" s="67">
        <f t="shared" si="193"/>
        <v>1</v>
      </c>
      <c r="AX58">
        <f t="shared" si="8"/>
        <v>0.60952380952380958</v>
      </c>
      <c r="AY58">
        <f t="shared" si="9"/>
        <v>9.5238095238095233E-2</v>
      </c>
      <c r="AZ58">
        <f t="shared" si="10"/>
        <v>0.19047619047619047</v>
      </c>
      <c r="BB58">
        <f t="shared" ref="BB58:BD58" si="194">AX58/SUM($AX58:$AZ58)</f>
        <v>0.68085106382978722</v>
      </c>
      <c r="BC58">
        <f t="shared" si="194"/>
        <v>0.10638297872340424</v>
      </c>
      <c r="BD58">
        <f t="shared" si="194"/>
        <v>0.21276595744680848</v>
      </c>
      <c r="BF58" t="str">
        <f t="shared" si="12"/>
        <v>Price</v>
      </c>
      <c r="BG58">
        <f t="shared" si="13"/>
        <v>3.5</v>
      </c>
      <c r="BI58">
        <f t="shared" si="14"/>
        <v>3.5</v>
      </c>
      <c r="BJ58" t="str">
        <f t="shared" si="15"/>
        <v>Tennis</v>
      </c>
      <c r="BK58" t="str">
        <f t="shared" si="16"/>
        <v>B</v>
      </c>
      <c r="BS58">
        <f t="shared" si="17"/>
        <v>0.60952380952380958</v>
      </c>
      <c r="BT58">
        <f t="shared" si="31"/>
        <v>9.5238095238095233E-2</v>
      </c>
      <c r="BU58">
        <f t="shared" si="18"/>
        <v>0.19047619047619047</v>
      </c>
      <c r="BW58">
        <f t="shared" si="130"/>
        <v>1.8178197010872597</v>
      </c>
      <c r="BX58">
        <f t="shared" si="131"/>
        <v>0.21620548536480494</v>
      </c>
      <c r="BY58">
        <f t="shared" si="132"/>
        <v>0.38560237041352236</v>
      </c>
      <c r="CB58">
        <f t="shared" si="133"/>
        <v>2.8782125953701838</v>
      </c>
      <c r="CC58">
        <f t="shared" si="134"/>
        <v>0.36275713074680155</v>
      </c>
      <c r="CD58">
        <f t="shared" si="135"/>
        <v>2.486280068483246</v>
      </c>
      <c r="CE58">
        <f t="shared" si="136"/>
        <v>3.038125673758147</v>
      </c>
      <c r="CF58">
        <f t="shared" si="25"/>
        <v>0.36275713074680155</v>
      </c>
      <c r="CJ58" t="str">
        <f t="shared" si="26"/>
        <v>Cluster 2</v>
      </c>
      <c r="CK58" t="str">
        <f t="shared" si="137"/>
        <v>Price Only</v>
      </c>
      <c r="CL58" t="str">
        <f t="shared" si="27"/>
        <v>Price Only</v>
      </c>
      <c r="CM58" t="str">
        <f t="shared" si="141"/>
        <v/>
      </c>
    </row>
    <row r="59" spans="8:91">
      <c r="H59">
        <v>52</v>
      </c>
      <c r="I59">
        <v>11</v>
      </c>
      <c r="J59">
        <v>14</v>
      </c>
      <c r="K59">
        <v>17</v>
      </c>
      <c r="L59">
        <v>19</v>
      </c>
      <c r="M59">
        <v>20</v>
      </c>
      <c r="N59">
        <v>5</v>
      </c>
      <c r="O59">
        <v>8</v>
      </c>
      <c r="P59">
        <v>12</v>
      </c>
      <c r="Q59">
        <v>15</v>
      </c>
      <c r="R59">
        <v>18</v>
      </c>
      <c r="S59">
        <v>3</v>
      </c>
      <c r="T59">
        <v>6</v>
      </c>
      <c r="U59">
        <v>9</v>
      </c>
      <c r="V59">
        <v>13</v>
      </c>
      <c r="W59">
        <v>16</v>
      </c>
      <c r="X59">
        <v>1</v>
      </c>
      <c r="Y59">
        <v>2</v>
      </c>
      <c r="Z59">
        <v>4</v>
      </c>
      <c r="AA59">
        <v>7</v>
      </c>
      <c r="AB59">
        <v>10</v>
      </c>
      <c r="AD59">
        <f t="shared" ref="AD59:AH59" si="195">SUMIFS($I59:$AB59,$I$2:$AB$2,AD$7)</f>
        <v>20</v>
      </c>
      <c r="AE59">
        <f t="shared" si="195"/>
        <v>30</v>
      </c>
      <c r="AF59">
        <f t="shared" si="195"/>
        <v>42</v>
      </c>
      <c r="AG59">
        <f t="shared" si="195"/>
        <v>54</v>
      </c>
      <c r="AH59">
        <f t="shared" si="195"/>
        <v>64</v>
      </c>
      <c r="AI59">
        <f t="shared" si="161"/>
        <v>139</v>
      </c>
      <c r="AJ59">
        <f t="shared" si="161"/>
        <v>71</v>
      </c>
      <c r="AK59">
        <f t="shared" si="162"/>
        <v>82</v>
      </c>
      <c r="AL59">
        <f t="shared" si="162"/>
        <v>128</v>
      </c>
      <c r="AN59" s="67">
        <f t="shared" ref="AN59:AV59" si="196">((AD59-MIN($AD59:$AL59))/(MAX($AD59:$AL59)-MIN($AD59:$AL59)))</f>
        <v>0</v>
      </c>
      <c r="AO59" s="67">
        <f t="shared" si="196"/>
        <v>8.4033613445378158E-2</v>
      </c>
      <c r="AP59" s="67">
        <f t="shared" si="196"/>
        <v>0.18487394957983194</v>
      </c>
      <c r="AQ59" s="67">
        <f t="shared" si="196"/>
        <v>0.2857142857142857</v>
      </c>
      <c r="AR59" s="67">
        <f t="shared" si="196"/>
        <v>0.36974789915966388</v>
      </c>
      <c r="AS59" s="67">
        <f t="shared" si="196"/>
        <v>1</v>
      </c>
      <c r="AT59" s="67">
        <f t="shared" si="196"/>
        <v>0.42857142857142855</v>
      </c>
      <c r="AU59" s="67">
        <f t="shared" si="196"/>
        <v>0.52100840336134457</v>
      </c>
      <c r="AV59" s="67">
        <f t="shared" si="196"/>
        <v>0.90756302521008403</v>
      </c>
      <c r="AX59">
        <f t="shared" si="8"/>
        <v>0.36974789915966388</v>
      </c>
      <c r="AY59">
        <f t="shared" si="9"/>
        <v>0.5714285714285714</v>
      </c>
      <c r="AZ59">
        <f t="shared" si="10"/>
        <v>0.38655462184873945</v>
      </c>
      <c r="BB59">
        <f t="shared" ref="BB59:BD59" si="197">AX59/SUM($AX59:$AZ59)</f>
        <v>0.27848101265822789</v>
      </c>
      <c r="BC59">
        <f t="shared" si="197"/>
        <v>0.43037974683544306</v>
      </c>
      <c r="BD59">
        <f t="shared" si="197"/>
        <v>0.29113924050632911</v>
      </c>
      <c r="BF59" t="str">
        <f t="shared" si="12"/>
        <v xml:space="preserve">Brand </v>
      </c>
      <c r="BG59" t="str">
        <f t="shared" si="13"/>
        <v>Tennis</v>
      </c>
      <c r="BI59">
        <f t="shared" si="14"/>
        <v>3.5</v>
      </c>
      <c r="BJ59" t="str">
        <f t="shared" si="15"/>
        <v>Tennis</v>
      </c>
      <c r="BK59" t="str">
        <f t="shared" si="16"/>
        <v>B</v>
      </c>
      <c r="BS59">
        <f t="shared" si="17"/>
        <v>0.36974789915966388</v>
      </c>
      <c r="BT59">
        <f t="shared" si="31"/>
        <v>0.5714285714285714</v>
      </c>
      <c r="BU59">
        <f t="shared" si="18"/>
        <v>0.38655462184873945</v>
      </c>
      <c r="BW59">
        <f t="shared" si="130"/>
        <v>-0.29438105456653607</v>
      </c>
      <c r="BX59">
        <f t="shared" si="131"/>
        <v>1.2574266213904963</v>
      </c>
      <c r="BY59">
        <f t="shared" si="132"/>
        <v>0.79986070322334002</v>
      </c>
      <c r="CB59">
        <f t="shared" si="133"/>
        <v>2.4425693335834984</v>
      </c>
      <c r="CC59">
        <f t="shared" si="134"/>
        <v>2.4644488699317852</v>
      </c>
      <c r="CD59">
        <f t="shared" si="135"/>
        <v>0.9652719565567407</v>
      </c>
      <c r="CE59">
        <f t="shared" si="136"/>
        <v>3.0532402041689504</v>
      </c>
      <c r="CF59">
        <f t="shared" si="25"/>
        <v>0.9652719565567407</v>
      </c>
      <c r="CJ59" t="str">
        <f t="shared" si="26"/>
        <v>Cluster 3</v>
      </c>
      <c r="CK59" t="str">
        <f t="shared" si="137"/>
        <v>Tennis Only</v>
      </c>
      <c r="CL59" t="str">
        <f t="shared" si="27"/>
        <v>Tennis B</v>
      </c>
      <c r="CM59" t="str">
        <f t="shared" si="141"/>
        <v>Diff</v>
      </c>
    </row>
    <row r="60" spans="8:91">
      <c r="H60">
        <v>53</v>
      </c>
      <c r="I60">
        <v>4</v>
      </c>
      <c r="J60">
        <v>8</v>
      </c>
      <c r="K60">
        <v>12</v>
      </c>
      <c r="L60">
        <v>16</v>
      </c>
      <c r="M60">
        <v>20</v>
      </c>
      <c r="N60">
        <v>3</v>
      </c>
      <c r="O60">
        <v>7</v>
      </c>
      <c r="P60">
        <v>11</v>
      </c>
      <c r="Q60">
        <v>15</v>
      </c>
      <c r="R60">
        <v>19</v>
      </c>
      <c r="S60">
        <v>2</v>
      </c>
      <c r="T60">
        <v>6</v>
      </c>
      <c r="U60">
        <v>10</v>
      </c>
      <c r="V60">
        <v>14</v>
      </c>
      <c r="W60">
        <v>18</v>
      </c>
      <c r="X60">
        <v>1</v>
      </c>
      <c r="Y60">
        <v>5</v>
      </c>
      <c r="Z60">
        <v>9</v>
      </c>
      <c r="AA60">
        <v>13</v>
      </c>
      <c r="AB60">
        <v>17</v>
      </c>
      <c r="AD60">
        <f t="shared" ref="AD60:AH60" si="198">SUMIFS($I60:$AB60,$I$2:$AB$2,AD$7)</f>
        <v>10</v>
      </c>
      <c r="AE60">
        <f t="shared" si="198"/>
        <v>26</v>
      </c>
      <c r="AF60">
        <f t="shared" si="198"/>
        <v>42</v>
      </c>
      <c r="AG60">
        <f t="shared" si="198"/>
        <v>58</v>
      </c>
      <c r="AH60">
        <f t="shared" si="198"/>
        <v>74</v>
      </c>
      <c r="AI60">
        <f t="shared" si="161"/>
        <v>115</v>
      </c>
      <c r="AJ60">
        <f t="shared" si="161"/>
        <v>95</v>
      </c>
      <c r="AK60">
        <f t="shared" si="162"/>
        <v>100</v>
      </c>
      <c r="AL60">
        <f t="shared" si="162"/>
        <v>110</v>
      </c>
      <c r="AN60" s="67">
        <f t="shared" ref="AN60:AV60" si="199">((AD60-MIN($AD60:$AL60))/(MAX($AD60:$AL60)-MIN($AD60:$AL60)))</f>
        <v>0</v>
      </c>
      <c r="AO60" s="67">
        <f t="shared" si="199"/>
        <v>0.15238095238095239</v>
      </c>
      <c r="AP60" s="67">
        <f t="shared" si="199"/>
        <v>0.30476190476190479</v>
      </c>
      <c r="AQ60" s="67">
        <f t="shared" si="199"/>
        <v>0.45714285714285713</v>
      </c>
      <c r="AR60" s="67">
        <f t="shared" si="199"/>
        <v>0.60952380952380958</v>
      </c>
      <c r="AS60" s="67">
        <f t="shared" si="199"/>
        <v>1</v>
      </c>
      <c r="AT60" s="67">
        <f t="shared" si="199"/>
        <v>0.80952380952380953</v>
      </c>
      <c r="AU60" s="67">
        <f t="shared" si="199"/>
        <v>0.8571428571428571</v>
      </c>
      <c r="AV60" s="67">
        <f t="shared" si="199"/>
        <v>0.95238095238095233</v>
      </c>
      <c r="AX60">
        <f t="shared" si="8"/>
        <v>0.60952380952380958</v>
      </c>
      <c r="AY60">
        <f t="shared" si="9"/>
        <v>0.19047619047619047</v>
      </c>
      <c r="AZ60">
        <f t="shared" si="10"/>
        <v>9.5238095238095233E-2</v>
      </c>
      <c r="BB60">
        <f t="shared" ref="BB60:BD60" si="200">AX60/SUM($AX60:$AZ60)</f>
        <v>0.68085106382978722</v>
      </c>
      <c r="BC60">
        <f t="shared" si="200"/>
        <v>0.21276595744680848</v>
      </c>
      <c r="BD60">
        <f t="shared" si="200"/>
        <v>0.10638297872340424</v>
      </c>
      <c r="BF60" t="str">
        <f t="shared" si="12"/>
        <v>Price</v>
      </c>
      <c r="BG60">
        <f t="shared" si="13"/>
        <v>3.5</v>
      </c>
      <c r="BI60">
        <f t="shared" si="14"/>
        <v>3.5</v>
      </c>
      <c r="BJ60" t="str">
        <f t="shared" si="15"/>
        <v>Tennis</v>
      </c>
      <c r="BK60" t="str">
        <f t="shared" si="16"/>
        <v>B</v>
      </c>
      <c r="BS60">
        <f t="shared" si="17"/>
        <v>0.60952380952380958</v>
      </c>
      <c r="BT60">
        <f t="shared" si="31"/>
        <v>0.19047619047619047</v>
      </c>
      <c r="BU60">
        <f t="shared" si="18"/>
        <v>9.5238095238095233E-2</v>
      </c>
      <c r="BW60">
        <f t="shared" si="130"/>
        <v>1.8178197010872597</v>
      </c>
      <c r="BX60">
        <f t="shared" si="131"/>
        <v>0.42444971256994318</v>
      </c>
      <c r="BY60">
        <f t="shared" si="132"/>
        <v>0.18439118019161094</v>
      </c>
      <c r="CB60">
        <f t="shared" si="133"/>
        <v>3.0373518932461994</v>
      </c>
      <c r="CC60">
        <f t="shared" si="134"/>
        <v>0.26833047118697734</v>
      </c>
      <c r="CD60">
        <f t="shared" si="135"/>
        <v>2.3851184056843331</v>
      </c>
      <c r="CE60">
        <f t="shared" si="136"/>
        <v>3.0523913537765708</v>
      </c>
      <c r="CF60">
        <f t="shared" si="25"/>
        <v>0.26833047118697734</v>
      </c>
      <c r="CJ60" t="str">
        <f t="shared" si="26"/>
        <v>Cluster 2</v>
      </c>
      <c r="CK60" t="str">
        <f t="shared" si="137"/>
        <v>Price Only</v>
      </c>
      <c r="CL60" t="str">
        <f t="shared" si="27"/>
        <v>Price Only</v>
      </c>
      <c r="CM60" t="str">
        <f t="shared" si="141"/>
        <v/>
      </c>
    </row>
    <row r="61" spans="8:91">
      <c r="H61">
        <v>54</v>
      </c>
      <c r="I61">
        <v>4</v>
      </c>
      <c r="J61">
        <v>7</v>
      </c>
      <c r="K61">
        <v>10</v>
      </c>
      <c r="L61">
        <v>12</v>
      </c>
      <c r="M61">
        <v>15</v>
      </c>
      <c r="N61">
        <v>1</v>
      </c>
      <c r="O61">
        <v>2</v>
      </c>
      <c r="P61">
        <v>3</v>
      </c>
      <c r="Q61">
        <v>5</v>
      </c>
      <c r="R61">
        <v>8</v>
      </c>
      <c r="S61">
        <v>13</v>
      </c>
      <c r="T61">
        <v>16</v>
      </c>
      <c r="U61">
        <v>18</v>
      </c>
      <c r="V61">
        <v>19</v>
      </c>
      <c r="W61">
        <v>20</v>
      </c>
      <c r="X61">
        <v>6</v>
      </c>
      <c r="Y61">
        <v>9</v>
      </c>
      <c r="Z61">
        <v>11</v>
      </c>
      <c r="AA61">
        <v>14</v>
      </c>
      <c r="AB61">
        <v>17</v>
      </c>
      <c r="AD61">
        <f t="shared" ref="AD61:AH61" si="201">SUMIFS($I61:$AB61,$I$2:$AB$2,AD$7)</f>
        <v>24</v>
      </c>
      <c r="AE61">
        <f t="shared" si="201"/>
        <v>34</v>
      </c>
      <c r="AF61">
        <f t="shared" si="201"/>
        <v>42</v>
      </c>
      <c r="AG61">
        <f t="shared" si="201"/>
        <v>50</v>
      </c>
      <c r="AH61">
        <f t="shared" si="201"/>
        <v>60</v>
      </c>
      <c r="AI61">
        <f t="shared" si="161"/>
        <v>67</v>
      </c>
      <c r="AJ61">
        <f t="shared" si="161"/>
        <v>143</v>
      </c>
      <c r="AK61">
        <f t="shared" si="162"/>
        <v>76</v>
      </c>
      <c r="AL61">
        <f t="shared" si="162"/>
        <v>134</v>
      </c>
      <c r="AN61" s="67">
        <f t="shared" ref="AN61:AV61" si="202">((AD61-MIN($AD61:$AL61))/(MAX($AD61:$AL61)-MIN($AD61:$AL61)))</f>
        <v>0</v>
      </c>
      <c r="AO61" s="67">
        <f t="shared" si="202"/>
        <v>8.4033613445378158E-2</v>
      </c>
      <c r="AP61" s="67">
        <f t="shared" si="202"/>
        <v>0.15126050420168066</v>
      </c>
      <c r="AQ61" s="67">
        <f t="shared" si="202"/>
        <v>0.21848739495798319</v>
      </c>
      <c r="AR61" s="67">
        <f t="shared" si="202"/>
        <v>0.30252100840336132</v>
      </c>
      <c r="AS61" s="67">
        <f t="shared" si="202"/>
        <v>0.36134453781512604</v>
      </c>
      <c r="AT61" s="67">
        <f t="shared" si="202"/>
        <v>1</v>
      </c>
      <c r="AU61" s="67">
        <f t="shared" si="202"/>
        <v>0.43697478991596639</v>
      </c>
      <c r="AV61" s="67">
        <f t="shared" si="202"/>
        <v>0.92436974789915971</v>
      </c>
      <c r="AX61">
        <f t="shared" si="8"/>
        <v>0.30252100840336132</v>
      </c>
      <c r="AY61">
        <f t="shared" si="9"/>
        <v>0.6386554621848739</v>
      </c>
      <c r="AZ61">
        <f t="shared" si="10"/>
        <v>0.48739495798319332</v>
      </c>
      <c r="BB61">
        <f t="shared" ref="BB61:BD61" si="203">AX61/SUM($AX61:$AZ61)</f>
        <v>0.21176470588235291</v>
      </c>
      <c r="BC61">
        <f t="shared" si="203"/>
        <v>0.44705882352941173</v>
      </c>
      <c r="BD61">
        <f t="shared" si="203"/>
        <v>0.3411764705882353</v>
      </c>
      <c r="BF61" t="str">
        <f t="shared" si="12"/>
        <v xml:space="preserve">Brand </v>
      </c>
      <c r="BG61" t="str">
        <f t="shared" si="13"/>
        <v>Super Bowl</v>
      </c>
      <c r="BI61">
        <f t="shared" si="14"/>
        <v>3.5</v>
      </c>
      <c r="BJ61" t="str">
        <f t="shared" si="15"/>
        <v>Super Bowl</v>
      </c>
      <c r="BK61" t="str">
        <f t="shared" si="16"/>
        <v>B</v>
      </c>
      <c r="BS61">
        <f t="shared" si="17"/>
        <v>0.30252100840336132</v>
      </c>
      <c r="BT61">
        <f t="shared" si="31"/>
        <v>-0.6386554621848739</v>
      </c>
      <c r="BU61">
        <f t="shared" si="18"/>
        <v>0.48739495798319332</v>
      </c>
      <c r="BW61">
        <f t="shared" si="130"/>
        <v>-0.88658687390872204</v>
      </c>
      <c r="BX61">
        <f t="shared" si="131"/>
        <v>-1.3885000301571429</v>
      </c>
      <c r="BY61">
        <f t="shared" si="132"/>
        <v>1.0129078458112464</v>
      </c>
      <c r="CB61">
        <f t="shared" si="133"/>
        <v>0.37857413786475774</v>
      </c>
      <c r="CC61">
        <f t="shared" si="134"/>
        <v>3.27714760927975</v>
      </c>
      <c r="CD61">
        <f t="shared" si="135"/>
        <v>2.7715072870737076</v>
      </c>
      <c r="CE61">
        <f t="shared" si="136"/>
        <v>2.1067305917995012</v>
      </c>
      <c r="CF61">
        <f t="shared" si="25"/>
        <v>0.37857413786475774</v>
      </c>
      <c r="CJ61" t="str">
        <f t="shared" si="26"/>
        <v>Cluster 1</v>
      </c>
      <c r="CK61" t="str">
        <f t="shared" si="137"/>
        <v>B Super Bowl</v>
      </c>
      <c r="CL61" t="str">
        <f t="shared" si="27"/>
        <v>Super Bowl B</v>
      </c>
      <c r="CM61" t="str">
        <f t="shared" si="141"/>
        <v>Diff</v>
      </c>
    </row>
    <row r="62" spans="8:91">
      <c r="H62">
        <v>55</v>
      </c>
      <c r="I62">
        <v>6</v>
      </c>
      <c r="J62">
        <v>9</v>
      </c>
      <c r="K62">
        <v>11</v>
      </c>
      <c r="L62">
        <v>13</v>
      </c>
      <c r="M62">
        <v>16</v>
      </c>
      <c r="N62">
        <v>1</v>
      </c>
      <c r="O62">
        <v>2</v>
      </c>
      <c r="P62">
        <v>3</v>
      </c>
      <c r="Q62">
        <v>4</v>
      </c>
      <c r="R62">
        <v>7</v>
      </c>
      <c r="S62">
        <v>14</v>
      </c>
      <c r="T62">
        <v>17</v>
      </c>
      <c r="U62">
        <v>18</v>
      </c>
      <c r="V62">
        <v>19</v>
      </c>
      <c r="W62">
        <v>20</v>
      </c>
      <c r="X62">
        <v>5</v>
      </c>
      <c r="Y62">
        <v>8</v>
      </c>
      <c r="Z62">
        <v>10</v>
      </c>
      <c r="AA62">
        <v>12</v>
      </c>
      <c r="AB62">
        <v>15</v>
      </c>
      <c r="AD62">
        <f t="shared" ref="AD62:AH62" si="204">SUMIFS($I62:$AB62,$I$2:$AB$2,AD$7)</f>
        <v>26</v>
      </c>
      <c r="AE62">
        <f t="shared" si="204"/>
        <v>36</v>
      </c>
      <c r="AF62">
        <f t="shared" si="204"/>
        <v>42</v>
      </c>
      <c r="AG62">
        <f t="shared" si="204"/>
        <v>48</v>
      </c>
      <c r="AH62">
        <f t="shared" si="204"/>
        <v>58</v>
      </c>
      <c r="AI62">
        <f t="shared" si="161"/>
        <v>72</v>
      </c>
      <c r="AJ62">
        <f t="shared" si="161"/>
        <v>138</v>
      </c>
      <c r="AK62">
        <f t="shared" si="162"/>
        <v>67</v>
      </c>
      <c r="AL62">
        <f t="shared" si="162"/>
        <v>143</v>
      </c>
      <c r="AN62" s="67">
        <f t="shared" ref="AN62:AV62" si="205">((AD62-MIN($AD62:$AL62))/(MAX($AD62:$AL62)-MIN($AD62:$AL62)))</f>
        <v>0</v>
      </c>
      <c r="AO62" s="67">
        <f t="shared" si="205"/>
        <v>8.5470085470085472E-2</v>
      </c>
      <c r="AP62" s="67">
        <f t="shared" si="205"/>
        <v>0.13675213675213677</v>
      </c>
      <c r="AQ62" s="67">
        <f t="shared" si="205"/>
        <v>0.18803418803418803</v>
      </c>
      <c r="AR62" s="67">
        <f t="shared" si="205"/>
        <v>0.27350427350427353</v>
      </c>
      <c r="AS62" s="67">
        <f t="shared" si="205"/>
        <v>0.39316239316239315</v>
      </c>
      <c r="AT62" s="67">
        <f t="shared" si="205"/>
        <v>0.95726495726495731</v>
      </c>
      <c r="AU62" s="67">
        <f t="shared" si="205"/>
        <v>0.3504273504273504</v>
      </c>
      <c r="AV62" s="67">
        <f t="shared" si="205"/>
        <v>1</v>
      </c>
      <c r="AX62">
        <f t="shared" si="8"/>
        <v>0.27350427350427353</v>
      </c>
      <c r="AY62">
        <f t="shared" si="9"/>
        <v>0.5641025641025641</v>
      </c>
      <c r="AZ62">
        <f t="shared" si="10"/>
        <v>0.6495726495726496</v>
      </c>
      <c r="BB62">
        <f t="shared" ref="BB62:BD62" si="206">AX62/SUM($AX62:$AZ62)</f>
        <v>0.18390804597701152</v>
      </c>
      <c r="BC62">
        <f t="shared" si="206"/>
        <v>0.37931034482758619</v>
      </c>
      <c r="BD62">
        <f t="shared" si="206"/>
        <v>0.43678160919540232</v>
      </c>
      <c r="BF62" t="str">
        <f t="shared" si="12"/>
        <v>Sugar</v>
      </c>
      <c r="BG62" t="str">
        <f t="shared" si="13"/>
        <v>B</v>
      </c>
      <c r="BI62">
        <f t="shared" si="14"/>
        <v>3.5</v>
      </c>
      <c r="BJ62" t="str">
        <f t="shared" si="15"/>
        <v>Super Bowl</v>
      </c>
      <c r="BK62" t="str">
        <f t="shared" si="16"/>
        <v>B</v>
      </c>
      <c r="BS62">
        <f t="shared" si="17"/>
        <v>0.27350427350427353</v>
      </c>
      <c r="BT62">
        <f t="shared" si="31"/>
        <v>-0.5641025641025641</v>
      </c>
      <c r="BU62">
        <f t="shared" si="18"/>
        <v>0.6495726495726496</v>
      </c>
      <c r="BW62">
        <f t="shared" si="130"/>
        <v>-1.1421970779837676</v>
      </c>
      <c r="BX62">
        <f t="shared" si="131"/>
        <v>-1.2254853183630754</v>
      </c>
      <c r="BY62">
        <f t="shared" si="132"/>
        <v>1.3555434925088903</v>
      </c>
      <c r="CB62">
        <f t="shared" si="133"/>
        <v>0.58943968602834396</v>
      </c>
      <c r="CC62">
        <f t="shared" si="134"/>
        <v>3.5323796565441707</v>
      </c>
      <c r="CD62">
        <f t="shared" si="135"/>
        <v>2.8450823579489808</v>
      </c>
      <c r="CE62">
        <f t="shared" si="136"/>
        <v>2.4887887501533781</v>
      </c>
      <c r="CF62">
        <f t="shared" si="25"/>
        <v>0.58943968602834396</v>
      </c>
      <c r="CJ62" t="str">
        <f t="shared" si="26"/>
        <v>Cluster 1</v>
      </c>
      <c r="CK62" t="str">
        <f t="shared" si="137"/>
        <v>B Super Bowl</v>
      </c>
      <c r="CL62" t="str">
        <f t="shared" si="27"/>
        <v>Super Bowl B</v>
      </c>
      <c r="CM62" t="str">
        <f t="shared" si="141"/>
        <v>Diff</v>
      </c>
    </row>
    <row r="63" spans="8:91">
      <c r="H63">
        <v>56</v>
      </c>
      <c r="I63">
        <v>6</v>
      </c>
      <c r="J63">
        <v>9</v>
      </c>
      <c r="K63">
        <v>11</v>
      </c>
      <c r="L63">
        <v>14</v>
      </c>
      <c r="M63">
        <v>17</v>
      </c>
      <c r="N63">
        <v>13</v>
      </c>
      <c r="O63">
        <v>16</v>
      </c>
      <c r="P63">
        <v>18</v>
      </c>
      <c r="Q63">
        <v>19</v>
      </c>
      <c r="R63">
        <v>20</v>
      </c>
      <c r="S63">
        <v>1</v>
      </c>
      <c r="T63">
        <v>2</v>
      </c>
      <c r="U63">
        <v>3</v>
      </c>
      <c r="V63">
        <v>5</v>
      </c>
      <c r="W63">
        <v>8</v>
      </c>
      <c r="X63">
        <v>4</v>
      </c>
      <c r="Y63">
        <v>7</v>
      </c>
      <c r="Z63">
        <v>10</v>
      </c>
      <c r="AA63">
        <v>12</v>
      </c>
      <c r="AB63">
        <v>15</v>
      </c>
      <c r="AD63">
        <f t="shared" ref="AD63:AH63" si="207">SUMIFS($I63:$AB63,$I$2:$AB$2,AD$7)</f>
        <v>24</v>
      </c>
      <c r="AE63">
        <f t="shared" si="207"/>
        <v>34</v>
      </c>
      <c r="AF63">
        <f t="shared" si="207"/>
        <v>42</v>
      </c>
      <c r="AG63">
        <f t="shared" si="207"/>
        <v>50</v>
      </c>
      <c r="AH63">
        <f t="shared" si="207"/>
        <v>60</v>
      </c>
      <c r="AI63">
        <f t="shared" si="161"/>
        <v>143</v>
      </c>
      <c r="AJ63">
        <f t="shared" si="161"/>
        <v>67</v>
      </c>
      <c r="AK63">
        <f t="shared" si="162"/>
        <v>134</v>
      </c>
      <c r="AL63">
        <f t="shared" si="162"/>
        <v>76</v>
      </c>
      <c r="AN63" s="67">
        <f t="shared" ref="AN63:AV63" si="208">((AD63-MIN($AD63:$AL63))/(MAX($AD63:$AL63)-MIN($AD63:$AL63)))</f>
        <v>0</v>
      </c>
      <c r="AO63" s="67">
        <f t="shared" si="208"/>
        <v>8.4033613445378158E-2</v>
      </c>
      <c r="AP63" s="67">
        <f t="shared" si="208"/>
        <v>0.15126050420168066</v>
      </c>
      <c r="AQ63" s="67">
        <f t="shared" si="208"/>
        <v>0.21848739495798319</v>
      </c>
      <c r="AR63" s="67">
        <f t="shared" si="208"/>
        <v>0.30252100840336132</v>
      </c>
      <c r="AS63" s="67">
        <f t="shared" si="208"/>
        <v>1</v>
      </c>
      <c r="AT63" s="67">
        <f t="shared" si="208"/>
        <v>0.36134453781512604</v>
      </c>
      <c r="AU63" s="67">
        <f t="shared" si="208"/>
        <v>0.92436974789915971</v>
      </c>
      <c r="AV63" s="67">
        <f t="shared" si="208"/>
        <v>0.43697478991596639</v>
      </c>
      <c r="AX63">
        <f t="shared" si="8"/>
        <v>0.30252100840336132</v>
      </c>
      <c r="AY63">
        <f t="shared" si="9"/>
        <v>0.6386554621848739</v>
      </c>
      <c r="AZ63">
        <f t="shared" si="10"/>
        <v>0.48739495798319332</v>
      </c>
      <c r="BB63">
        <f t="shared" ref="BB63:BD63" si="209">AX63/SUM($AX63:$AZ63)</f>
        <v>0.21176470588235291</v>
      </c>
      <c r="BC63">
        <f t="shared" si="209"/>
        <v>0.44705882352941173</v>
      </c>
      <c r="BD63">
        <f t="shared" si="209"/>
        <v>0.3411764705882353</v>
      </c>
      <c r="BF63" t="str">
        <f t="shared" si="12"/>
        <v xml:space="preserve">Brand </v>
      </c>
      <c r="BG63" t="str">
        <f t="shared" si="13"/>
        <v>Tennis</v>
      </c>
      <c r="BI63">
        <f t="shared" si="14"/>
        <v>3.5</v>
      </c>
      <c r="BJ63" t="str">
        <f t="shared" si="15"/>
        <v>Tennis</v>
      </c>
      <c r="BK63" t="str">
        <f t="shared" si="16"/>
        <v>A</v>
      </c>
      <c r="BS63">
        <f t="shared" si="17"/>
        <v>0.30252100840336132</v>
      </c>
      <c r="BT63">
        <f t="shared" si="31"/>
        <v>0.6386554621848739</v>
      </c>
      <c r="BU63">
        <f t="shared" si="18"/>
        <v>-0.48739495798319332</v>
      </c>
      <c r="BW63">
        <f t="shared" si="130"/>
        <v>-0.88658687390872204</v>
      </c>
      <c r="BX63">
        <f t="shared" si="131"/>
        <v>1.4044225464764764</v>
      </c>
      <c r="BY63">
        <f t="shared" si="132"/>
        <v>-1.0465478658718474</v>
      </c>
      <c r="CB63">
        <f t="shared" si="133"/>
        <v>3.3488908763957848</v>
      </c>
      <c r="CC63">
        <f t="shared" si="134"/>
        <v>3.1261963687626224</v>
      </c>
      <c r="CD63">
        <f t="shared" si="135"/>
        <v>1.0545851423695998</v>
      </c>
      <c r="CE63">
        <f t="shared" si="136"/>
        <v>2.6073847892343056</v>
      </c>
      <c r="CF63">
        <f t="shared" si="25"/>
        <v>1.0545851423695998</v>
      </c>
      <c r="CJ63" t="str">
        <f t="shared" si="26"/>
        <v>Cluster 3</v>
      </c>
      <c r="CK63" t="str">
        <f t="shared" si="137"/>
        <v>Tennis Only</v>
      </c>
      <c r="CL63" t="str">
        <f t="shared" si="27"/>
        <v>Tennis A</v>
      </c>
      <c r="CM63" t="str">
        <f t="shared" si="141"/>
        <v>Diff</v>
      </c>
    </row>
    <row r="64" spans="8:91">
      <c r="H64">
        <v>57</v>
      </c>
      <c r="I64">
        <v>4</v>
      </c>
      <c r="J64">
        <v>8</v>
      </c>
      <c r="K64">
        <v>12</v>
      </c>
      <c r="L64">
        <v>16</v>
      </c>
      <c r="M64">
        <v>20</v>
      </c>
      <c r="N64">
        <v>2</v>
      </c>
      <c r="O64">
        <v>6</v>
      </c>
      <c r="P64">
        <v>10</v>
      </c>
      <c r="Q64">
        <v>14</v>
      </c>
      <c r="R64">
        <v>18</v>
      </c>
      <c r="S64">
        <v>3</v>
      </c>
      <c r="T64">
        <v>7</v>
      </c>
      <c r="U64">
        <v>11</v>
      </c>
      <c r="V64">
        <v>15</v>
      </c>
      <c r="W64">
        <v>19</v>
      </c>
      <c r="X64">
        <v>1</v>
      </c>
      <c r="Y64">
        <v>5</v>
      </c>
      <c r="Z64">
        <v>9</v>
      </c>
      <c r="AA64">
        <v>13</v>
      </c>
      <c r="AB64">
        <v>17</v>
      </c>
      <c r="AD64">
        <f t="shared" ref="AD64:AH64" si="210">SUMIFS($I64:$AB64,$I$2:$AB$2,AD$7)</f>
        <v>10</v>
      </c>
      <c r="AE64">
        <f t="shared" si="210"/>
        <v>26</v>
      </c>
      <c r="AF64">
        <f t="shared" si="210"/>
        <v>42</v>
      </c>
      <c r="AG64">
        <f t="shared" si="210"/>
        <v>58</v>
      </c>
      <c r="AH64">
        <f t="shared" si="210"/>
        <v>74</v>
      </c>
      <c r="AI64">
        <f t="shared" si="161"/>
        <v>110</v>
      </c>
      <c r="AJ64">
        <f t="shared" si="161"/>
        <v>100</v>
      </c>
      <c r="AK64">
        <f t="shared" si="162"/>
        <v>95</v>
      </c>
      <c r="AL64">
        <f t="shared" si="162"/>
        <v>115</v>
      </c>
      <c r="AN64" s="67">
        <f t="shared" ref="AN64:AV64" si="211">((AD64-MIN($AD64:$AL64))/(MAX($AD64:$AL64)-MIN($AD64:$AL64)))</f>
        <v>0</v>
      </c>
      <c r="AO64" s="67">
        <f t="shared" si="211"/>
        <v>0.15238095238095239</v>
      </c>
      <c r="AP64" s="67">
        <f t="shared" si="211"/>
        <v>0.30476190476190479</v>
      </c>
      <c r="AQ64" s="67">
        <f t="shared" si="211"/>
        <v>0.45714285714285713</v>
      </c>
      <c r="AR64" s="67">
        <f t="shared" si="211"/>
        <v>0.60952380952380958</v>
      </c>
      <c r="AS64" s="67">
        <f t="shared" si="211"/>
        <v>0.95238095238095233</v>
      </c>
      <c r="AT64" s="67">
        <f t="shared" si="211"/>
        <v>0.8571428571428571</v>
      </c>
      <c r="AU64" s="67">
        <f t="shared" si="211"/>
        <v>0.80952380952380953</v>
      </c>
      <c r="AV64" s="67">
        <f t="shared" si="211"/>
        <v>1</v>
      </c>
      <c r="AX64">
        <f t="shared" si="8"/>
        <v>0.60952380952380958</v>
      </c>
      <c r="AY64">
        <f t="shared" si="9"/>
        <v>9.5238095238095233E-2</v>
      </c>
      <c r="AZ64">
        <f t="shared" si="10"/>
        <v>0.19047619047619047</v>
      </c>
      <c r="BB64">
        <f t="shared" ref="BB64:BD64" si="212">AX64/SUM($AX64:$AZ64)</f>
        <v>0.68085106382978722</v>
      </c>
      <c r="BC64">
        <f t="shared" si="212"/>
        <v>0.10638297872340424</v>
      </c>
      <c r="BD64">
        <f t="shared" si="212"/>
        <v>0.21276595744680848</v>
      </c>
      <c r="BF64" t="str">
        <f t="shared" si="12"/>
        <v>Price</v>
      </c>
      <c r="BG64">
        <f t="shared" si="13"/>
        <v>3.5</v>
      </c>
      <c r="BI64">
        <f t="shared" si="14"/>
        <v>3.5</v>
      </c>
      <c r="BJ64" t="str">
        <f t="shared" si="15"/>
        <v>Tennis</v>
      </c>
      <c r="BK64" t="str">
        <f t="shared" si="16"/>
        <v>B</v>
      </c>
      <c r="BS64">
        <f t="shared" si="17"/>
        <v>0.60952380952380958</v>
      </c>
      <c r="BT64">
        <f t="shared" si="31"/>
        <v>9.5238095238095233E-2</v>
      </c>
      <c r="BU64">
        <f t="shared" si="18"/>
        <v>0.19047619047619047</v>
      </c>
      <c r="BW64">
        <f t="shared" si="130"/>
        <v>1.8178197010872597</v>
      </c>
      <c r="BX64">
        <f t="shared" si="131"/>
        <v>0.21620548536480494</v>
      </c>
      <c r="BY64">
        <f t="shared" si="132"/>
        <v>0.38560237041352236</v>
      </c>
      <c r="CB64">
        <f t="shared" si="133"/>
        <v>2.8782125953701838</v>
      </c>
      <c r="CC64">
        <f t="shared" si="134"/>
        <v>0.36275713074680155</v>
      </c>
      <c r="CD64">
        <f t="shared" si="135"/>
        <v>2.486280068483246</v>
      </c>
      <c r="CE64">
        <f t="shared" si="136"/>
        <v>3.038125673758147</v>
      </c>
      <c r="CF64">
        <f t="shared" si="25"/>
        <v>0.36275713074680155</v>
      </c>
      <c r="CJ64" t="str">
        <f t="shared" si="26"/>
        <v>Cluster 2</v>
      </c>
      <c r="CK64" t="str">
        <f t="shared" si="137"/>
        <v>Price Only</v>
      </c>
      <c r="CL64" t="str">
        <f t="shared" si="27"/>
        <v>Price Only</v>
      </c>
      <c r="CM64" t="str">
        <f t="shared" si="141"/>
        <v/>
      </c>
    </row>
    <row r="65" spans="8:91">
      <c r="H65">
        <v>58</v>
      </c>
      <c r="I65">
        <v>10</v>
      </c>
      <c r="J65">
        <v>14</v>
      </c>
      <c r="K65">
        <v>17</v>
      </c>
      <c r="L65">
        <v>19</v>
      </c>
      <c r="M65">
        <v>20</v>
      </c>
      <c r="N65">
        <v>5</v>
      </c>
      <c r="O65">
        <v>8</v>
      </c>
      <c r="P65">
        <v>12</v>
      </c>
      <c r="Q65">
        <v>15</v>
      </c>
      <c r="R65">
        <v>18</v>
      </c>
      <c r="S65">
        <v>3</v>
      </c>
      <c r="T65">
        <v>6</v>
      </c>
      <c r="U65">
        <v>9</v>
      </c>
      <c r="V65">
        <v>13</v>
      </c>
      <c r="W65">
        <v>16</v>
      </c>
      <c r="X65">
        <v>1</v>
      </c>
      <c r="Y65">
        <v>2</v>
      </c>
      <c r="Z65">
        <v>4</v>
      </c>
      <c r="AA65">
        <v>7</v>
      </c>
      <c r="AB65">
        <v>11</v>
      </c>
      <c r="AD65">
        <f t="shared" ref="AD65:AH65" si="213">SUMIFS($I65:$AB65,$I$2:$AB$2,AD$7)</f>
        <v>19</v>
      </c>
      <c r="AE65">
        <f t="shared" si="213"/>
        <v>30</v>
      </c>
      <c r="AF65">
        <f t="shared" si="213"/>
        <v>42</v>
      </c>
      <c r="AG65">
        <f t="shared" si="213"/>
        <v>54</v>
      </c>
      <c r="AH65">
        <f t="shared" si="213"/>
        <v>65</v>
      </c>
      <c r="AI65">
        <f t="shared" si="161"/>
        <v>138</v>
      </c>
      <c r="AJ65">
        <f t="shared" si="161"/>
        <v>72</v>
      </c>
      <c r="AK65">
        <f t="shared" si="162"/>
        <v>83</v>
      </c>
      <c r="AL65">
        <f t="shared" si="162"/>
        <v>127</v>
      </c>
      <c r="AN65" s="67">
        <f t="shared" ref="AN65:AV65" si="214">((AD65-MIN($AD65:$AL65))/(MAX($AD65:$AL65)-MIN($AD65:$AL65)))</f>
        <v>0</v>
      </c>
      <c r="AO65" s="67">
        <f t="shared" si="214"/>
        <v>9.2436974789915971E-2</v>
      </c>
      <c r="AP65" s="67">
        <f t="shared" si="214"/>
        <v>0.19327731092436976</v>
      </c>
      <c r="AQ65" s="67">
        <f t="shared" si="214"/>
        <v>0.29411764705882354</v>
      </c>
      <c r="AR65" s="67">
        <f t="shared" si="214"/>
        <v>0.38655462184873951</v>
      </c>
      <c r="AS65" s="67">
        <f t="shared" si="214"/>
        <v>1</v>
      </c>
      <c r="AT65" s="67">
        <f t="shared" si="214"/>
        <v>0.44537815126050423</v>
      </c>
      <c r="AU65" s="67">
        <f t="shared" si="214"/>
        <v>0.53781512605042014</v>
      </c>
      <c r="AV65" s="67">
        <f t="shared" si="214"/>
        <v>0.90756302521008403</v>
      </c>
      <c r="AX65">
        <f t="shared" si="8"/>
        <v>0.38655462184873951</v>
      </c>
      <c r="AY65">
        <f t="shared" si="9"/>
        <v>0.55462184873949583</v>
      </c>
      <c r="AZ65">
        <f t="shared" si="10"/>
        <v>0.36974789915966388</v>
      </c>
      <c r="BB65">
        <f t="shared" ref="BB65:BD65" si="215">AX65/SUM($AX65:$AZ65)</f>
        <v>0.29487179487179488</v>
      </c>
      <c r="BC65">
        <f t="shared" si="215"/>
        <v>0.42307692307692307</v>
      </c>
      <c r="BD65">
        <f t="shared" si="215"/>
        <v>0.28205128205128205</v>
      </c>
      <c r="BF65" t="str">
        <f t="shared" si="12"/>
        <v xml:space="preserve">Brand </v>
      </c>
      <c r="BG65" t="str">
        <f t="shared" si="13"/>
        <v>Tennis</v>
      </c>
      <c r="BI65">
        <f t="shared" si="14"/>
        <v>3.5</v>
      </c>
      <c r="BJ65" t="str">
        <f t="shared" si="15"/>
        <v>Tennis</v>
      </c>
      <c r="BK65" t="str">
        <f t="shared" si="16"/>
        <v>B</v>
      </c>
      <c r="BS65">
        <f t="shared" si="17"/>
        <v>0.38655462184873951</v>
      </c>
      <c r="BT65">
        <f t="shared" si="31"/>
        <v>0.55462184873949583</v>
      </c>
      <c r="BU65">
        <f t="shared" si="18"/>
        <v>0.36974789915966388</v>
      </c>
      <c r="BW65">
        <f t="shared" si="130"/>
        <v>-0.14632959973098972</v>
      </c>
      <c r="BX65">
        <f t="shared" si="131"/>
        <v>1.2206776401190014</v>
      </c>
      <c r="BY65">
        <f t="shared" si="132"/>
        <v>0.76435284612535581</v>
      </c>
      <c r="CB65">
        <f t="shared" si="133"/>
        <v>2.4352555749916966</v>
      </c>
      <c r="CC65">
        <f t="shared" si="134"/>
        <v>2.3122758785860817</v>
      </c>
      <c r="CD65">
        <f t="shared" si="135"/>
        <v>0.96084428420025614</v>
      </c>
      <c r="CE65">
        <f t="shared" si="136"/>
        <v>3.0152505445576705</v>
      </c>
      <c r="CF65">
        <f t="shared" si="25"/>
        <v>0.96084428420025614</v>
      </c>
      <c r="CJ65" t="str">
        <f t="shared" si="26"/>
        <v>Cluster 3</v>
      </c>
      <c r="CK65" t="str">
        <f t="shared" si="137"/>
        <v>Tennis Only</v>
      </c>
      <c r="CL65" t="str">
        <f t="shared" si="27"/>
        <v>Tennis B</v>
      </c>
      <c r="CM65" t="str">
        <f t="shared" si="141"/>
        <v>Diff</v>
      </c>
    </row>
    <row r="66" spans="8:91">
      <c r="H66">
        <v>59</v>
      </c>
      <c r="I66">
        <v>12</v>
      </c>
      <c r="J66">
        <v>15</v>
      </c>
      <c r="K66">
        <v>18</v>
      </c>
      <c r="L66">
        <v>19</v>
      </c>
      <c r="M66">
        <v>20</v>
      </c>
      <c r="N66">
        <v>5</v>
      </c>
      <c r="O66">
        <v>8</v>
      </c>
      <c r="P66">
        <v>11</v>
      </c>
      <c r="Q66">
        <v>14</v>
      </c>
      <c r="R66">
        <v>17</v>
      </c>
      <c r="S66">
        <v>4</v>
      </c>
      <c r="T66">
        <v>7</v>
      </c>
      <c r="U66">
        <v>10</v>
      </c>
      <c r="V66">
        <v>13</v>
      </c>
      <c r="W66">
        <v>16</v>
      </c>
      <c r="X66">
        <v>1</v>
      </c>
      <c r="Y66">
        <v>2</v>
      </c>
      <c r="Z66">
        <v>3</v>
      </c>
      <c r="AA66">
        <v>6</v>
      </c>
      <c r="AB66">
        <v>9</v>
      </c>
      <c r="AD66">
        <f t="shared" ref="AD66:AH66" si="216">SUMIFS($I66:$AB66,$I$2:$AB$2,AD$7)</f>
        <v>22</v>
      </c>
      <c r="AE66">
        <f t="shared" si="216"/>
        <v>32</v>
      </c>
      <c r="AF66">
        <f t="shared" si="216"/>
        <v>42</v>
      </c>
      <c r="AG66">
        <f t="shared" si="216"/>
        <v>52</v>
      </c>
      <c r="AH66">
        <f t="shared" si="216"/>
        <v>62</v>
      </c>
      <c r="AI66">
        <f t="shared" si="161"/>
        <v>139</v>
      </c>
      <c r="AJ66">
        <f t="shared" si="161"/>
        <v>71</v>
      </c>
      <c r="AK66">
        <f t="shared" si="162"/>
        <v>76</v>
      </c>
      <c r="AL66">
        <f t="shared" si="162"/>
        <v>134</v>
      </c>
      <c r="AN66" s="67">
        <f t="shared" ref="AN66:AV66" si="217">((AD66-MIN($AD66:$AL66))/(MAX($AD66:$AL66)-MIN($AD66:$AL66)))</f>
        <v>0</v>
      </c>
      <c r="AO66" s="67">
        <f t="shared" si="217"/>
        <v>8.5470085470085472E-2</v>
      </c>
      <c r="AP66" s="67">
        <f t="shared" si="217"/>
        <v>0.17094017094017094</v>
      </c>
      <c r="AQ66" s="67">
        <f t="shared" si="217"/>
        <v>0.25641025641025639</v>
      </c>
      <c r="AR66" s="67">
        <f t="shared" si="217"/>
        <v>0.34188034188034189</v>
      </c>
      <c r="AS66" s="67">
        <f t="shared" si="217"/>
        <v>1</v>
      </c>
      <c r="AT66" s="67">
        <f t="shared" si="217"/>
        <v>0.41880341880341881</v>
      </c>
      <c r="AU66" s="67">
        <f t="shared" si="217"/>
        <v>0.46153846153846156</v>
      </c>
      <c r="AV66" s="67">
        <f t="shared" si="217"/>
        <v>0.95726495726495731</v>
      </c>
      <c r="AX66">
        <f t="shared" si="8"/>
        <v>0.34188034188034189</v>
      </c>
      <c r="AY66">
        <f t="shared" si="9"/>
        <v>0.58119658119658113</v>
      </c>
      <c r="AZ66">
        <f t="shared" si="10"/>
        <v>0.49572649572649574</v>
      </c>
      <c r="BB66">
        <f t="shared" ref="BB66:BD66" si="218">AX66/SUM($AX66:$AZ66)</f>
        <v>0.24096385542168677</v>
      </c>
      <c r="BC66">
        <f t="shared" si="218"/>
        <v>0.40963855421686746</v>
      </c>
      <c r="BD66">
        <f t="shared" si="218"/>
        <v>0.34939759036144585</v>
      </c>
      <c r="BF66" t="str">
        <f t="shared" si="12"/>
        <v xml:space="preserve">Brand </v>
      </c>
      <c r="BG66" t="str">
        <f t="shared" si="13"/>
        <v>Tennis</v>
      </c>
      <c r="BI66">
        <f t="shared" si="14"/>
        <v>3.5</v>
      </c>
      <c r="BJ66" t="str">
        <f t="shared" si="15"/>
        <v>Tennis</v>
      </c>
      <c r="BK66" t="str">
        <f t="shared" si="16"/>
        <v>B</v>
      </c>
      <c r="BS66">
        <f t="shared" si="17"/>
        <v>0.34188034188034189</v>
      </c>
      <c r="BT66">
        <f t="shared" si="31"/>
        <v>0.58119658119658113</v>
      </c>
      <c r="BU66">
        <f t="shared" si="18"/>
        <v>0.49572649572649574</v>
      </c>
      <c r="BW66">
        <f t="shared" si="130"/>
        <v>-0.53986808224257044</v>
      </c>
      <c r="BX66">
        <f t="shared" si="131"/>
        <v>1.2787850036679462</v>
      </c>
      <c r="BY66">
        <f t="shared" si="132"/>
        <v>1.0305100313811875</v>
      </c>
      <c r="CB66">
        <f t="shared" si="133"/>
        <v>2.4256581232390313</v>
      </c>
      <c r="CC66">
        <f t="shared" si="134"/>
        <v>2.7599361554454043</v>
      </c>
      <c r="CD66">
        <f t="shared" si="135"/>
        <v>1.1874580690425542</v>
      </c>
      <c r="CE66">
        <f t="shared" si="136"/>
        <v>3.2093265822714914</v>
      </c>
      <c r="CF66">
        <f t="shared" si="25"/>
        <v>1.1874580690425542</v>
      </c>
      <c r="CJ66" t="str">
        <f t="shared" si="26"/>
        <v>Cluster 3</v>
      </c>
      <c r="CK66" t="str">
        <f t="shared" si="137"/>
        <v>Tennis Only</v>
      </c>
      <c r="CL66" t="str">
        <f t="shared" si="27"/>
        <v>Tennis B</v>
      </c>
      <c r="CM66" t="str">
        <f t="shared" si="141"/>
        <v>Diff</v>
      </c>
    </row>
    <row r="67" spans="8:91">
      <c r="H67">
        <v>60</v>
      </c>
      <c r="I67">
        <v>1</v>
      </c>
      <c r="J67">
        <v>5</v>
      </c>
      <c r="K67">
        <v>9</v>
      </c>
      <c r="L67">
        <v>13</v>
      </c>
      <c r="M67">
        <v>17</v>
      </c>
      <c r="N67">
        <v>3</v>
      </c>
      <c r="O67">
        <v>7</v>
      </c>
      <c r="P67">
        <v>11</v>
      </c>
      <c r="Q67">
        <v>15</v>
      </c>
      <c r="R67">
        <v>19</v>
      </c>
      <c r="S67">
        <v>2</v>
      </c>
      <c r="T67">
        <v>6</v>
      </c>
      <c r="U67">
        <v>10</v>
      </c>
      <c r="V67">
        <v>14</v>
      </c>
      <c r="W67">
        <v>18</v>
      </c>
      <c r="X67">
        <v>4</v>
      </c>
      <c r="Y67">
        <v>8</v>
      </c>
      <c r="Z67">
        <v>12</v>
      </c>
      <c r="AA67">
        <v>16</v>
      </c>
      <c r="AB67">
        <v>20</v>
      </c>
      <c r="AD67">
        <f t="shared" ref="AD67:AH67" si="219">SUMIFS($I67:$AB67,$I$2:$AB$2,AD$7)</f>
        <v>10</v>
      </c>
      <c r="AE67">
        <f t="shared" si="219"/>
        <v>26</v>
      </c>
      <c r="AF67">
        <f t="shared" si="219"/>
        <v>42</v>
      </c>
      <c r="AG67">
        <f t="shared" si="219"/>
        <v>58</v>
      </c>
      <c r="AH67">
        <f t="shared" si="219"/>
        <v>74</v>
      </c>
      <c r="AI67">
        <f t="shared" si="161"/>
        <v>100</v>
      </c>
      <c r="AJ67">
        <f t="shared" si="161"/>
        <v>110</v>
      </c>
      <c r="AK67">
        <f t="shared" si="162"/>
        <v>115</v>
      </c>
      <c r="AL67">
        <f t="shared" si="162"/>
        <v>95</v>
      </c>
      <c r="AN67" s="67">
        <f t="shared" ref="AN67:AV67" si="220">((AD67-MIN($AD67:$AL67))/(MAX($AD67:$AL67)-MIN($AD67:$AL67)))</f>
        <v>0</v>
      </c>
      <c r="AO67" s="67">
        <f t="shared" si="220"/>
        <v>0.15238095238095239</v>
      </c>
      <c r="AP67" s="67">
        <f t="shared" si="220"/>
        <v>0.30476190476190479</v>
      </c>
      <c r="AQ67" s="67">
        <f t="shared" si="220"/>
        <v>0.45714285714285713</v>
      </c>
      <c r="AR67" s="67">
        <f t="shared" si="220"/>
        <v>0.60952380952380958</v>
      </c>
      <c r="AS67" s="67">
        <f t="shared" si="220"/>
        <v>0.8571428571428571</v>
      </c>
      <c r="AT67" s="67">
        <f t="shared" si="220"/>
        <v>0.95238095238095233</v>
      </c>
      <c r="AU67" s="67">
        <f t="shared" si="220"/>
        <v>1</v>
      </c>
      <c r="AV67" s="67">
        <f t="shared" si="220"/>
        <v>0.80952380952380953</v>
      </c>
      <c r="AX67">
        <f t="shared" si="8"/>
        <v>0.60952380952380958</v>
      </c>
      <c r="AY67">
        <f t="shared" si="9"/>
        <v>9.5238095238095233E-2</v>
      </c>
      <c r="AZ67">
        <f t="shared" si="10"/>
        <v>0.19047619047619047</v>
      </c>
      <c r="BB67">
        <f t="shared" ref="BB67:BD67" si="221">AX67/SUM($AX67:$AZ67)</f>
        <v>0.68085106382978722</v>
      </c>
      <c r="BC67">
        <f t="shared" si="221"/>
        <v>0.10638297872340424</v>
      </c>
      <c r="BD67">
        <f t="shared" si="221"/>
        <v>0.21276595744680848</v>
      </c>
      <c r="BF67" t="str">
        <f t="shared" si="12"/>
        <v>Price</v>
      </c>
      <c r="BG67">
        <f t="shared" si="13"/>
        <v>3.5</v>
      </c>
      <c r="BI67">
        <f t="shared" si="14"/>
        <v>3.5</v>
      </c>
      <c r="BJ67" t="str">
        <f t="shared" si="15"/>
        <v>Super Bowl</v>
      </c>
      <c r="BK67" t="str">
        <f t="shared" si="16"/>
        <v>A</v>
      </c>
      <c r="BS67">
        <f t="shared" si="17"/>
        <v>0.60952380952380958</v>
      </c>
      <c r="BT67">
        <f t="shared" si="31"/>
        <v>-9.5238095238095233E-2</v>
      </c>
      <c r="BU67">
        <f t="shared" si="18"/>
        <v>-0.19047619047619047</v>
      </c>
      <c r="BW67">
        <f t="shared" si="130"/>
        <v>1.8178197010872597</v>
      </c>
      <c r="BX67">
        <f t="shared" si="131"/>
        <v>-0.2002829690454716</v>
      </c>
      <c r="BY67">
        <f t="shared" si="132"/>
        <v>-0.41924239047412343</v>
      </c>
      <c r="CB67">
        <f t="shared" si="133"/>
        <v>3.0224477483232417</v>
      </c>
      <c r="CC67">
        <f t="shared" si="134"/>
        <v>0.60442594737100175</v>
      </c>
      <c r="CD67">
        <f t="shared" si="135"/>
        <v>2.6248192102674079</v>
      </c>
      <c r="CE67">
        <f t="shared" si="136"/>
        <v>2.5686392195910996</v>
      </c>
      <c r="CF67">
        <f t="shared" si="25"/>
        <v>0.60442594737100175</v>
      </c>
      <c r="CJ67" t="str">
        <f t="shared" si="26"/>
        <v>Cluster 2</v>
      </c>
      <c r="CK67" t="str">
        <f t="shared" si="137"/>
        <v>Price Only</v>
      </c>
      <c r="CL67" t="str">
        <f t="shared" si="27"/>
        <v>Price Only</v>
      </c>
      <c r="CM67" t="str">
        <f t="shared" si="141"/>
        <v/>
      </c>
    </row>
    <row r="68" spans="8:91">
      <c r="H68">
        <v>61</v>
      </c>
      <c r="I68">
        <v>4</v>
      </c>
      <c r="J68">
        <v>8</v>
      </c>
      <c r="K68">
        <v>12</v>
      </c>
      <c r="L68">
        <v>16</v>
      </c>
      <c r="M68">
        <v>20</v>
      </c>
      <c r="N68">
        <v>3</v>
      </c>
      <c r="O68">
        <v>7</v>
      </c>
      <c r="P68">
        <v>11</v>
      </c>
      <c r="Q68">
        <v>15</v>
      </c>
      <c r="R68">
        <v>19</v>
      </c>
      <c r="S68">
        <v>2</v>
      </c>
      <c r="T68">
        <v>6</v>
      </c>
      <c r="U68">
        <v>10</v>
      </c>
      <c r="V68">
        <v>14</v>
      </c>
      <c r="W68">
        <v>18</v>
      </c>
      <c r="X68">
        <v>1</v>
      </c>
      <c r="Y68">
        <v>5</v>
      </c>
      <c r="Z68">
        <v>9</v>
      </c>
      <c r="AA68">
        <v>13</v>
      </c>
      <c r="AB68">
        <v>17</v>
      </c>
      <c r="AD68">
        <f t="shared" ref="AD68:AH68" si="222">SUMIFS($I68:$AB68,$I$2:$AB$2,AD$7)</f>
        <v>10</v>
      </c>
      <c r="AE68">
        <f t="shared" si="222"/>
        <v>26</v>
      </c>
      <c r="AF68">
        <f t="shared" si="222"/>
        <v>42</v>
      </c>
      <c r="AG68">
        <f t="shared" si="222"/>
        <v>58</v>
      </c>
      <c r="AH68">
        <f t="shared" si="222"/>
        <v>74</v>
      </c>
      <c r="AI68">
        <f t="shared" ref="AI68:AJ87" si="223">SUMIFS($I68:$AB68,$I$3:$AB$3,AI$7)</f>
        <v>115</v>
      </c>
      <c r="AJ68">
        <f t="shared" si="223"/>
        <v>95</v>
      </c>
      <c r="AK68">
        <f t="shared" ref="AK68:AL87" si="224">SUMIFS($I68:$AB68,$I$4:$AB$4,AK$7)</f>
        <v>100</v>
      </c>
      <c r="AL68">
        <f t="shared" si="224"/>
        <v>110</v>
      </c>
      <c r="AN68" s="67">
        <f t="shared" ref="AN68:AV68" si="225">((AD68-MIN($AD68:$AL68))/(MAX($AD68:$AL68)-MIN($AD68:$AL68)))</f>
        <v>0</v>
      </c>
      <c r="AO68" s="67">
        <f t="shared" si="225"/>
        <v>0.15238095238095239</v>
      </c>
      <c r="AP68" s="67">
        <f t="shared" si="225"/>
        <v>0.30476190476190479</v>
      </c>
      <c r="AQ68" s="67">
        <f t="shared" si="225"/>
        <v>0.45714285714285713</v>
      </c>
      <c r="AR68" s="67">
        <f t="shared" si="225"/>
        <v>0.60952380952380958</v>
      </c>
      <c r="AS68" s="67">
        <f t="shared" si="225"/>
        <v>1</v>
      </c>
      <c r="AT68" s="67">
        <f t="shared" si="225"/>
        <v>0.80952380952380953</v>
      </c>
      <c r="AU68" s="67">
        <f t="shared" si="225"/>
        <v>0.8571428571428571</v>
      </c>
      <c r="AV68" s="67">
        <f t="shared" si="225"/>
        <v>0.95238095238095233</v>
      </c>
      <c r="AX68">
        <f t="shared" si="8"/>
        <v>0.60952380952380958</v>
      </c>
      <c r="AY68">
        <f t="shared" si="9"/>
        <v>0.19047619047619047</v>
      </c>
      <c r="AZ68">
        <f t="shared" si="10"/>
        <v>9.5238095238095233E-2</v>
      </c>
      <c r="BB68">
        <f t="shared" ref="BB68:BD68" si="226">AX68/SUM($AX68:$AZ68)</f>
        <v>0.68085106382978722</v>
      </c>
      <c r="BC68">
        <f t="shared" si="226"/>
        <v>0.21276595744680848</v>
      </c>
      <c r="BD68">
        <f t="shared" si="226"/>
        <v>0.10638297872340424</v>
      </c>
      <c r="BF68" t="str">
        <f t="shared" si="12"/>
        <v>Price</v>
      </c>
      <c r="BG68">
        <f t="shared" si="13"/>
        <v>3.5</v>
      </c>
      <c r="BI68">
        <f t="shared" si="14"/>
        <v>3.5</v>
      </c>
      <c r="BJ68" t="str">
        <f t="shared" si="15"/>
        <v>Tennis</v>
      </c>
      <c r="BK68" t="str">
        <f t="shared" si="16"/>
        <v>B</v>
      </c>
      <c r="BS68">
        <f t="shared" si="17"/>
        <v>0.60952380952380958</v>
      </c>
      <c r="BT68">
        <f t="shared" si="31"/>
        <v>0.19047619047619047</v>
      </c>
      <c r="BU68">
        <f t="shared" si="18"/>
        <v>9.5238095238095233E-2</v>
      </c>
      <c r="BW68">
        <f t="shared" si="130"/>
        <v>1.8178197010872597</v>
      </c>
      <c r="BX68">
        <f t="shared" si="131"/>
        <v>0.42444971256994318</v>
      </c>
      <c r="BY68">
        <f t="shared" si="132"/>
        <v>0.18439118019161094</v>
      </c>
      <c r="CB68">
        <f t="shared" si="133"/>
        <v>3.0373518932461994</v>
      </c>
      <c r="CC68">
        <f t="shared" si="134"/>
        <v>0.26833047118697734</v>
      </c>
      <c r="CD68">
        <f t="shared" si="135"/>
        <v>2.3851184056843331</v>
      </c>
      <c r="CE68">
        <f t="shared" si="136"/>
        <v>3.0523913537765708</v>
      </c>
      <c r="CF68">
        <f t="shared" si="25"/>
        <v>0.26833047118697734</v>
      </c>
      <c r="CJ68" t="str">
        <f t="shared" si="26"/>
        <v>Cluster 2</v>
      </c>
      <c r="CK68" t="str">
        <f t="shared" si="137"/>
        <v>Price Only</v>
      </c>
      <c r="CL68" t="str">
        <f t="shared" si="27"/>
        <v>Price Only</v>
      </c>
      <c r="CM68" t="str">
        <f t="shared" si="141"/>
        <v/>
      </c>
    </row>
    <row r="69" spans="8:91">
      <c r="H69">
        <v>62</v>
      </c>
      <c r="I69">
        <v>4</v>
      </c>
      <c r="J69">
        <v>7</v>
      </c>
      <c r="K69">
        <v>10</v>
      </c>
      <c r="L69">
        <v>13</v>
      </c>
      <c r="M69">
        <v>16</v>
      </c>
      <c r="N69">
        <v>1</v>
      </c>
      <c r="O69">
        <v>2</v>
      </c>
      <c r="P69">
        <v>3</v>
      </c>
      <c r="Q69">
        <v>6</v>
      </c>
      <c r="R69">
        <v>9</v>
      </c>
      <c r="S69">
        <v>13</v>
      </c>
      <c r="T69">
        <v>16</v>
      </c>
      <c r="U69">
        <v>18</v>
      </c>
      <c r="V69">
        <v>19</v>
      </c>
      <c r="W69">
        <v>20</v>
      </c>
      <c r="X69">
        <v>6</v>
      </c>
      <c r="Y69">
        <v>9</v>
      </c>
      <c r="Z69">
        <v>11</v>
      </c>
      <c r="AA69">
        <v>14</v>
      </c>
      <c r="AB69">
        <v>17</v>
      </c>
      <c r="AD69">
        <f t="shared" ref="AD69:AH69" si="227">SUMIFS($I69:$AB69,$I$2:$AB$2,AD$7)</f>
        <v>24</v>
      </c>
      <c r="AE69">
        <f t="shared" si="227"/>
        <v>34</v>
      </c>
      <c r="AF69">
        <f t="shared" si="227"/>
        <v>42</v>
      </c>
      <c r="AG69">
        <f t="shared" si="227"/>
        <v>52</v>
      </c>
      <c r="AH69">
        <f t="shared" si="227"/>
        <v>62</v>
      </c>
      <c r="AI69">
        <f t="shared" si="223"/>
        <v>71</v>
      </c>
      <c r="AJ69">
        <f t="shared" si="223"/>
        <v>143</v>
      </c>
      <c r="AK69">
        <f t="shared" si="224"/>
        <v>78</v>
      </c>
      <c r="AL69">
        <f t="shared" si="224"/>
        <v>136</v>
      </c>
      <c r="AN69" s="67">
        <f t="shared" ref="AN69:AV69" si="228">((AD69-MIN($AD69:$AL69))/(MAX($AD69:$AL69)-MIN($AD69:$AL69)))</f>
        <v>0</v>
      </c>
      <c r="AO69" s="67">
        <f t="shared" si="228"/>
        <v>8.4033613445378158E-2</v>
      </c>
      <c r="AP69" s="67">
        <f t="shared" si="228"/>
        <v>0.15126050420168066</v>
      </c>
      <c r="AQ69" s="67">
        <f t="shared" si="228"/>
        <v>0.23529411764705882</v>
      </c>
      <c r="AR69" s="67">
        <f t="shared" si="228"/>
        <v>0.31932773109243695</v>
      </c>
      <c r="AS69" s="67">
        <f t="shared" si="228"/>
        <v>0.3949579831932773</v>
      </c>
      <c r="AT69" s="67">
        <f t="shared" si="228"/>
        <v>1</v>
      </c>
      <c r="AU69" s="67">
        <f t="shared" si="228"/>
        <v>0.45378151260504201</v>
      </c>
      <c r="AV69" s="67">
        <f t="shared" si="228"/>
        <v>0.94117647058823528</v>
      </c>
      <c r="AX69">
        <f t="shared" si="8"/>
        <v>0.31932773109243695</v>
      </c>
      <c r="AY69">
        <f t="shared" si="9"/>
        <v>0.60504201680672276</v>
      </c>
      <c r="AZ69">
        <f t="shared" si="10"/>
        <v>0.48739495798319327</v>
      </c>
      <c r="BB69">
        <f t="shared" ref="BB69:BD69" si="229">AX69/SUM($AX69:$AZ69)</f>
        <v>0.22619047619047616</v>
      </c>
      <c r="BC69">
        <f t="shared" si="229"/>
        <v>0.4285714285714286</v>
      </c>
      <c r="BD69">
        <f t="shared" si="229"/>
        <v>0.34523809523809523</v>
      </c>
      <c r="BF69" t="str">
        <f t="shared" si="12"/>
        <v xml:space="preserve">Brand </v>
      </c>
      <c r="BG69" t="str">
        <f t="shared" si="13"/>
        <v>Super Bowl</v>
      </c>
      <c r="BI69">
        <f t="shared" si="14"/>
        <v>3.5</v>
      </c>
      <c r="BJ69" t="str">
        <f t="shared" si="15"/>
        <v>Super Bowl</v>
      </c>
      <c r="BK69" t="str">
        <f t="shared" si="16"/>
        <v>B</v>
      </c>
      <c r="BS69">
        <f t="shared" si="17"/>
        <v>0.31932773109243695</v>
      </c>
      <c r="BT69">
        <f t="shared" si="31"/>
        <v>-0.60504201680672276</v>
      </c>
      <c r="BU69">
        <f t="shared" si="18"/>
        <v>0.48739495798319327</v>
      </c>
      <c r="BW69">
        <f t="shared" si="130"/>
        <v>-0.73853541907317566</v>
      </c>
      <c r="BX69">
        <f t="shared" si="131"/>
        <v>-1.3150020676141532</v>
      </c>
      <c r="BY69">
        <f t="shared" si="132"/>
        <v>1.0129078458112464</v>
      </c>
      <c r="CB69">
        <f t="shared" si="133"/>
        <v>0.23205567214555592</v>
      </c>
      <c r="CC69">
        <f t="shared" si="134"/>
        <v>3.12045421844403</v>
      </c>
      <c r="CD69">
        <f t="shared" si="135"/>
        <v>2.6858762618915955</v>
      </c>
      <c r="CE69">
        <f t="shared" si="136"/>
        <v>2.0766470206551912</v>
      </c>
      <c r="CF69">
        <f t="shared" si="25"/>
        <v>0.23205567214555592</v>
      </c>
      <c r="CJ69" t="str">
        <f t="shared" si="26"/>
        <v>Cluster 1</v>
      </c>
      <c r="CK69" t="str">
        <f t="shared" si="137"/>
        <v>B Super Bowl</v>
      </c>
      <c r="CL69" t="str">
        <f t="shared" si="27"/>
        <v>Super Bowl B</v>
      </c>
      <c r="CM69" t="str">
        <f t="shared" si="141"/>
        <v>Diff</v>
      </c>
    </row>
    <row r="70" spans="8:91">
      <c r="H70">
        <v>63</v>
      </c>
      <c r="I70">
        <v>4</v>
      </c>
      <c r="J70">
        <v>8</v>
      </c>
      <c r="K70">
        <v>12</v>
      </c>
      <c r="L70">
        <v>16</v>
      </c>
      <c r="M70">
        <v>20</v>
      </c>
      <c r="N70">
        <v>3</v>
      </c>
      <c r="O70">
        <v>7</v>
      </c>
      <c r="P70">
        <v>11</v>
      </c>
      <c r="Q70">
        <v>15</v>
      </c>
      <c r="R70">
        <v>19</v>
      </c>
      <c r="S70">
        <v>2</v>
      </c>
      <c r="T70">
        <v>6</v>
      </c>
      <c r="U70">
        <v>10</v>
      </c>
      <c r="V70">
        <v>14</v>
      </c>
      <c r="W70">
        <v>18</v>
      </c>
      <c r="X70">
        <v>1</v>
      </c>
      <c r="Y70">
        <v>5</v>
      </c>
      <c r="Z70">
        <v>9</v>
      </c>
      <c r="AA70">
        <v>13</v>
      </c>
      <c r="AB70">
        <v>17</v>
      </c>
      <c r="AD70">
        <f t="shared" ref="AD70:AH70" si="230">SUMIFS($I70:$AB70,$I$2:$AB$2,AD$7)</f>
        <v>10</v>
      </c>
      <c r="AE70">
        <f t="shared" si="230"/>
        <v>26</v>
      </c>
      <c r="AF70">
        <f t="shared" si="230"/>
        <v>42</v>
      </c>
      <c r="AG70">
        <f t="shared" si="230"/>
        <v>58</v>
      </c>
      <c r="AH70">
        <f t="shared" si="230"/>
        <v>74</v>
      </c>
      <c r="AI70">
        <f t="shared" si="223"/>
        <v>115</v>
      </c>
      <c r="AJ70">
        <f t="shared" si="223"/>
        <v>95</v>
      </c>
      <c r="AK70">
        <f t="shared" si="224"/>
        <v>100</v>
      </c>
      <c r="AL70">
        <f t="shared" si="224"/>
        <v>110</v>
      </c>
      <c r="AN70" s="67">
        <f t="shared" ref="AN70:AV70" si="231">((AD70-MIN($AD70:$AL70))/(MAX($AD70:$AL70)-MIN($AD70:$AL70)))</f>
        <v>0</v>
      </c>
      <c r="AO70" s="67">
        <f t="shared" si="231"/>
        <v>0.15238095238095239</v>
      </c>
      <c r="AP70" s="67">
        <f t="shared" si="231"/>
        <v>0.30476190476190479</v>
      </c>
      <c r="AQ70" s="67">
        <f t="shared" si="231"/>
        <v>0.45714285714285713</v>
      </c>
      <c r="AR70" s="67">
        <f t="shared" si="231"/>
        <v>0.60952380952380958</v>
      </c>
      <c r="AS70" s="67">
        <f t="shared" si="231"/>
        <v>1</v>
      </c>
      <c r="AT70" s="67">
        <f t="shared" si="231"/>
        <v>0.80952380952380953</v>
      </c>
      <c r="AU70" s="67">
        <f t="shared" si="231"/>
        <v>0.8571428571428571</v>
      </c>
      <c r="AV70" s="67">
        <f t="shared" si="231"/>
        <v>0.95238095238095233</v>
      </c>
      <c r="AX70">
        <f t="shared" si="8"/>
        <v>0.60952380952380958</v>
      </c>
      <c r="AY70">
        <f t="shared" si="9"/>
        <v>0.19047619047619047</v>
      </c>
      <c r="AZ70">
        <f t="shared" si="10"/>
        <v>9.5238095238095233E-2</v>
      </c>
      <c r="BB70">
        <f t="shared" ref="BB70:BD70" si="232">AX70/SUM($AX70:$AZ70)</f>
        <v>0.68085106382978722</v>
      </c>
      <c r="BC70">
        <f t="shared" si="232"/>
        <v>0.21276595744680848</v>
      </c>
      <c r="BD70">
        <f t="shared" si="232"/>
        <v>0.10638297872340424</v>
      </c>
      <c r="BF70" t="str">
        <f t="shared" si="12"/>
        <v>Price</v>
      </c>
      <c r="BG70">
        <f t="shared" si="13"/>
        <v>3.5</v>
      </c>
      <c r="BI70">
        <f t="shared" si="14"/>
        <v>3.5</v>
      </c>
      <c r="BJ70" t="str">
        <f t="shared" si="15"/>
        <v>Tennis</v>
      </c>
      <c r="BK70" t="str">
        <f t="shared" si="16"/>
        <v>B</v>
      </c>
      <c r="BS70">
        <f t="shared" si="17"/>
        <v>0.60952380952380958</v>
      </c>
      <c r="BT70">
        <f t="shared" si="31"/>
        <v>0.19047619047619047</v>
      </c>
      <c r="BU70">
        <f t="shared" si="18"/>
        <v>9.5238095238095233E-2</v>
      </c>
      <c r="BW70">
        <f t="shared" si="130"/>
        <v>1.8178197010872597</v>
      </c>
      <c r="BX70">
        <f t="shared" si="131"/>
        <v>0.42444971256994318</v>
      </c>
      <c r="BY70">
        <f t="shared" si="132"/>
        <v>0.18439118019161094</v>
      </c>
      <c r="CB70">
        <f t="shared" si="133"/>
        <v>3.0373518932461994</v>
      </c>
      <c r="CC70">
        <f t="shared" si="134"/>
        <v>0.26833047118697734</v>
      </c>
      <c r="CD70">
        <f t="shared" si="135"/>
        <v>2.3851184056843331</v>
      </c>
      <c r="CE70">
        <f t="shared" si="136"/>
        <v>3.0523913537765708</v>
      </c>
      <c r="CF70">
        <f t="shared" si="25"/>
        <v>0.26833047118697734</v>
      </c>
      <c r="CJ70" t="str">
        <f t="shared" si="26"/>
        <v>Cluster 2</v>
      </c>
      <c r="CK70" t="str">
        <f t="shared" si="137"/>
        <v>Price Only</v>
      </c>
      <c r="CL70" t="str">
        <f t="shared" si="27"/>
        <v>Price Only</v>
      </c>
      <c r="CM70" t="str">
        <f t="shared" si="141"/>
        <v/>
      </c>
    </row>
    <row r="71" spans="8:91">
      <c r="H71">
        <v>64</v>
      </c>
      <c r="I71">
        <v>5</v>
      </c>
      <c r="J71">
        <v>8</v>
      </c>
      <c r="K71">
        <v>11</v>
      </c>
      <c r="L71">
        <v>14</v>
      </c>
      <c r="M71">
        <v>17</v>
      </c>
      <c r="N71">
        <v>12</v>
      </c>
      <c r="O71">
        <v>15</v>
      </c>
      <c r="P71">
        <v>18</v>
      </c>
      <c r="Q71">
        <v>19</v>
      </c>
      <c r="R71">
        <v>20</v>
      </c>
      <c r="S71">
        <v>1</v>
      </c>
      <c r="T71">
        <v>2</v>
      </c>
      <c r="U71">
        <v>3</v>
      </c>
      <c r="V71">
        <v>6</v>
      </c>
      <c r="W71">
        <v>9</v>
      </c>
      <c r="X71">
        <v>4</v>
      </c>
      <c r="Y71">
        <v>7</v>
      </c>
      <c r="Z71">
        <v>10</v>
      </c>
      <c r="AA71">
        <v>13</v>
      </c>
      <c r="AB71">
        <v>16</v>
      </c>
      <c r="AD71">
        <f t="shared" ref="AD71:AH71" si="233">SUMIFS($I71:$AB71,$I$2:$AB$2,AD$7)</f>
        <v>22</v>
      </c>
      <c r="AE71">
        <f t="shared" si="233"/>
        <v>32</v>
      </c>
      <c r="AF71">
        <f t="shared" si="233"/>
        <v>42</v>
      </c>
      <c r="AG71">
        <f t="shared" si="233"/>
        <v>52</v>
      </c>
      <c r="AH71">
        <f t="shared" si="233"/>
        <v>62</v>
      </c>
      <c r="AI71">
        <f t="shared" si="223"/>
        <v>139</v>
      </c>
      <c r="AJ71">
        <f t="shared" si="223"/>
        <v>71</v>
      </c>
      <c r="AK71">
        <f t="shared" si="224"/>
        <v>134</v>
      </c>
      <c r="AL71">
        <f t="shared" si="224"/>
        <v>76</v>
      </c>
      <c r="AN71" s="67">
        <f t="shared" ref="AN71:AV71" si="234">((AD71-MIN($AD71:$AL71))/(MAX($AD71:$AL71)-MIN($AD71:$AL71)))</f>
        <v>0</v>
      </c>
      <c r="AO71" s="67">
        <f t="shared" si="234"/>
        <v>8.5470085470085472E-2</v>
      </c>
      <c r="AP71" s="67">
        <f t="shared" si="234"/>
        <v>0.17094017094017094</v>
      </c>
      <c r="AQ71" s="67">
        <f t="shared" si="234"/>
        <v>0.25641025641025639</v>
      </c>
      <c r="AR71" s="67">
        <f t="shared" si="234"/>
        <v>0.34188034188034189</v>
      </c>
      <c r="AS71" s="67">
        <f t="shared" si="234"/>
        <v>1</v>
      </c>
      <c r="AT71" s="67">
        <f t="shared" si="234"/>
        <v>0.41880341880341881</v>
      </c>
      <c r="AU71" s="67">
        <f t="shared" si="234"/>
        <v>0.95726495726495731</v>
      </c>
      <c r="AV71" s="67">
        <f t="shared" si="234"/>
        <v>0.46153846153846156</v>
      </c>
      <c r="AX71">
        <f t="shared" si="8"/>
        <v>0.34188034188034189</v>
      </c>
      <c r="AY71">
        <f t="shared" si="9"/>
        <v>0.58119658119658113</v>
      </c>
      <c r="AZ71">
        <f t="shared" si="10"/>
        <v>0.49572649572649574</v>
      </c>
      <c r="BB71">
        <f t="shared" ref="BB71:BD71" si="235">AX71/SUM($AX71:$AZ71)</f>
        <v>0.24096385542168677</v>
      </c>
      <c r="BC71">
        <f t="shared" si="235"/>
        <v>0.40963855421686746</v>
      </c>
      <c r="BD71">
        <f t="shared" si="235"/>
        <v>0.34939759036144585</v>
      </c>
      <c r="BF71" t="str">
        <f t="shared" si="12"/>
        <v xml:space="preserve">Brand </v>
      </c>
      <c r="BG71" t="str">
        <f t="shared" si="13"/>
        <v>Tennis</v>
      </c>
      <c r="BI71">
        <f t="shared" si="14"/>
        <v>3.5</v>
      </c>
      <c r="BJ71" t="str">
        <f t="shared" si="15"/>
        <v>Tennis</v>
      </c>
      <c r="BK71" t="str">
        <f t="shared" si="16"/>
        <v>A</v>
      </c>
      <c r="BS71">
        <f t="shared" si="17"/>
        <v>0.34188034188034189</v>
      </c>
      <c r="BT71">
        <f t="shared" si="31"/>
        <v>0.58119658119658113</v>
      </c>
      <c r="BU71">
        <f t="shared" si="18"/>
        <v>-0.49572649572649574</v>
      </c>
      <c r="BW71">
        <f t="shared" si="130"/>
        <v>-0.53986808224257044</v>
      </c>
      <c r="BX71">
        <f t="shared" si="131"/>
        <v>1.2787850036679462</v>
      </c>
      <c r="BY71">
        <f t="shared" si="132"/>
        <v>-1.0641500514417885</v>
      </c>
      <c r="CB71">
        <f t="shared" si="133"/>
        <v>3.255339882058776</v>
      </c>
      <c r="CC71">
        <f t="shared" si="134"/>
        <v>2.7903452892116953</v>
      </c>
      <c r="CD71">
        <f t="shared" si="135"/>
        <v>0.94793775184242945</v>
      </c>
      <c r="CE71">
        <f t="shared" si="136"/>
        <v>2.4503356717127911</v>
      </c>
      <c r="CF71">
        <f t="shared" si="25"/>
        <v>0.94793775184242945</v>
      </c>
      <c r="CJ71" t="str">
        <f t="shared" si="26"/>
        <v>Cluster 3</v>
      </c>
      <c r="CK71" t="str">
        <f t="shared" si="137"/>
        <v>Tennis Only</v>
      </c>
      <c r="CL71" t="str">
        <f t="shared" si="27"/>
        <v>Tennis A</v>
      </c>
      <c r="CM71" t="str">
        <f t="shared" si="141"/>
        <v>Diff</v>
      </c>
    </row>
    <row r="72" spans="8:91">
      <c r="H72">
        <v>65</v>
      </c>
      <c r="I72">
        <v>11</v>
      </c>
      <c r="J72">
        <v>14</v>
      </c>
      <c r="K72">
        <v>17</v>
      </c>
      <c r="L72">
        <v>19</v>
      </c>
      <c r="M72">
        <v>20</v>
      </c>
      <c r="N72">
        <v>5</v>
      </c>
      <c r="O72">
        <v>8</v>
      </c>
      <c r="P72">
        <v>12</v>
      </c>
      <c r="Q72">
        <v>15</v>
      </c>
      <c r="R72">
        <v>18</v>
      </c>
      <c r="S72">
        <v>3</v>
      </c>
      <c r="T72">
        <v>6</v>
      </c>
      <c r="U72">
        <v>9</v>
      </c>
      <c r="V72">
        <v>13</v>
      </c>
      <c r="W72">
        <v>16</v>
      </c>
      <c r="X72">
        <v>1</v>
      </c>
      <c r="Y72">
        <v>2</v>
      </c>
      <c r="Z72">
        <v>4</v>
      </c>
      <c r="AA72">
        <v>7</v>
      </c>
      <c r="AB72">
        <v>10</v>
      </c>
      <c r="AD72">
        <f t="shared" ref="AD72:AH72" si="236">SUMIFS($I72:$AB72,$I$2:$AB$2,AD$7)</f>
        <v>20</v>
      </c>
      <c r="AE72">
        <f t="shared" si="236"/>
        <v>30</v>
      </c>
      <c r="AF72">
        <f t="shared" si="236"/>
        <v>42</v>
      </c>
      <c r="AG72">
        <f t="shared" si="236"/>
        <v>54</v>
      </c>
      <c r="AH72">
        <f t="shared" si="236"/>
        <v>64</v>
      </c>
      <c r="AI72">
        <f t="shared" si="223"/>
        <v>139</v>
      </c>
      <c r="AJ72">
        <f t="shared" si="223"/>
        <v>71</v>
      </c>
      <c r="AK72">
        <f t="shared" si="224"/>
        <v>82</v>
      </c>
      <c r="AL72">
        <f t="shared" si="224"/>
        <v>128</v>
      </c>
      <c r="AN72" s="67">
        <f t="shared" ref="AN72:AV72" si="237">((AD72-MIN($AD72:$AL72))/(MAX($AD72:$AL72)-MIN($AD72:$AL72)))</f>
        <v>0</v>
      </c>
      <c r="AO72" s="67">
        <f t="shared" si="237"/>
        <v>8.4033613445378158E-2</v>
      </c>
      <c r="AP72" s="67">
        <f t="shared" si="237"/>
        <v>0.18487394957983194</v>
      </c>
      <c r="AQ72" s="67">
        <f t="shared" si="237"/>
        <v>0.2857142857142857</v>
      </c>
      <c r="AR72" s="67">
        <f t="shared" si="237"/>
        <v>0.36974789915966388</v>
      </c>
      <c r="AS72" s="67">
        <f t="shared" si="237"/>
        <v>1</v>
      </c>
      <c r="AT72" s="67">
        <f t="shared" si="237"/>
        <v>0.42857142857142855</v>
      </c>
      <c r="AU72" s="67">
        <f t="shared" si="237"/>
        <v>0.52100840336134457</v>
      </c>
      <c r="AV72" s="67">
        <f t="shared" si="237"/>
        <v>0.90756302521008403</v>
      </c>
      <c r="AX72">
        <f t="shared" ref="AX72:AX135" si="238">MAX($AN72:$AR72)-MIN($AN72:$AR72)</f>
        <v>0.36974789915966388</v>
      </c>
      <c r="AY72">
        <f t="shared" ref="AY72:AY135" si="239">MAX($AS72:$AT72)-MIN($AS72:$AT72)</f>
        <v>0.5714285714285714</v>
      </c>
      <c r="AZ72">
        <f t="shared" ref="AZ72:AZ135" si="240">MAX($AU72:$AV72)-MIN($AU72:$AV72)</f>
        <v>0.38655462184873945</v>
      </c>
      <c r="BB72">
        <f t="shared" ref="BB72:BD72" si="241">AX72/SUM($AX72:$AZ72)</f>
        <v>0.27848101265822789</v>
      </c>
      <c r="BC72">
        <f t="shared" si="241"/>
        <v>0.43037974683544306</v>
      </c>
      <c r="BD72">
        <f t="shared" si="241"/>
        <v>0.29113924050632911</v>
      </c>
      <c r="BF72" t="str">
        <f t="shared" ref="BF72:BF135" si="242">INDEX($BB$7:$BD$7,,MATCH(MAX(BB72:BD72),BB72:BD72,0))</f>
        <v xml:space="preserve">Brand </v>
      </c>
      <c r="BG72" t="str">
        <f t="shared" ref="BG72:BG135" si="243">INDEX(BI72:BK72,,MATCH(BF72,$BI$7:$BK$7,0))</f>
        <v>Tennis</v>
      </c>
      <c r="BI72">
        <f t="shared" ref="BI72:BI135" si="244">INDEX($AN$7:$AR$7,,MATCH(MIN(AN72:AR72),AN72:AR72,0))</f>
        <v>3.5</v>
      </c>
      <c r="BJ72" t="str">
        <f t="shared" ref="BJ72:BJ135" si="245">INDEX($AS$7:$AT$7,,MATCH(MIN(AS72:AT72),AS72:AT72,0))</f>
        <v>Tennis</v>
      </c>
      <c r="BK72" t="str">
        <f t="shared" ref="BK72:BK135" si="246">INDEX($AU$7:$AV$7,,MATCH(MIN(AU72:AV72),AU72:AV72,0))</f>
        <v>B</v>
      </c>
      <c r="BS72">
        <f t="shared" ref="BS72:BS135" si="247">AR72-AN72</f>
        <v>0.36974789915966388</v>
      </c>
      <c r="BT72">
        <f t="shared" ref="BT72:BT135" si="248">AS72-AT72</f>
        <v>0.5714285714285714</v>
      </c>
      <c r="BU72">
        <f t="shared" ref="BU72:BU135" si="249">AV72-AU72</f>
        <v>0.38655462184873945</v>
      </c>
      <c r="BW72">
        <f t="shared" ref="BW72:BW103" si="250">(BS72-$BW$4)/$BW$5</f>
        <v>-0.29438105456653607</v>
      </c>
      <c r="BX72">
        <f t="shared" ref="BX72:BX103" si="251">(BT72-$BX$4)/$BX$5</f>
        <v>1.2574266213904963</v>
      </c>
      <c r="BY72">
        <f t="shared" ref="BY72:BY103" si="252">(BU72-$BY$4)/$BY$5</f>
        <v>0.79986070322334002</v>
      </c>
      <c r="CB72">
        <f t="shared" ref="CB72:CB103" si="253">(($CB$3-BW72)^2+($CB$4-BX72)^2+($CB$5-BY72)^2)^(1/2)</f>
        <v>2.4425693335834984</v>
      </c>
      <c r="CC72">
        <f t="shared" ref="CC72:CC103" si="254">(($CC$3-BW72)^2+($CC$4-BX72)^2+($CC$5-BY72)^2)^(1/2)</f>
        <v>2.4644488699317852</v>
      </c>
      <c r="CD72">
        <f t="shared" ref="CD72:CD103" si="255">(($CD$3-BW72)^2+($CD$4-BX72)^2+($CD$5-BY72)^2)^(1/2)</f>
        <v>0.9652719565567407</v>
      </c>
      <c r="CE72">
        <f t="shared" ref="CE72:CE103" si="256">(($CE$3-BW72)^2+($CE$4-BX72)^2+($CE$5-BY72)^2)^(1/2)</f>
        <v>3.0532402041689504</v>
      </c>
      <c r="CF72">
        <f t="shared" ref="CF72:CF135" si="257">MIN(CB72:CE72)</f>
        <v>0.9652719565567407</v>
      </c>
      <c r="CJ72" t="str">
        <f t="shared" ref="CJ72:CJ135" si="258">INDEX($CB$7:$CE$7,,MATCH(MIN(CB72:CE72),CB72:CE72,0))</f>
        <v>Cluster 3</v>
      </c>
      <c r="CK72" t="str">
        <f t="shared" ref="CK72:CK103" si="259">INDEX($CB$2:$CE$2,,MATCH(CJ72,$CB$7:$CE$7,0))</f>
        <v>Tennis Only</v>
      </c>
      <c r="CL72" t="str">
        <f t="shared" ref="CL72:CL135" si="260">IF(BG72=3.5,"Price Only",BJ72&amp;" "&amp;BK72)</f>
        <v>Tennis B</v>
      </c>
      <c r="CM72" t="str">
        <f t="shared" si="141"/>
        <v>Diff</v>
      </c>
    </row>
    <row r="73" spans="8:91">
      <c r="H73">
        <v>66</v>
      </c>
      <c r="I73">
        <v>3</v>
      </c>
      <c r="J73">
        <v>6</v>
      </c>
      <c r="K73">
        <v>9</v>
      </c>
      <c r="L73">
        <v>13</v>
      </c>
      <c r="M73">
        <v>16</v>
      </c>
      <c r="N73">
        <v>10</v>
      </c>
      <c r="O73">
        <v>14</v>
      </c>
      <c r="P73">
        <v>17</v>
      </c>
      <c r="Q73">
        <v>19</v>
      </c>
      <c r="R73">
        <v>20</v>
      </c>
      <c r="S73">
        <v>1</v>
      </c>
      <c r="T73">
        <v>2</v>
      </c>
      <c r="U73">
        <v>4</v>
      </c>
      <c r="V73">
        <v>7</v>
      </c>
      <c r="W73">
        <v>11</v>
      </c>
      <c r="X73">
        <v>5</v>
      </c>
      <c r="Y73">
        <v>8</v>
      </c>
      <c r="Z73">
        <v>12</v>
      </c>
      <c r="AA73">
        <v>15</v>
      </c>
      <c r="AB73">
        <v>18</v>
      </c>
      <c r="AD73">
        <f t="shared" ref="AD73:AH73" si="261">SUMIFS($I73:$AB73,$I$2:$AB$2,AD$7)</f>
        <v>19</v>
      </c>
      <c r="AE73">
        <f t="shared" si="261"/>
        <v>30</v>
      </c>
      <c r="AF73">
        <f t="shared" si="261"/>
        <v>42</v>
      </c>
      <c r="AG73">
        <f t="shared" si="261"/>
        <v>54</v>
      </c>
      <c r="AH73">
        <f t="shared" si="261"/>
        <v>65</v>
      </c>
      <c r="AI73">
        <f t="shared" si="223"/>
        <v>127</v>
      </c>
      <c r="AJ73">
        <f t="shared" si="223"/>
        <v>83</v>
      </c>
      <c r="AK73">
        <f t="shared" si="224"/>
        <v>138</v>
      </c>
      <c r="AL73">
        <f t="shared" si="224"/>
        <v>72</v>
      </c>
      <c r="AN73" s="67">
        <f t="shared" ref="AN73:AV73" si="262">((AD73-MIN($AD73:$AL73))/(MAX($AD73:$AL73)-MIN($AD73:$AL73)))</f>
        <v>0</v>
      </c>
      <c r="AO73" s="67">
        <f t="shared" si="262"/>
        <v>9.2436974789915971E-2</v>
      </c>
      <c r="AP73" s="67">
        <f t="shared" si="262"/>
        <v>0.19327731092436976</v>
      </c>
      <c r="AQ73" s="67">
        <f t="shared" si="262"/>
        <v>0.29411764705882354</v>
      </c>
      <c r="AR73" s="67">
        <f t="shared" si="262"/>
        <v>0.38655462184873951</v>
      </c>
      <c r="AS73" s="67">
        <f t="shared" si="262"/>
        <v>0.90756302521008403</v>
      </c>
      <c r="AT73" s="67">
        <f t="shared" si="262"/>
        <v>0.53781512605042014</v>
      </c>
      <c r="AU73" s="67">
        <f t="shared" si="262"/>
        <v>1</v>
      </c>
      <c r="AV73" s="67">
        <f t="shared" si="262"/>
        <v>0.44537815126050423</v>
      </c>
      <c r="AX73">
        <f t="shared" si="238"/>
        <v>0.38655462184873951</v>
      </c>
      <c r="AY73">
        <f t="shared" si="239"/>
        <v>0.36974789915966388</v>
      </c>
      <c r="AZ73">
        <f t="shared" si="240"/>
        <v>0.55462184873949583</v>
      </c>
      <c r="BB73">
        <f t="shared" ref="BB73:BD73" si="263">AX73/SUM($AX73:$AZ73)</f>
        <v>0.29487179487179488</v>
      </c>
      <c r="BC73">
        <f t="shared" si="263"/>
        <v>0.28205128205128205</v>
      </c>
      <c r="BD73">
        <f t="shared" si="263"/>
        <v>0.42307692307692307</v>
      </c>
      <c r="BF73" t="str">
        <f t="shared" si="242"/>
        <v>Sugar</v>
      </c>
      <c r="BG73" t="str">
        <f t="shared" si="243"/>
        <v>A</v>
      </c>
      <c r="BI73">
        <f t="shared" si="244"/>
        <v>3.5</v>
      </c>
      <c r="BJ73" t="str">
        <f t="shared" si="245"/>
        <v>Tennis</v>
      </c>
      <c r="BK73" t="str">
        <f t="shared" si="246"/>
        <v>A</v>
      </c>
      <c r="BS73">
        <f t="shared" si="247"/>
        <v>0.38655462184873951</v>
      </c>
      <c r="BT73">
        <f t="shared" si="248"/>
        <v>0.36974789915966388</v>
      </c>
      <c r="BU73">
        <f t="shared" si="249"/>
        <v>-0.55462184873949583</v>
      </c>
      <c r="BW73">
        <f t="shared" si="250"/>
        <v>-0.14632959973098972</v>
      </c>
      <c r="BX73">
        <f t="shared" si="251"/>
        <v>0.81643884613255646</v>
      </c>
      <c r="BY73">
        <f t="shared" si="252"/>
        <v>-1.1885792942637849</v>
      </c>
      <c r="CB73">
        <f t="shared" si="253"/>
        <v>3.0559722111234429</v>
      </c>
      <c r="CC73">
        <f t="shared" si="254"/>
        <v>2.3693126618107678</v>
      </c>
      <c r="CD73">
        <f t="shared" si="255"/>
        <v>1.1269908842439105</v>
      </c>
      <c r="CE73">
        <f t="shared" si="256"/>
        <v>2.0198044943578637</v>
      </c>
      <c r="CF73">
        <f t="shared" si="257"/>
        <v>1.1269908842439105</v>
      </c>
      <c r="CJ73" t="str">
        <f t="shared" si="258"/>
        <v>Cluster 3</v>
      </c>
      <c r="CK73" t="str">
        <f t="shared" si="259"/>
        <v>Tennis Only</v>
      </c>
      <c r="CL73" t="str">
        <f t="shared" si="260"/>
        <v>Tennis A</v>
      </c>
      <c r="CM73" t="str">
        <f t="shared" ref="CM73:CM104" si="264">IF(CK73=CL73,"","Diff")</f>
        <v>Diff</v>
      </c>
    </row>
    <row r="74" spans="8:91">
      <c r="H74">
        <v>67</v>
      </c>
      <c r="I74">
        <v>13</v>
      </c>
      <c r="J74">
        <v>16</v>
      </c>
      <c r="K74">
        <v>18</v>
      </c>
      <c r="L74">
        <v>19</v>
      </c>
      <c r="M74">
        <v>20</v>
      </c>
      <c r="N74">
        <v>4</v>
      </c>
      <c r="O74">
        <v>7</v>
      </c>
      <c r="P74">
        <v>10</v>
      </c>
      <c r="Q74">
        <v>12</v>
      </c>
      <c r="R74">
        <v>15</v>
      </c>
      <c r="S74">
        <v>6</v>
      </c>
      <c r="T74">
        <v>9</v>
      </c>
      <c r="U74">
        <v>11</v>
      </c>
      <c r="V74">
        <v>14</v>
      </c>
      <c r="W74">
        <v>17</v>
      </c>
      <c r="X74">
        <v>1</v>
      </c>
      <c r="Y74">
        <v>2</v>
      </c>
      <c r="Z74">
        <v>3</v>
      </c>
      <c r="AA74">
        <v>5</v>
      </c>
      <c r="AB74">
        <v>8</v>
      </c>
      <c r="AD74">
        <f t="shared" ref="AD74:AH74" si="265">SUMIFS($I74:$AB74,$I$2:$AB$2,AD$7)</f>
        <v>24</v>
      </c>
      <c r="AE74">
        <f t="shared" si="265"/>
        <v>34</v>
      </c>
      <c r="AF74">
        <f t="shared" si="265"/>
        <v>42</v>
      </c>
      <c r="AG74">
        <f t="shared" si="265"/>
        <v>50</v>
      </c>
      <c r="AH74">
        <f t="shared" si="265"/>
        <v>60</v>
      </c>
      <c r="AI74">
        <f t="shared" si="223"/>
        <v>134</v>
      </c>
      <c r="AJ74">
        <f t="shared" si="223"/>
        <v>76</v>
      </c>
      <c r="AK74">
        <f t="shared" si="224"/>
        <v>67</v>
      </c>
      <c r="AL74">
        <f t="shared" si="224"/>
        <v>143</v>
      </c>
      <c r="AN74" s="67">
        <f t="shared" ref="AN74:AV74" si="266">((AD74-MIN($AD74:$AL74))/(MAX($AD74:$AL74)-MIN($AD74:$AL74)))</f>
        <v>0</v>
      </c>
      <c r="AO74" s="67">
        <f t="shared" si="266"/>
        <v>8.4033613445378158E-2</v>
      </c>
      <c r="AP74" s="67">
        <f t="shared" si="266"/>
        <v>0.15126050420168066</v>
      </c>
      <c r="AQ74" s="67">
        <f t="shared" si="266"/>
        <v>0.21848739495798319</v>
      </c>
      <c r="AR74" s="67">
        <f t="shared" si="266"/>
        <v>0.30252100840336132</v>
      </c>
      <c r="AS74" s="67">
        <f t="shared" si="266"/>
        <v>0.92436974789915971</v>
      </c>
      <c r="AT74" s="67">
        <f t="shared" si="266"/>
        <v>0.43697478991596639</v>
      </c>
      <c r="AU74" s="67">
        <f t="shared" si="266"/>
        <v>0.36134453781512604</v>
      </c>
      <c r="AV74" s="67">
        <f t="shared" si="266"/>
        <v>1</v>
      </c>
      <c r="AX74">
        <f t="shared" si="238"/>
        <v>0.30252100840336132</v>
      </c>
      <c r="AY74">
        <f t="shared" si="239"/>
        <v>0.48739495798319332</v>
      </c>
      <c r="AZ74">
        <f t="shared" si="240"/>
        <v>0.6386554621848739</v>
      </c>
      <c r="BB74">
        <f t="shared" ref="BB74:BD74" si="267">AX74/SUM($AX74:$AZ74)</f>
        <v>0.21176470588235291</v>
      </c>
      <c r="BC74">
        <f t="shared" si="267"/>
        <v>0.3411764705882353</v>
      </c>
      <c r="BD74">
        <f t="shared" si="267"/>
        <v>0.44705882352941173</v>
      </c>
      <c r="BF74" t="str">
        <f t="shared" si="242"/>
        <v>Sugar</v>
      </c>
      <c r="BG74" t="str">
        <f t="shared" si="243"/>
        <v>B</v>
      </c>
      <c r="BI74">
        <f t="shared" si="244"/>
        <v>3.5</v>
      </c>
      <c r="BJ74" t="str">
        <f t="shared" si="245"/>
        <v>Tennis</v>
      </c>
      <c r="BK74" t="str">
        <f t="shared" si="246"/>
        <v>B</v>
      </c>
      <c r="BS74">
        <f t="shared" si="247"/>
        <v>0.30252100840336132</v>
      </c>
      <c r="BT74">
        <f t="shared" si="248"/>
        <v>0.48739495798319332</v>
      </c>
      <c r="BU74">
        <f t="shared" si="249"/>
        <v>0.6386554621848739</v>
      </c>
      <c r="BW74">
        <f t="shared" si="250"/>
        <v>-0.88658687390872204</v>
      </c>
      <c r="BX74">
        <f t="shared" si="251"/>
        <v>1.0736817150330213</v>
      </c>
      <c r="BY74">
        <f t="shared" si="252"/>
        <v>1.3324785596931055</v>
      </c>
      <c r="CB74">
        <f t="shared" si="253"/>
        <v>2.2461852548186831</v>
      </c>
      <c r="CC74">
        <f t="shared" si="254"/>
        <v>3.1082873992764504</v>
      </c>
      <c r="CD74">
        <f t="shared" si="255"/>
        <v>1.5353660446470228</v>
      </c>
      <c r="CE74">
        <f t="shared" si="256"/>
        <v>3.292953366201651</v>
      </c>
      <c r="CF74">
        <f t="shared" si="257"/>
        <v>1.5353660446470228</v>
      </c>
      <c r="CJ74" t="str">
        <f t="shared" si="258"/>
        <v>Cluster 3</v>
      </c>
      <c r="CK74" t="str">
        <f t="shared" si="259"/>
        <v>Tennis Only</v>
      </c>
      <c r="CL74" t="str">
        <f t="shared" si="260"/>
        <v>Tennis B</v>
      </c>
      <c r="CM74" t="str">
        <f t="shared" si="264"/>
        <v>Diff</v>
      </c>
    </row>
    <row r="75" spans="8:91">
      <c r="H75">
        <v>68</v>
      </c>
      <c r="I75">
        <v>10</v>
      </c>
      <c r="J75">
        <v>14</v>
      </c>
      <c r="K75">
        <v>17</v>
      </c>
      <c r="L75">
        <v>19</v>
      </c>
      <c r="M75">
        <v>20</v>
      </c>
      <c r="N75">
        <v>5</v>
      </c>
      <c r="O75">
        <v>8</v>
      </c>
      <c r="P75">
        <v>12</v>
      </c>
      <c r="Q75">
        <v>15</v>
      </c>
      <c r="R75">
        <v>18</v>
      </c>
      <c r="S75">
        <v>3</v>
      </c>
      <c r="T75">
        <v>6</v>
      </c>
      <c r="U75">
        <v>9</v>
      </c>
      <c r="V75">
        <v>13</v>
      </c>
      <c r="W75">
        <v>16</v>
      </c>
      <c r="X75">
        <v>1</v>
      </c>
      <c r="Y75">
        <v>2</v>
      </c>
      <c r="Z75">
        <v>4</v>
      </c>
      <c r="AA75">
        <v>7</v>
      </c>
      <c r="AB75">
        <v>11</v>
      </c>
      <c r="AD75">
        <f t="shared" ref="AD75:AH75" si="268">SUMIFS($I75:$AB75,$I$2:$AB$2,AD$7)</f>
        <v>19</v>
      </c>
      <c r="AE75">
        <f t="shared" si="268"/>
        <v>30</v>
      </c>
      <c r="AF75">
        <f t="shared" si="268"/>
        <v>42</v>
      </c>
      <c r="AG75">
        <f t="shared" si="268"/>
        <v>54</v>
      </c>
      <c r="AH75">
        <f t="shared" si="268"/>
        <v>65</v>
      </c>
      <c r="AI75">
        <f t="shared" si="223"/>
        <v>138</v>
      </c>
      <c r="AJ75">
        <f t="shared" si="223"/>
        <v>72</v>
      </c>
      <c r="AK75">
        <f t="shared" si="224"/>
        <v>83</v>
      </c>
      <c r="AL75">
        <f t="shared" si="224"/>
        <v>127</v>
      </c>
      <c r="AN75" s="67">
        <f t="shared" ref="AN75:AV75" si="269">((AD75-MIN($AD75:$AL75))/(MAX($AD75:$AL75)-MIN($AD75:$AL75)))</f>
        <v>0</v>
      </c>
      <c r="AO75" s="67">
        <f t="shared" si="269"/>
        <v>9.2436974789915971E-2</v>
      </c>
      <c r="AP75" s="67">
        <f t="shared" si="269"/>
        <v>0.19327731092436976</v>
      </c>
      <c r="AQ75" s="67">
        <f t="shared" si="269"/>
        <v>0.29411764705882354</v>
      </c>
      <c r="AR75" s="67">
        <f t="shared" si="269"/>
        <v>0.38655462184873951</v>
      </c>
      <c r="AS75" s="67">
        <f t="shared" si="269"/>
        <v>1</v>
      </c>
      <c r="AT75" s="67">
        <f t="shared" si="269"/>
        <v>0.44537815126050423</v>
      </c>
      <c r="AU75" s="67">
        <f t="shared" si="269"/>
        <v>0.53781512605042014</v>
      </c>
      <c r="AV75" s="67">
        <f t="shared" si="269"/>
        <v>0.90756302521008403</v>
      </c>
      <c r="AX75">
        <f t="shared" si="238"/>
        <v>0.38655462184873951</v>
      </c>
      <c r="AY75">
        <f t="shared" si="239"/>
        <v>0.55462184873949583</v>
      </c>
      <c r="AZ75">
        <f t="shared" si="240"/>
        <v>0.36974789915966388</v>
      </c>
      <c r="BB75">
        <f t="shared" ref="BB75:BD75" si="270">AX75/SUM($AX75:$AZ75)</f>
        <v>0.29487179487179488</v>
      </c>
      <c r="BC75">
        <f t="shared" si="270"/>
        <v>0.42307692307692307</v>
      </c>
      <c r="BD75">
        <f t="shared" si="270"/>
        <v>0.28205128205128205</v>
      </c>
      <c r="BF75" t="str">
        <f t="shared" si="242"/>
        <v xml:space="preserve">Brand </v>
      </c>
      <c r="BG75" t="str">
        <f t="shared" si="243"/>
        <v>Tennis</v>
      </c>
      <c r="BI75">
        <f t="shared" si="244"/>
        <v>3.5</v>
      </c>
      <c r="BJ75" t="str">
        <f t="shared" si="245"/>
        <v>Tennis</v>
      </c>
      <c r="BK75" t="str">
        <f t="shared" si="246"/>
        <v>B</v>
      </c>
      <c r="BS75">
        <f t="shared" si="247"/>
        <v>0.38655462184873951</v>
      </c>
      <c r="BT75">
        <f t="shared" si="248"/>
        <v>0.55462184873949583</v>
      </c>
      <c r="BU75">
        <f t="shared" si="249"/>
        <v>0.36974789915966388</v>
      </c>
      <c r="BW75">
        <f t="shared" si="250"/>
        <v>-0.14632959973098972</v>
      </c>
      <c r="BX75">
        <f t="shared" si="251"/>
        <v>1.2206776401190014</v>
      </c>
      <c r="BY75">
        <f t="shared" si="252"/>
        <v>0.76435284612535581</v>
      </c>
      <c r="CB75">
        <f t="shared" si="253"/>
        <v>2.4352555749916966</v>
      </c>
      <c r="CC75">
        <f t="shared" si="254"/>
        <v>2.3122758785860817</v>
      </c>
      <c r="CD75">
        <f t="shared" si="255"/>
        <v>0.96084428420025614</v>
      </c>
      <c r="CE75">
        <f t="shared" si="256"/>
        <v>3.0152505445576705</v>
      </c>
      <c r="CF75">
        <f t="shared" si="257"/>
        <v>0.96084428420025614</v>
      </c>
      <c r="CJ75" t="str">
        <f t="shared" si="258"/>
        <v>Cluster 3</v>
      </c>
      <c r="CK75" t="str">
        <f t="shared" si="259"/>
        <v>Tennis Only</v>
      </c>
      <c r="CL75" t="str">
        <f t="shared" si="260"/>
        <v>Tennis B</v>
      </c>
      <c r="CM75" t="str">
        <f t="shared" si="264"/>
        <v>Diff</v>
      </c>
    </row>
    <row r="76" spans="8:91">
      <c r="H76">
        <v>69</v>
      </c>
      <c r="I76">
        <v>4</v>
      </c>
      <c r="J76">
        <v>8</v>
      </c>
      <c r="K76">
        <v>12</v>
      </c>
      <c r="L76">
        <v>16</v>
      </c>
      <c r="M76">
        <v>20</v>
      </c>
      <c r="N76">
        <v>3</v>
      </c>
      <c r="O76">
        <v>7</v>
      </c>
      <c r="P76">
        <v>11</v>
      </c>
      <c r="Q76">
        <v>15</v>
      </c>
      <c r="R76">
        <v>19</v>
      </c>
      <c r="S76">
        <v>2</v>
      </c>
      <c r="T76">
        <v>6</v>
      </c>
      <c r="U76">
        <v>10</v>
      </c>
      <c r="V76">
        <v>14</v>
      </c>
      <c r="W76">
        <v>18</v>
      </c>
      <c r="X76">
        <v>1</v>
      </c>
      <c r="Y76">
        <v>5</v>
      </c>
      <c r="Z76">
        <v>9</v>
      </c>
      <c r="AA76">
        <v>13</v>
      </c>
      <c r="AB76">
        <v>17</v>
      </c>
      <c r="AD76">
        <f t="shared" ref="AD76:AH76" si="271">SUMIFS($I76:$AB76,$I$2:$AB$2,AD$7)</f>
        <v>10</v>
      </c>
      <c r="AE76">
        <f t="shared" si="271"/>
        <v>26</v>
      </c>
      <c r="AF76">
        <f t="shared" si="271"/>
        <v>42</v>
      </c>
      <c r="AG76">
        <f t="shared" si="271"/>
        <v>58</v>
      </c>
      <c r="AH76">
        <f t="shared" si="271"/>
        <v>74</v>
      </c>
      <c r="AI76">
        <f t="shared" si="223"/>
        <v>115</v>
      </c>
      <c r="AJ76">
        <f t="shared" si="223"/>
        <v>95</v>
      </c>
      <c r="AK76">
        <f t="shared" si="224"/>
        <v>100</v>
      </c>
      <c r="AL76">
        <f t="shared" si="224"/>
        <v>110</v>
      </c>
      <c r="AN76" s="67">
        <f t="shared" ref="AN76:AV76" si="272">((AD76-MIN($AD76:$AL76))/(MAX($AD76:$AL76)-MIN($AD76:$AL76)))</f>
        <v>0</v>
      </c>
      <c r="AO76" s="67">
        <f t="shared" si="272"/>
        <v>0.15238095238095239</v>
      </c>
      <c r="AP76" s="67">
        <f t="shared" si="272"/>
        <v>0.30476190476190479</v>
      </c>
      <c r="AQ76" s="67">
        <f t="shared" si="272"/>
        <v>0.45714285714285713</v>
      </c>
      <c r="AR76" s="67">
        <f t="shared" si="272"/>
        <v>0.60952380952380958</v>
      </c>
      <c r="AS76" s="67">
        <f t="shared" si="272"/>
        <v>1</v>
      </c>
      <c r="AT76" s="67">
        <f t="shared" si="272"/>
        <v>0.80952380952380953</v>
      </c>
      <c r="AU76" s="67">
        <f t="shared" si="272"/>
        <v>0.8571428571428571</v>
      </c>
      <c r="AV76" s="67">
        <f t="shared" si="272"/>
        <v>0.95238095238095233</v>
      </c>
      <c r="AX76">
        <f t="shared" si="238"/>
        <v>0.60952380952380958</v>
      </c>
      <c r="AY76">
        <f t="shared" si="239"/>
        <v>0.19047619047619047</v>
      </c>
      <c r="AZ76">
        <f t="shared" si="240"/>
        <v>9.5238095238095233E-2</v>
      </c>
      <c r="BB76">
        <f t="shared" ref="BB76:BD76" si="273">AX76/SUM($AX76:$AZ76)</f>
        <v>0.68085106382978722</v>
      </c>
      <c r="BC76">
        <f t="shared" si="273"/>
        <v>0.21276595744680848</v>
      </c>
      <c r="BD76">
        <f t="shared" si="273"/>
        <v>0.10638297872340424</v>
      </c>
      <c r="BF76" t="str">
        <f t="shared" si="242"/>
        <v>Price</v>
      </c>
      <c r="BG76">
        <f t="shared" si="243"/>
        <v>3.5</v>
      </c>
      <c r="BI76">
        <f t="shared" si="244"/>
        <v>3.5</v>
      </c>
      <c r="BJ76" t="str">
        <f t="shared" si="245"/>
        <v>Tennis</v>
      </c>
      <c r="BK76" t="str">
        <f t="shared" si="246"/>
        <v>B</v>
      </c>
      <c r="BS76">
        <f t="shared" si="247"/>
        <v>0.60952380952380958</v>
      </c>
      <c r="BT76">
        <f t="shared" si="248"/>
        <v>0.19047619047619047</v>
      </c>
      <c r="BU76">
        <f t="shared" si="249"/>
        <v>9.5238095238095233E-2</v>
      </c>
      <c r="BW76">
        <f t="shared" si="250"/>
        <v>1.8178197010872597</v>
      </c>
      <c r="BX76">
        <f t="shared" si="251"/>
        <v>0.42444971256994318</v>
      </c>
      <c r="BY76">
        <f t="shared" si="252"/>
        <v>0.18439118019161094</v>
      </c>
      <c r="CB76">
        <f t="shared" si="253"/>
        <v>3.0373518932461994</v>
      </c>
      <c r="CC76">
        <f t="shared" si="254"/>
        <v>0.26833047118697734</v>
      </c>
      <c r="CD76">
        <f t="shared" si="255"/>
        <v>2.3851184056843331</v>
      </c>
      <c r="CE76">
        <f t="shared" si="256"/>
        <v>3.0523913537765708</v>
      </c>
      <c r="CF76">
        <f t="shared" si="257"/>
        <v>0.26833047118697734</v>
      </c>
      <c r="CJ76" t="str">
        <f t="shared" si="258"/>
        <v>Cluster 2</v>
      </c>
      <c r="CK76" t="str">
        <f t="shared" si="259"/>
        <v>Price Only</v>
      </c>
      <c r="CL76" t="str">
        <f t="shared" si="260"/>
        <v>Price Only</v>
      </c>
      <c r="CM76" t="str">
        <f t="shared" si="264"/>
        <v/>
      </c>
    </row>
    <row r="77" spans="8:91">
      <c r="H77">
        <v>70</v>
      </c>
      <c r="I77">
        <v>1</v>
      </c>
      <c r="J77">
        <v>2</v>
      </c>
      <c r="K77">
        <v>3</v>
      </c>
      <c r="L77">
        <v>5</v>
      </c>
      <c r="M77">
        <v>8</v>
      </c>
      <c r="N77">
        <v>6</v>
      </c>
      <c r="O77">
        <v>9</v>
      </c>
      <c r="P77">
        <v>11</v>
      </c>
      <c r="Q77">
        <v>14</v>
      </c>
      <c r="R77">
        <v>17</v>
      </c>
      <c r="S77">
        <v>4</v>
      </c>
      <c r="T77">
        <v>7</v>
      </c>
      <c r="U77">
        <v>10</v>
      </c>
      <c r="V77">
        <v>12</v>
      </c>
      <c r="W77">
        <v>15</v>
      </c>
      <c r="X77">
        <v>13</v>
      </c>
      <c r="Y77">
        <v>16</v>
      </c>
      <c r="Z77">
        <v>18</v>
      </c>
      <c r="AA77">
        <v>19</v>
      </c>
      <c r="AB77">
        <v>20</v>
      </c>
      <c r="AD77">
        <f t="shared" ref="AD77:AH77" si="274">SUMIFS($I77:$AB77,$I$2:$AB$2,AD$7)</f>
        <v>24</v>
      </c>
      <c r="AE77">
        <f t="shared" si="274"/>
        <v>34</v>
      </c>
      <c r="AF77">
        <f t="shared" si="274"/>
        <v>42</v>
      </c>
      <c r="AG77">
        <f t="shared" si="274"/>
        <v>50</v>
      </c>
      <c r="AH77">
        <f t="shared" si="274"/>
        <v>60</v>
      </c>
      <c r="AI77">
        <f t="shared" si="223"/>
        <v>76</v>
      </c>
      <c r="AJ77">
        <f t="shared" si="223"/>
        <v>134</v>
      </c>
      <c r="AK77">
        <f t="shared" si="224"/>
        <v>143</v>
      </c>
      <c r="AL77">
        <f t="shared" si="224"/>
        <v>67</v>
      </c>
      <c r="AN77" s="67">
        <f t="shared" ref="AN77:AV77" si="275">((AD77-MIN($AD77:$AL77))/(MAX($AD77:$AL77)-MIN($AD77:$AL77)))</f>
        <v>0</v>
      </c>
      <c r="AO77" s="67">
        <f t="shared" si="275"/>
        <v>8.4033613445378158E-2</v>
      </c>
      <c r="AP77" s="67">
        <f t="shared" si="275"/>
        <v>0.15126050420168066</v>
      </c>
      <c r="AQ77" s="67">
        <f t="shared" si="275"/>
        <v>0.21848739495798319</v>
      </c>
      <c r="AR77" s="67">
        <f t="shared" si="275"/>
        <v>0.30252100840336132</v>
      </c>
      <c r="AS77" s="67">
        <f t="shared" si="275"/>
        <v>0.43697478991596639</v>
      </c>
      <c r="AT77" s="67">
        <f t="shared" si="275"/>
        <v>0.92436974789915971</v>
      </c>
      <c r="AU77" s="67">
        <f t="shared" si="275"/>
        <v>1</v>
      </c>
      <c r="AV77" s="67">
        <f t="shared" si="275"/>
        <v>0.36134453781512604</v>
      </c>
      <c r="AX77">
        <f t="shared" si="238"/>
        <v>0.30252100840336132</v>
      </c>
      <c r="AY77">
        <f t="shared" si="239"/>
        <v>0.48739495798319332</v>
      </c>
      <c r="AZ77">
        <f t="shared" si="240"/>
        <v>0.6386554621848739</v>
      </c>
      <c r="BB77">
        <f t="shared" ref="BB77:BD77" si="276">AX77/SUM($AX77:$AZ77)</f>
        <v>0.21176470588235291</v>
      </c>
      <c r="BC77">
        <f t="shared" si="276"/>
        <v>0.3411764705882353</v>
      </c>
      <c r="BD77">
        <f t="shared" si="276"/>
        <v>0.44705882352941173</v>
      </c>
      <c r="BF77" t="str">
        <f t="shared" si="242"/>
        <v>Sugar</v>
      </c>
      <c r="BG77" t="str">
        <f t="shared" si="243"/>
        <v>A</v>
      </c>
      <c r="BI77">
        <f t="shared" si="244"/>
        <v>3.5</v>
      </c>
      <c r="BJ77" t="str">
        <f t="shared" si="245"/>
        <v>Super Bowl</v>
      </c>
      <c r="BK77" t="str">
        <f t="shared" si="246"/>
        <v>A</v>
      </c>
      <c r="BS77">
        <f t="shared" si="247"/>
        <v>0.30252100840336132</v>
      </c>
      <c r="BT77">
        <f t="shared" si="248"/>
        <v>-0.48739495798319332</v>
      </c>
      <c r="BU77">
        <f t="shared" si="249"/>
        <v>-0.6386554621848739</v>
      </c>
      <c r="BW77">
        <f t="shared" si="250"/>
        <v>-0.88658687390872204</v>
      </c>
      <c r="BX77">
        <f t="shared" si="251"/>
        <v>-1.0577591987136883</v>
      </c>
      <c r="BY77">
        <f t="shared" si="252"/>
        <v>-1.3661185797537068</v>
      </c>
      <c r="CB77">
        <f t="shared" si="253"/>
        <v>2.490960969603321</v>
      </c>
      <c r="CC77">
        <f t="shared" si="254"/>
        <v>3.2776814829627425</v>
      </c>
      <c r="CD77">
        <f t="shared" si="255"/>
        <v>2.5155317221095315</v>
      </c>
      <c r="CE77">
        <f t="shared" si="256"/>
        <v>0.53392286405484746</v>
      </c>
      <c r="CF77">
        <f t="shared" si="257"/>
        <v>0.53392286405484746</v>
      </c>
      <c r="CJ77" t="str">
        <f t="shared" si="258"/>
        <v>Cluster 4</v>
      </c>
      <c r="CK77" t="str">
        <f t="shared" si="259"/>
        <v>A Super Bowl</v>
      </c>
      <c r="CL77" t="str">
        <f t="shared" si="260"/>
        <v>Super Bowl A</v>
      </c>
      <c r="CM77" t="str">
        <f t="shared" si="264"/>
        <v>Diff</v>
      </c>
    </row>
    <row r="78" spans="8:91">
      <c r="H78">
        <v>71</v>
      </c>
      <c r="I78">
        <v>4</v>
      </c>
      <c r="J78">
        <v>7</v>
      </c>
      <c r="K78">
        <v>11</v>
      </c>
      <c r="L78">
        <v>15</v>
      </c>
      <c r="M78">
        <v>18</v>
      </c>
      <c r="N78">
        <v>9</v>
      </c>
      <c r="O78">
        <v>13</v>
      </c>
      <c r="P78">
        <v>16</v>
      </c>
      <c r="Q78">
        <v>19</v>
      </c>
      <c r="R78">
        <v>20</v>
      </c>
      <c r="S78">
        <v>1</v>
      </c>
      <c r="T78">
        <v>2</v>
      </c>
      <c r="U78">
        <v>5</v>
      </c>
      <c r="V78">
        <v>8</v>
      </c>
      <c r="W78">
        <v>12</v>
      </c>
      <c r="X78">
        <v>3</v>
      </c>
      <c r="Y78">
        <v>6</v>
      </c>
      <c r="Z78">
        <v>10</v>
      </c>
      <c r="AA78">
        <v>14</v>
      </c>
      <c r="AB78">
        <v>17</v>
      </c>
      <c r="AD78">
        <f t="shared" ref="AD78:AH78" si="277">SUMIFS($I78:$AB78,$I$2:$AB$2,AD$7)</f>
        <v>17</v>
      </c>
      <c r="AE78">
        <f t="shared" si="277"/>
        <v>28</v>
      </c>
      <c r="AF78">
        <f t="shared" si="277"/>
        <v>42</v>
      </c>
      <c r="AG78">
        <f t="shared" si="277"/>
        <v>56</v>
      </c>
      <c r="AH78">
        <f t="shared" si="277"/>
        <v>67</v>
      </c>
      <c r="AI78">
        <f t="shared" si="223"/>
        <v>132</v>
      </c>
      <c r="AJ78">
        <f t="shared" si="223"/>
        <v>78</v>
      </c>
      <c r="AK78">
        <f t="shared" si="224"/>
        <v>127</v>
      </c>
      <c r="AL78">
        <f t="shared" si="224"/>
        <v>83</v>
      </c>
      <c r="AN78" s="67">
        <f t="shared" ref="AN78:AV78" si="278">((AD78-MIN($AD78:$AL78))/(MAX($AD78:$AL78)-MIN($AD78:$AL78)))</f>
        <v>0</v>
      </c>
      <c r="AO78" s="67">
        <f t="shared" si="278"/>
        <v>9.5652173913043481E-2</v>
      </c>
      <c r="AP78" s="67">
        <f t="shared" si="278"/>
        <v>0.21739130434782608</v>
      </c>
      <c r="AQ78" s="67">
        <f t="shared" si="278"/>
        <v>0.33913043478260868</v>
      </c>
      <c r="AR78" s="67">
        <f t="shared" si="278"/>
        <v>0.43478260869565216</v>
      </c>
      <c r="AS78" s="67">
        <f t="shared" si="278"/>
        <v>1</v>
      </c>
      <c r="AT78" s="67">
        <f t="shared" si="278"/>
        <v>0.5304347826086957</v>
      </c>
      <c r="AU78" s="67">
        <f t="shared" si="278"/>
        <v>0.95652173913043481</v>
      </c>
      <c r="AV78" s="67">
        <f t="shared" si="278"/>
        <v>0.57391304347826089</v>
      </c>
      <c r="AX78">
        <f t="shared" si="238"/>
        <v>0.43478260869565216</v>
      </c>
      <c r="AY78">
        <f t="shared" si="239"/>
        <v>0.4695652173913043</v>
      </c>
      <c r="AZ78">
        <f t="shared" si="240"/>
        <v>0.38260869565217392</v>
      </c>
      <c r="BB78">
        <f t="shared" ref="BB78:BD78" si="279">AX78/SUM($AX78:$AZ78)</f>
        <v>0.33783783783783783</v>
      </c>
      <c r="BC78">
        <f t="shared" si="279"/>
        <v>0.36486486486486486</v>
      </c>
      <c r="BD78">
        <f t="shared" si="279"/>
        <v>0.29729729729729731</v>
      </c>
      <c r="BF78" t="str">
        <f t="shared" si="242"/>
        <v xml:space="preserve">Brand </v>
      </c>
      <c r="BG78" t="str">
        <f t="shared" si="243"/>
        <v>Tennis</v>
      </c>
      <c r="BI78">
        <f t="shared" si="244"/>
        <v>3.5</v>
      </c>
      <c r="BJ78" t="str">
        <f t="shared" si="245"/>
        <v>Tennis</v>
      </c>
      <c r="BK78" t="str">
        <f t="shared" si="246"/>
        <v>A</v>
      </c>
      <c r="BS78">
        <f t="shared" si="247"/>
        <v>0.43478260869565216</v>
      </c>
      <c r="BT78">
        <f t="shared" si="248"/>
        <v>0.4695652173913043</v>
      </c>
      <c r="BU78">
        <f t="shared" si="249"/>
        <v>-0.38260869565217392</v>
      </c>
      <c r="BW78">
        <f t="shared" si="250"/>
        <v>0.27851370544927367</v>
      </c>
      <c r="BX78">
        <f t="shared" si="251"/>
        <v>1.0346958392493484</v>
      </c>
      <c r="BY78">
        <f t="shared" si="252"/>
        <v>-0.82516409596528395</v>
      </c>
      <c r="CB78">
        <f t="shared" si="253"/>
        <v>3.0467172265247053</v>
      </c>
      <c r="CC78">
        <f t="shared" si="254"/>
        <v>1.9250517001578291</v>
      </c>
      <c r="CD78">
        <f t="shared" si="255"/>
        <v>1.0014729408469665</v>
      </c>
      <c r="CE78">
        <f t="shared" si="256"/>
        <v>2.3413985889853133</v>
      </c>
      <c r="CF78">
        <f t="shared" si="257"/>
        <v>1.0014729408469665</v>
      </c>
      <c r="CJ78" t="str">
        <f t="shared" si="258"/>
        <v>Cluster 3</v>
      </c>
      <c r="CK78" t="str">
        <f t="shared" si="259"/>
        <v>Tennis Only</v>
      </c>
      <c r="CL78" t="str">
        <f t="shared" si="260"/>
        <v>Tennis A</v>
      </c>
      <c r="CM78" t="str">
        <f t="shared" si="264"/>
        <v>Diff</v>
      </c>
    </row>
    <row r="79" spans="8:91">
      <c r="H79">
        <v>72</v>
      </c>
      <c r="I79">
        <v>4</v>
      </c>
      <c r="J79">
        <v>8</v>
      </c>
      <c r="K79">
        <v>12</v>
      </c>
      <c r="L79">
        <v>16</v>
      </c>
      <c r="M79">
        <v>20</v>
      </c>
      <c r="N79">
        <v>3</v>
      </c>
      <c r="O79">
        <v>7</v>
      </c>
      <c r="P79">
        <v>11</v>
      </c>
      <c r="Q79">
        <v>14</v>
      </c>
      <c r="R79">
        <v>18</v>
      </c>
      <c r="S79">
        <v>2</v>
      </c>
      <c r="T79">
        <v>6</v>
      </c>
      <c r="U79">
        <v>10</v>
      </c>
      <c r="V79">
        <v>15</v>
      </c>
      <c r="W79">
        <v>19</v>
      </c>
      <c r="X79">
        <v>1</v>
      </c>
      <c r="Y79">
        <v>5</v>
      </c>
      <c r="Z79">
        <v>9</v>
      </c>
      <c r="AA79">
        <v>13</v>
      </c>
      <c r="AB79">
        <v>17</v>
      </c>
      <c r="AD79">
        <f t="shared" ref="AD79:AH79" si="280">SUMIFS($I79:$AB79,$I$2:$AB$2,AD$7)</f>
        <v>10</v>
      </c>
      <c r="AE79">
        <f t="shared" si="280"/>
        <v>26</v>
      </c>
      <c r="AF79">
        <f t="shared" si="280"/>
        <v>42</v>
      </c>
      <c r="AG79">
        <f t="shared" si="280"/>
        <v>58</v>
      </c>
      <c r="AH79">
        <f t="shared" si="280"/>
        <v>74</v>
      </c>
      <c r="AI79">
        <f t="shared" si="223"/>
        <v>113</v>
      </c>
      <c r="AJ79">
        <f t="shared" si="223"/>
        <v>97</v>
      </c>
      <c r="AK79">
        <f t="shared" si="224"/>
        <v>98</v>
      </c>
      <c r="AL79">
        <f t="shared" si="224"/>
        <v>112</v>
      </c>
      <c r="AN79" s="67">
        <f t="shared" ref="AN79:AV79" si="281">((AD79-MIN($AD79:$AL79))/(MAX($AD79:$AL79)-MIN($AD79:$AL79)))</f>
        <v>0</v>
      </c>
      <c r="AO79" s="67">
        <f t="shared" si="281"/>
        <v>0.1553398058252427</v>
      </c>
      <c r="AP79" s="67">
        <f t="shared" si="281"/>
        <v>0.31067961165048541</v>
      </c>
      <c r="AQ79" s="67">
        <f t="shared" si="281"/>
        <v>0.46601941747572817</v>
      </c>
      <c r="AR79" s="67">
        <f t="shared" si="281"/>
        <v>0.62135922330097082</v>
      </c>
      <c r="AS79" s="67">
        <f t="shared" si="281"/>
        <v>1</v>
      </c>
      <c r="AT79" s="67">
        <f t="shared" si="281"/>
        <v>0.84466019417475724</v>
      </c>
      <c r="AU79" s="67">
        <f t="shared" si="281"/>
        <v>0.85436893203883491</v>
      </c>
      <c r="AV79" s="67">
        <f t="shared" si="281"/>
        <v>0.99029126213592233</v>
      </c>
      <c r="AX79">
        <f t="shared" si="238"/>
        <v>0.62135922330097082</v>
      </c>
      <c r="AY79">
        <f t="shared" si="239"/>
        <v>0.15533980582524276</v>
      </c>
      <c r="AZ79">
        <f t="shared" si="240"/>
        <v>0.13592233009708743</v>
      </c>
      <c r="BB79">
        <f t="shared" ref="BB79:BD79" si="282">AX79/SUM($AX79:$AZ79)</f>
        <v>0.68085106382978711</v>
      </c>
      <c r="BC79">
        <f t="shared" si="282"/>
        <v>0.17021276595744686</v>
      </c>
      <c r="BD79">
        <f t="shared" si="282"/>
        <v>0.14893617021276601</v>
      </c>
      <c r="BF79" t="str">
        <f t="shared" si="242"/>
        <v>Price</v>
      </c>
      <c r="BG79">
        <f t="shared" si="243"/>
        <v>3.5</v>
      </c>
      <c r="BI79">
        <f t="shared" si="244"/>
        <v>3.5</v>
      </c>
      <c r="BJ79" t="str">
        <f t="shared" si="245"/>
        <v>Tennis</v>
      </c>
      <c r="BK79" t="str">
        <f t="shared" si="246"/>
        <v>B</v>
      </c>
      <c r="BS79">
        <f t="shared" si="247"/>
        <v>0.62135922330097082</v>
      </c>
      <c r="BT79">
        <f t="shared" si="248"/>
        <v>0.15533980582524276</v>
      </c>
      <c r="BU79">
        <f t="shared" si="249"/>
        <v>0.13592233009708743</v>
      </c>
      <c r="BW79">
        <f t="shared" si="250"/>
        <v>1.9220785896704784</v>
      </c>
      <c r="BX79">
        <f t="shared" si="251"/>
        <v>0.34762174525154277</v>
      </c>
      <c r="BY79">
        <f t="shared" si="252"/>
        <v>0.27034547504368972</v>
      </c>
      <c r="CB79">
        <f t="shared" si="253"/>
        <v>3.0588707850174837</v>
      </c>
      <c r="CC79">
        <f t="shared" si="254"/>
        <v>0.30864786881339268</v>
      </c>
      <c r="CD79">
        <f t="shared" si="255"/>
        <v>2.518722379350034</v>
      </c>
      <c r="CE79">
        <f t="shared" si="256"/>
        <v>3.1281974231735399</v>
      </c>
      <c r="CF79">
        <f t="shared" si="257"/>
        <v>0.30864786881339268</v>
      </c>
      <c r="CJ79" t="str">
        <f t="shared" si="258"/>
        <v>Cluster 2</v>
      </c>
      <c r="CK79" t="str">
        <f t="shared" si="259"/>
        <v>Price Only</v>
      </c>
      <c r="CL79" t="str">
        <f t="shared" si="260"/>
        <v>Price Only</v>
      </c>
      <c r="CM79" t="str">
        <f t="shared" si="264"/>
        <v/>
      </c>
    </row>
    <row r="80" spans="8:91">
      <c r="H80">
        <v>73</v>
      </c>
      <c r="I80">
        <v>6</v>
      </c>
      <c r="J80">
        <v>9</v>
      </c>
      <c r="K80">
        <v>11</v>
      </c>
      <c r="L80">
        <v>14</v>
      </c>
      <c r="M80">
        <v>17</v>
      </c>
      <c r="N80">
        <v>1</v>
      </c>
      <c r="O80">
        <v>2</v>
      </c>
      <c r="P80">
        <v>3</v>
      </c>
      <c r="Q80">
        <v>5</v>
      </c>
      <c r="R80">
        <v>8</v>
      </c>
      <c r="S80">
        <v>13</v>
      </c>
      <c r="T80">
        <v>16</v>
      </c>
      <c r="U80">
        <v>18</v>
      </c>
      <c r="V80">
        <v>19</v>
      </c>
      <c r="W80">
        <v>20</v>
      </c>
      <c r="X80">
        <v>4</v>
      </c>
      <c r="Y80">
        <v>7</v>
      </c>
      <c r="Z80">
        <v>10</v>
      </c>
      <c r="AA80">
        <v>12</v>
      </c>
      <c r="AB80">
        <v>15</v>
      </c>
      <c r="AD80">
        <f t="shared" ref="AD80:AH80" si="283">SUMIFS($I80:$AB80,$I$2:$AB$2,AD$7)</f>
        <v>24</v>
      </c>
      <c r="AE80">
        <f t="shared" si="283"/>
        <v>34</v>
      </c>
      <c r="AF80">
        <f t="shared" si="283"/>
        <v>42</v>
      </c>
      <c r="AG80">
        <f t="shared" si="283"/>
        <v>50</v>
      </c>
      <c r="AH80">
        <f t="shared" si="283"/>
        <v>60</v>
      </c>
      <c r="AI80">
        <f t="shared" si="223"/>
        <v>76</v>
      </c>
      <c r="AJ80">
        <f t="shared" si="223"/>
        <v>134</v>
      </c>
      <c r="AK80">
        <f t="shared" si="224"/>
        <v>67</v>
      </c>
      <c r="AL80">
        <f t="shared" si="224"/>
        <v>143</v>
      </c>
      <c r="AN80" s="67">
        <f t="shared" ref="AN80:AV80" si="284">((AD80-MIN($AD80:$AL80))/(MAX($AD80:$AL80)-MIN($AD80:$AL80)))</f>
        <v>0</v>
      </c>
      <c r="AO80" s="67">
        <f t="shared" si="284"/>
        <v>8.4033613445378158E-2</v>
      </c>
      <c r="AP80" s="67">
        <f t="shared" si="284"/>
        <v>0.15126050420168066</v>
      </c>
      <c r="AQ80" s="67">
        <f t="shared" si="284"/>
        <v>0.21848739495798319</v>
      </c>
      <c r="AR80" s="67">
        <f t="shared" si="284"/>
        <v>0.30252100840336132</v>
      </c>
      <c r="AS80" s="67">
        <f t="shared" si="284"/>
        <v>0.43697478991596639</v>
      </c>
      <c r="AT80" s="67">
        <f t="shared" si="284"/>
        <v>0.92436974789915971</v>
      </c>
      <c r="AU80" s="67">
        <f t="shared" si="284"/>
        <v>0.36134453781512604</v>
      </c>
      <c r="AV80" s="67">
        <f t="shared" si="284"/>
        <v>1</v>
      </c>
      <c r="AX80">
        <f t="shared" si="238"/>
        <v>0.30252100840336132</v>
      </c>
      <c r="AY80">
        <f t="shared" si="239"/>
        <v>0.48739495798319332</v>
      </c>
      <c r="AZ80">
        <f t="shared" si="240"/>
        <v>0.6386554621848739</v>
      </c>
      <c r="BB80">
        <f t="shared" ref="BB80:BD80" si="285">AX80/SUM($AX80:$AZ80)</f>
        <v>0.21176470588235291</v>
      </c>
      <c r="BC80">
        <f t="shared" si="285"/>
        <v>0.3411764705882353</v>
      </c>
      <c r="BD80">
        <f t="shared" si="285"/>
        <v>0.44705882352941173</v>
      </c>
      <c r="BF80" t="str">
        <f t="shared" si="242"/>
        <v>Sugar</v>
      </c>
      <c r="BG80" t="str">
        <f t="shared" si="243"/>
        <v>B</v>
      </c>
      <c r="BI80">
        <f t="shared" si="244"/>
        <v>3.5</v>
      </c>
      <c r="BJ80" t="str">
        <f t="shared" si="245"/>
        <v>Super Bowl</v>
      </c>
      <c r="BK80" t="str">
        <f t="shared" si="246"/>
        <v>B</v>
      </c>
      <c r="BS80">
        <f t="shared" si="247"/>
        <v>0.30252100840336132</v>
      </c>
      <c r="BT80">
        <f t="shared" si="248"/>
        <v>-0.48739495798319332</v>
      </c>
      <c r="BU80">
        <f t="shared" si="249"/>
        <v>0.6386554621848739</v>
      </c>
      <c r="BW80">
        <f t="shared" si="250"/>
        <v>-0.88658687390872204</v>
      </c>
      <c r="BX80">
        <f t="shared" si="251"/>
        <v>-1.0577591987136883</v>
      </c>
      <c r="BY80">
        <f t="shared" si="252"/>
        <v>1.3324785596931055</v>
      </c>
      <c r="CB80">
        <f t="shared" si="253"/>
        <v>0.36398114121480674</v>
      </c>
      <c r="CC80">
        <f t="shared" si="254"/>
        <v>3.2443418197903178</v>
      </c>
      <c r="CD80">
        <f t="shared" si="255"/>
        <v>2.6432629258683842</v>
      </c>
      <c r="CE80">
        <f t="shared" si="256"/>
        <v>2.4123084525291745</v>
      </c>
      <c r="CF80">
        <f t="shared" si="257"/>
        <v>0.36398114121480674</v>
      </c>
      <c r="CJ80" t="str">
        <f t="shared" si="258"/>
        <v>Cluster 1</v>
      </c>
      <c r="CK80" t="str">
        <f t="shared" si="259"/>
        <v>B Super Bowl</v>
      </c>
      <c r="CL80" t="str">
        <f t="shared" si="260"/>
        <v>Super Bowl B</v>
      </c>
      <c r="CM80" t="str">
        <f t="shared" si="264"/>
        <v>Diff</v>
      </c>
    </row>
    <row r="81" spans="8:91">
      <c r="H81">
        <v>74</v>
      </c>
      <c r="I81">
        <v>3</v>
      </c>
      <c r="J81">
        <v>5</v>
      </c>
      <c r="K81">
        <v>8</v>
      </c>
      <c r="L81">
        <v>11</v>
      </c>
      <c r="M81">
        <v>14</v>
      </c>
      <c r="N81">
        <v>12</v>
      </c>
      <c r="O81">
        <v>15</v>
      </c>
      <c r="P81">
        <v>17</v>
      </c>
      <c r="Q81">
        <v>19</v>
      </c>
      <c r="R81">
        <v>20</v>
      </c>
      <c r="S81">
        <v>1</v>
      </c>
      <c r="T81">
        <v>2</v>
      </c>
      <c r="U81">
        <v>4</v>
      </c>
      <c r="V81">
        <v>6</v>
      </c>
      <c r="W81">
        <v>9</v>
      </c>
      <c r="X81">
        <v>7</v>
      </c>
      <c r="Y81">
        <v>10</v>
      </c>
      <c r="Z81">
        <v>13</v>
      </c>
      <c r="AA81">
        <v>16</v>
      </c>
      <c r="AB81">
        <v>18</v>
      </c>
      <c r="AD81">
        <f t="shared" ref="AD81:AH81" si="286">SUMIFS($I81:$AB81,$I$2:$AB$2,AD$7)</f>
        <v>23</v>
      </c>
      <c r="AE81">
        <f t="shared" si="286"/>
        <v>32</v>
      </c>
      <c r="AF81">
        <f t="shared" si="286"/>
        <v>42</v>
      </c>
      <c r="AG81">
        <f t="shared" si="286"/>
        <v>52</v>
      </c>
      <c r="AH81">
        <f t="shared" si="286"/>
        <v>61</v>
      </c>
      <c r="AI81">
        <f t="shared" si="223"/>
        <v>124</v>
      </c>
      <c r="AJ81">
        <f t="shared" si="223"/>
        <v>86</v>
      </c>
      <c r="AK81">
        <f t="shared" si="224"/>
        <v>147</v>
      </c>
      <c r="AL81">
        <f t="shared" si="224"/>
        <v>63</v>
      </c>
      <c r="AN81" s="67">
        <f t="shared" ref="AN81:AV81" si="287">((AD81-MIN($AD81:$AL81))/(MAX($AD81:$AL81)-MIN($AD81:$AL81)))</f>
        <v>0</v>
      </c>
      <c r="AO81" s="67">
        <f t="shared" si="287"/>
        <v>7.2580645161290328E-2</v>
      </c>
      <c r="AP81" s="67">
        <f t="shared" si="287"/>
        <v>0.15322580645161291</v>
      </c>
      <c r="AQ81" s="67">
        <f t="shared" si="287"/>
        <v>0.23387096774193547</v>
      </c>
      <c r="AR81" s="67">
        <f t="shared" si="287"/>
        <v>0.30645161290322581</v>
      </c>
      <c r="AS81" s="67">
        <f t="shared" si="287"/>
        <v>0.81451612903225812</v>
      </c>
      <c r="AT81" s="67">
        <f t="shared" si="287"/>
        <v>0.50806451612903225</v>
      </c>
      <c r="AU81" s="67">
        <f t="shared" si="287"/>
        <v>1</v>
      </c>
      <c r="AV81" s="67">
        <f t="shared" si="287"/>
        <v>0.32258064516129031</v>
      </c>
      <c r="AX81">
        <f t="shared" si="238"/>
        <v>0.30645161290322581</v>
      </c>
      <c r="AY81">
        <f t="shared" si="239"/>
        <v>0.30645161290322587</v>
      </c>
      <c r="AZ81">
        <f t="shared" si="240"/>
        <v>0.67741935483870974</v>
      </c>
      <c r="BB81">
        <f t="shared" ref="BB81:BD81" si="288">AX81/SUM($AX81:$AZ81)</f>
        <v>0.23749999999999996</v>
      </c>
      <c r="BC81">
        <f t="shared" si="288"/>
        <v>0.23750000000000002</v>
      </c>
      <c r="BD81">
        <f t="shared" si="288"/>
        <v>0.52500000000000002</v>
      </c>
      <c r="BF81" t="str">
        <f t="shared" si="242"/>
        <v>Sugar</v>
      </c>
      <c r="BG81" t="str">
        <f t="shared" si="243"/>
        <v>A</v>
      </c>
      <c r="BI81">
        <f t="shared" si="244"/>
        <v>3.5</v>
      </c>
      <c r="BJ81" t="str">
        <f t="shared" si="245"/>
        <v>Tennis</v>
      </c>
      <c r="BK81" t="str">
        <f t="shared" si="246"/>
        <v>A</v>
      </c>
      <c r="BS81">
        <f t="shared" si="247"/>
        <v>0.30645161290322581</v>
      </c>
      <c r="BT81">
        <f t="shared" si="248"/>
        <v>0.30645161290322587</v>
      </c>
      <c r="BU81">
        <f t="shared" si="249"/>
        <v>-0.67741935483870974</v>
      </c>
      <c r="BW81">
        <f t="shared" si="250"/>
        <v>-0.85196193689073108</v>
      </c>
      <c r="BX81">
        <f t="shared" si="251"/>
        <v>0.67803744086007134</v>
      </c>
      <c r="BY81">
        <f t="shared" si="252"/>
        <v>-1.4480157340280904</v>
      </c>
      <c r="CB81">
        <f t="shared" si="253"/>
        <v>3.1485436476420774</v>
      </c>
      <c r="CC81">
        <f t="shared" si="254"/>
        <v>3.0663044501829213</v>
      </c>
      <c r="CD81">
        <f t="shared" si="255"/>
        <v>1.4316308653025587</v>
      </c>
      <c r="CE81">
        <f t="shared" si="256"/>
        <v>1.9294111710243405</v>
      </c>
      <c r="CF81">
        <f t="shared" si="257"/>
        <v>1.4316308653025587</v>
      </c>
      <c r="CJ81" t="str">
        <f t="shared" si="258"/>
        <v>Cluster 3</v>
      </c>
      <c r="CK81" t="str">
        <f t="shared" si="259"/>
        <v>Tennis Only</v>
      </c>
      <c r="CL81" t="str">
        <f t="shared" si="260"/>
        <v>Tennis A</v>
      </c>
      <c r="CM81" t="str">
        <f t="shared" si="264"/>
        <v>Diff</v>
      </c>
    </row>
    <row r="82" spans="8:91">
      <c r="H82">
        <v>75</v>
      </c>
      <c r="I82">
        <v>1</v>
      </c>
      <c r="J82">
        <v>2</v>
      </c>
      <c r="K82">
        <v>5</v>
      </c>
      <c r="L82">
        <v>8</v>
      </c>
      <c r="M82">
        <v>12</v>
      </c>
      <c r="N82">
        <v>3</v>
      </c>
      <c r="O82">
        <v>6</v>
      </c>
      <c r="P82">
        <v>10</v>
      </c>
      <c r="Q82">
        <v>14</v>
      </c>
      <c r="R82">
        <v>17</v>
      </c>
      <c r="S82">
        <v>5</v>
      </c>
      <c r="T82">
        <v>8</v>
      </c>
      <c r="U82">
        <v>12</v>
      </c>
      <c r="V82">
        <v>15</v>
      </c>
      <c r="W82">
        <v>18</v>
      </c>
      <c r="X82">
        <v>10</v>
      </c>
      <c r="Y82">
        <v>14</v>
      </c>
      <c r="Z82">
        <v>17</v>
      </c>
      <c r="AA82">
        <v>19</v>
      </c>
      <c r="AB82">
        <v>20</v>
      </c>
      <c r="AD82">
        <f t="shared" ref="AD82:AH82" si="289">SUMIFS($I82:$AB82,$I$2:$AB$2,AD$7)</f>
        <v>19</v>
      </c>
      <c r="AE82">
        <f t="shared" si="289"/>
        <v>30</v>
      </c>
      <c r="AF82">
        <f t="shared" si="289"/>
        <v>44</v>
      </c>
      <c r="AG82">
        <f t="shared" si="289"/>
        <v>56</v>
      </c>
      <c r="AH82">
        <f t="shared" si="289"/>
        <v>67</v>
      </c>
      <c r="AI82">
        <f t="shared" si="223"/>
        <v>78</v>
      </c>
      <c r="AJ82">
        <f t="shared" si="223"/>
        <v>138</v>
      </c>
      <c r="AK82">
        <f t="shared" si="224"/>
        <v>130</v>
      </c>
      <c r="AL82">
        <f t="shared" si="224"/>
        <v>86</v>
      </c>
      <c r="AN82" s="67">
        <f t="shared" ref="AN82:AV82" si="290">((AD82-MIN($AD82:$AL82))/(MAX($AD82:$AL82)-MIN($AD82:$AL82)))</f>
        <v>0</v>
      </c>
      <c r="AO82" s="67">
        <f t="shared" si="290"/>
        <v>9.2436974789915971E-2</v>
      </c>
      <c r="AP82" s="67">
        <f t="shared" si="290"/>
        <v>0.21008403361344538</v>
      </c>
      <c r="AQ82" s="67">
        <f t="shared" si="290"/>
        <v>0.31092436974789917</v>
      </c>
      <c r="AR82" s="67">
        <f t="shared" si="290"/>
        <v>0.40336134453781514</v>
      </c>
      <c r="AS82" s="67">
        <f t="shared" si="290"/>
        <v>0.49579831932773111</v>
      </c>
      <c r="AT82" s="67">
        <f t="shared" si="290"/>
        <v>1</v>
      </c>
      <c r="AU82" s="67">
        <f t="shared" si="290"/>
        <v>0.9327731092436975</v>
      </c>
      <c r="AV82" s="67">
        <f t="shared" si="290"/>
        <v>0.56302521008403361</v>
      </c>
      <c r="AX82">
        <f t="shared" si="238"/>
        <v>0.40336134453781514</v>
      </c>
      <c r="AY82">
        <f t="shared" si="239"/>
        <v>0.50420168067226889</v>
      </c>
      <c r="AZ82">
        <f t="shared" si="240"/>
        <v>0.36974789915966388</v>
      </c>
      <c r="BB82">
        <f t="shared" ref="BB82:BD82" si="291">AX82/SUM($AX82:$AZ82)</f>
        <v>0.31578947368421056</v>
      </c>
      <c r="BC82">
        <f t="shared" si="291"/>
        <v>0.39473684210526316</v>
      </c>
      <c r="BD82">
        <f t="shared" si="291"/>
        <v>0.28947368421052633</v>
      </c>
      <c r="BF82" t="str">
        <f t="shared" si="242"/>
        <v xml:space="preserve">Brand </v>
      </c>
      <c r="BG82" t="str">
        <f t="shared" si="243"/>
        <v>Super Bowl</v>
      </c>
      <c r="BI82">
        <f t="shared" si="244"/>
        <v>3.5</v>
      </c>
      <c r="BJ82" t="str">
        <f t="shared" si="245"/>
        <v>Super Bowl</v>
      </c>
      <c r="BK82" t="str">
        <f t="shared" si="246"/>
        <v>A</v>
      </c>
      <c r="BS82">
        <f t="shared" si="247"/>
        <v>0.40336134453781514</v>
      </c>
      <c r="BT82">
        <f t="shared" si="248"/>
        <v>-0.50420168067226889</v>
      </c>
      <c r="BU82">
        <f t="shared" si="249"/>
        <v>-0.36974789915966388</v>
      </c>
      <c r="BW82">
        <f t="shared" si="250"/>
        <v>1.72185510455666E-3</v>
      </c>
      <c r="BX82">
        <f t="shared" si="251"/>
        <v>-1.094508179985183</v>
      </c>
      <c r="BY82">
        <f t="shared" si="252"/>
        <v>-0.79799286618595677</v>
      </c>
      <c r="CB82">
        <f t="shared" si="253"/>
        <v>2.0036536548814023</v>
      </c>
      <c r="CC82">
        <f t="shared" si="254"/>
        <v>2.3669565726034261</v>
      </c>
      <c r="CD82">
        <f t="shared" si="255"/>
        <v>2.3294748888675705</v>
      </c>
      <c r="CE82">
        <f t="shared" si="256"/>
        <v>0.5431655005013476</v>
      </c>
      <c r="CF82">
        <f t="shared" si="257"/>
        <v>0.5431655005013476</v>
      </c>
      <c r="CJ82" t="str">
        <f t="shared" si="258"/>
        <v>Cluster 4</v>
      </c>
      <c r="CK82" t="str">
        <f t="shared" si="259"/>
        <v>A Super Bowl</v>
      </c>
      <c r="CL82" t="str">
        <f t="shared" si="260"/>
        <v>Super Bowl A</v>
      </c>
      <c r="CM82" t="str">
        <f t="shared" si="264"/>
        <v>Diff</v>
      </c>
    </row>
    <row r="83" spans="8:91">
      <c r="H83">
        <v>76</v>
      </c>
      <c r="I83">
        <v>1</v>
      </c>
      <c r="J83">
        <v>2</v>
      </c>
      <c r="K83">
        <v>4</v>
      </c>
      <c r="L83">
        <v>7</v>
      </c>
      <c r="M83">
        <v>10</v>
      </c>
      <c r="N83">
        <v>3</v>
      </c>
      <c r="O83">
        <v>6</v>
      </c>
      <c r="P83">
        <v>9</v>
      </c>
      <c r="Q83">
        <v>13</v>
      </c>
      <c r="R83">
        <v>16</v>
      </c>
      <c r="S83">
        <v>5</v>
      </c>
      <c r="T83">
        <v>8</v>
      </c>
      <c r="U83">
        <v>12</v>
      </c>
      <c r="V83">
        <v>15</v>
      </c>
      <c r="W83">
        <v>18</v>
      </c>
      <c r="X83">
        <v>11</v>
      </c>
      <c r="Y83">
        <v>14</v>
      </c>
      <c r="Z83">
        <v>17</v>
      </c>
      <c r="AA83">
        <v>19</v>
      </c>
      <c r="AB83">
        <v>20</v>
      </c>
      <c r="AD83">
        <f t="shared" ref="AD83:AH83" si="292">SUMIFS($I83:$AB83,$I$2:$AB$2,AD$7)</f>
        <v>20</v>
      </c>
      <c r="AE83">
        <f t="shared" si="292"/>
        <v>30</v>
      </c>
      <c r="AF83">
        <f t="shared" si="292"/>
        <v>42</v>
      </c>
      <c r="AG83">
        <f t="shared" si="292"/>
        <v>54</v>
      </c>
      <c r="AH83">
        <f t="shared" si="292"/>
        <v>64</v>
      </c>
      <c r="AI83">
        <f t="shared" si="223"/>
        <v>71</v>
      </c>
      <c r="AJ83">
        <f t="shared" si="223"/>
        <v>139</v>
      </c>
      <c r="AK83">
        <f t="shared" si="224"/>
        <v>128</v>
      </c>
      <c r="AL83">
        <f t="shared" si="224"/>
        <v>82</v>
      </c>
      <c r="AN83" s="67">
        <f t="shared" ref="AN83:AV83" si="293">((AD83-MIN($AD83:$AL83))/(MAX($AD83:$AL83)-MIN($AD83:$AL83)))</f>
        <v>0</v>
      </c>
      <c r="AO83" s="67">
        <f t="shared" si="293"/>
        <v>8.4033613445378158E-2</v>
      </c>
      <c r="AP83" s="67">
        <f t="shared" si="293"/>
        <v>0.18487394957983194</v>
      </c>
      <c r="AQ83" s="67">
        <f t="shared" si="293"/>
        <v>0.2857142857142857</v>
      </c>
      <c r="AR83" s="67">
        <f t="shared" si="293"/>
        <v>0.36974789915966388</v>
      </c>
      <c r="AS83" s="67">
        <f t="shared" si="293"/>
        <v>0.42857142857142855</v>
      </c>
      <c r="AT83" s="67">
        <f t="shared" si="293"/>
        <v>1</v>
      </c>
      <c r="AU83" s="67">
        <f t="shared" si="293"/>
        <v>0.90756302521008403</v>
      </c>
      <c r="AV83" s="67">
        <f t="shared" si="293"/>
        <v>0.52100840336134457</v>
      </c>
      <c r="AX83">
        <f t="shared" si="238"/>
        <v>0.36974789915966388</v>
      </c>
      <c r="AY83">
        <f t="shared" si="239"/>
        <v>0.5714285714285714</v>
      </c>
      <c r="AZ83">
        <f t="shared" si="240"/>
        <v>0.38655462184873945</v>
      </c>
      <c r="BB83">
        <f t="shared" ref="BB83:BD83" si="294">AX83/SUM($AX83:$AZ83)</f>
        <v>0.27848101265822789</v>
      </c>
      <c r="BC83">
        <f t="shared" si="294"/>
        <v>0.43037974683544306</v>
      </c>
      <c r="BD83">
        <f t="shared" si="294"/>
        <v>0.29113924050632911</v>
      </c>
      <c r="BF83" t="str">
        <f t="shared" si="242"/>
        <v xml:space="preserve">Brand </v>
      </c>
      <c r="BG83" t="str">
        <f t="shared" si="243"/>
        <v>Super Bowl</v>
      </c>
      <c r="BI83">
        <f t="shared" si="244"/>
        <v>3.5</v>
      </c>
      <c r="BJ83" t="str">
        <f t="shared" si="245"/>
        <v>Super Bowl</v>
      </c>
      <c r="BK83" t="str">
        <f t="shared" si="246"/>
        <v>A</v>
      </c>
      <c r="BS83">
        <f t="shared" si="247"/>
        <v>0.36974789915966388</v>
      </c>
      <c r="BT83">
        <f t="shared" si="248"/>
        <v>-0.5714285714285714</v>
      </c>
      <c r="BU83">
        <f t="shared" si="249"/>
        <v>-0.38655462184873945</v>
      </c>
      <c r="BW83">
        <f t="shared" si="250"/>
        <v>-0.29438105456653607</v>
      </c>
      <c r="BX83">
        <f t="shared" si="251"/>
        <v>-1.2415041050711628</v>
      </c>
      <c r="BY83">
        <f t="shared" si="252"/>
        <v>-0.83350072328394098</v>
      </c>
      <c r="CB83">
        <f t="shared" si="253"/>
        <v>1.9701867330341092</v>
      </c>
      <c r="CC83">
        <f t="shared" si="254"/>
        <v>2.6867152799916112</v>
      </c>
      <c r="CD83">
        <f t="shared" si="255"/>
        <v>2.4414332584832024</v>
      </c>
      <c r="CE83">
        <f t="shared" si="256"/>
        <v>0.28650203300308619</v>
      </c>
      <c r="CF83">
        <f t="shared" si="257"/>
        <v>0.28650203300308619</v>
      </c>
      <c r="CJ83" t="str">
        <f t="shared" si="258"/>
        <v>Cluster 4</v>
      </c>
      <c r="CK83" t="str">
        <f t="shared" si="259"/>
        <v>A Super Bowl</v>
      </c>
      <c r="CL83" t="str">
        <f t="shared" si="260"/>
        <v>Super Bowl A</v>
      </c>
      <c r="CM83" t="str">
        <f t="shared" si="264"/>
        <v>Diff</v>
      </c>
    </row>
    <row r="84" spans="8:91">
      <c r="H84">
        <v>77</v>
      </c>
      <c r="I84">
        <v>12</v>
      </c>
      <c r="J84">
        <v>15</v>
      </c>
      <c r="K84">
        <v>18</v>
      </c>
      <c r="L84">
        <v>19</v>
      </c>
      <c r="M84">
        <v>20</v>
      </c>
      <c r="N84">
        <v>4</v>
      </c>
      <c r="O84">
        <v>7</v>
      </c>
      <c r="P84">
        <v>10</v>
      </c>
      <c r="Q84">
        <v>13</v>
      </c>
      <c r="R84">
        <v>16</v>
      </c>
      <c r="S84">
        <v>5</v>
      </c>
      <c r="T84">
        <v>8</v>
      </c>
      <c r="U84">
        <v>11</v>
      </c>
      <c r="V84">
        <v>14</v>
      </c>
      <c r="W84">
        <v>17</v>
      </c>
      <c r="X84">
        <v>1</v>
      </c>
      <c r="Y84">
        <v>2</v>
      </c>
      <c r="Z84">
        <v>3</v>
      </c>
      <c r="AA84">
        <v>6</v>
      </c>
      <c r="AB84">
        <v>9</v>
      </c>
      <c r="AD84">
        <f t="shared" ref="AD84:AH84" si="295">SUMIFS($I84:$AB84,$I$2:$AB$2,AD$7)</f>
        <v>22</v>
      </c>
      <c r="AE84">
        <f t="shared" si="295"/>
        <v>32</v>
      </c>
      <c r="AF84">
        <f t="shared" si="295"/>
        <v>42</v>
      </c>
      <c r="AG84">
        <f t="shared" si="295"/>
        <v>52</v>
      </c>
      <c r="AH84">
        <f t="shared" si="295"/>
        <v>62</v>
      </c>
      <c r="AI84">
        <f t="shared" si="223"/>
        <v>134</v>
      </c>
      <c r="AJ84">
        <f t="shared" si="223"/>
        <v>76</v>
      </c>
      <c r="AK84">
        <f t="shared" si="224"/>
        <v>71</v>
      </c>
      <c r="AL84">
        <f t="shared" si="224"/>
        <v>139</v>
      </c>
      <c r="AN84" s="67">
        <f t="shared" ref="AN84:AV84" si="296">((AD84-MIN($AD84:$AL84))/(MAX($AD84:$AL84)-MIN($AD84:$AL84)))</f>
        <v>0</v>
      </c>
      <c r="AO84" s="67">
        <f t="shared" si="296"/>
        <v>8.5470085470085472E-2</v>
      </c>
      <c r="AP84" s="67">
        <f t="shared" si="296"/>
        <v>0.17094017094017094</v>
      </c>
      <c r="AQ84" s="67">
        <f t="shared" si="296"/>
        <v>0.25641025641025639</v>
      </c>
      <c r="AR84" s="67">
        <f t="shared" si="296"/>
        <v>0.34188034188034189</v>
      </c>
      <c r="AS84" s="67">
        <f t="shared" si="296"/>
        <v>0.95726495726495731</v>
      </c>
      <c r="AT84" s="67">
        <f t="shared" si="296"/>
        <v>0.46153846153846156</v>
      </c>
      <c r="AU84" s="67">
        <f t="shared" si="296"/>
        <v>0.41880341880341881</v>
      </c>
      <c r="AV84" s="67">
        <f t="shared" si="296"/>
        <v>1</v>
      </c>
      <c r="AX84">
        <f t="shared" si="238"/>
        <v>0.34188034188034189</v>
      </c>
      <c r="AY84">
        <f t="shared" si="239"/>
        <v>0.49572649572649574</v>
      </c>
      <c r="AZ84">
        <f t="shared" si="240"/>
        <v>0.58119658119658113</v>
      </c>
      <c r="BB84">
        <f t="shared" ref="BB84:BD84" si="297">AX84/SUM($AX84:$AZ84)</f>
        <v>0.24096385542168677</v>
      </c>
      <c r="BC84">
        <f t="shared" si="297"/>
        <v>0.34939759036144585</v>
      </c>
      <c r="BD84">
        <f t="shared" si="297"/>
        <v>0.40963855421686746</v>
      </c>
      <c r="BF84" t="str">
        <f t="shared" si="242"/>
        <v>Sugar</v>
      </c>
      <c r="BG84" t="str">
        <f t="shared" si="243"/>
        <v>B</v>
      </c>
      <c r="BI84">
        <f t="shared" si="244"/>
        <v>3.5</v>
      </c>
      <c r="BJ84" t="str">
        <f t="shared" si="245"/>
        <v>Tennis</v>
      </c>
      <c r="BK84" t="str">
        <f t="shared" si="246"/>
        <v>B</v>
      </c>
      <c r="BS84">
        <f t="shared" si="247"/>
        <v>0.34188034188034189</v>
      </c>
      <c r="BT84">
        <f t="shared" si="248"/>
        <v>0.49572649572649574</v>
      </c>
      <c r="BU84">
        <f t="shared" si="249"/>
        <v>0.58119658119658113</v>
      </c>
      <c r="BW84">
        <f t="shared" si="250"/>
        <v>-0.53986808224257044</v>
      </c>
      <c r="BX84">
        <f t="shared" si="251"/>
        <v>1.0918991587402582</v>
      </c>
      <c r="BY84">
        <f t="shared" si="252"/>
        <v>1.2110841764521332</v>
      </c>
      <c r="CB84">
        <f t="shared" si="253"/>
        <v>2.2399781711727513</v>
      </c>
      <c r="CC84">
        <f t="shared" si="254"/>
        <v>2.7657290292004486</v>
      </c>
      <c r="CD84">
        <f t="shared" si="255"/>
        <v>1.3530860677620034</v>
      </c>
      <c r="CE84">
        <f t="shared" si="256"/>
        <v>3.1937960171425281</v>
      </c>
      <c r="CF84">
        <f t="shared" si="257"/>
        <v>1.3530860677620034</v>
      </c>
      <c r="CJ84" t="str">
        <f t="shared" si="258"/>
        <v>Cluster 3</v>
      </c>
      <c r="CK84" t="str">
        <f t="shared" si="259"/>
        <v>Tennis Only</v>
      </c>
      <c r="CL84" t="str">
        <f t="shared" si="260"/>
        <v>Tennis B</v>
      </c>
      <c r="CM84" t="str">
        <f t="shared" si="264"/>
        <v>Diff</v>
      </c>
    </row>
    <row r="85" spans="8:91">
      <c r="H85">
        <v>78</v>
      </c>
      <c r="I85">
        <v>13</v>
      </c>
      <c r="J85">
        <v>16</v>
      </c>
      <c r="K85">
        <v>18</v>
      </c>
      <c r="L85">
        <v>19</v>
      </c>
      <c r="M85">
        <v>20</v>
      </c>
      <c r="N85">
        <v>6</v>
      </c>
      <c r="O85">
        <v>9</v>
      </c>
      <c r="P85">
        <v>11</v>
      </c>
      <c r="Q85">
        <v>14</v>
      </c>
      <c r="R85">
        <v>17</v>
      </c>
      <c r="S85">
        <v>4</v>
      </c>
      <c r="T85">
        <v>7</v>
      </c>
      <c r="U85">
        <v>10</v>
      </c>
      <c r="V85">
        <v>12</v>
      </c>
      <c r="W85">
        <v>15</v>
      </c>
      <c r="X85">
        <v>1</v>
      </c>
      <c r="Y85">
        <v>2</v>
      </c>
      <c r="Z85">
        <v>3</v>
      </c>
      <c r="AA85">
        <v>5</v>
      </c>
      <c r="AB85">
        <v>8</v>
      </c>
      <c r="AD85">
        <f t="shared" ref="AD85:AH85" si="298">SUMIFS($I85:$AB85,$I$2:$AB$2,AD$7)</f>
        <v>24</v>
      </c>
      <c r="AE85">
        <f t="shared" si="298"/>
        <v>34</v>
      </c>
      <c r="AF85">
        <f t="shared" si="298"/>
        <v>42</v>
      </c>
      <c r="AG85">
        <f t="shared" si="298"/>
        <v>50</v>
      </c>
      <c r="AH85">
        <f t="shared" si="298"/>
        <v>60</v>
      </c>
      <c r="AI85">
        <f t="shared" si="223"/>
        <v>143</v>
      </c>
      <c r="AJ85">
        <f t="shared" si="223"/>
        <v>67</v>
      </c>
      <c r="AK85">
        <f t="shared" si="224"/>
        <v>76</v>
      </c>
      <c r="AL85">
        <f t="shared" si="224"/>
        <v>134</v>
      </c>
      <c r="AN85" s="67">
        <f t="shared" ref="AN85:AV85" si="299">((AD85-MIN($AD85:$AL85))/(MAX($AD85:$AL85)-MIN($AD85:$AL85)))</f>
        <v>0</v>
      </c>
      <c r="AO85" s="67">
        <f t="shared" si="299"/>
        <v>8.4033613445378158E-2</v>
      </c>
      <c r="AP85" s="67">
        <f t="shared" si="299"/>
        <v>0.15126050420168066</v>
      </c>
      <c r="AQ85" s="67">
        <f t="shared" si="299"/>
        <v>0.21848739495798319</v>
      </c>
      <c r="AR85" s="67">
        <f t="shared" si="299"/>
        <v>0.30252100840336132</v>
      </c>
      <c r="AS85" s="67">
        <f t="shared" si="299"/>
        <v>1</v>
      </c>
      <c r="AT85" s="67">
        <f t="shared" si="299"/>
        <v>0.36134453781512604</v>
      </c>
      <c r="AU85" s="67">
        <f t="shared" si="299"/>
        <v>0.43697478991596639</v>
      </c>
      <c r="AV85" s="67">
        <f t="shared" si="299"/>
        <v>0.92436974789915971</v>
      </c>
      <c r="AX85">
        <f t="shared" si="238"/>
        <v>0.30252100840336132</v>
      </c>
      <c r="AY85">
        <f t="shared" si="239"/>
        <v>0.6386554621848739</v>
      </c>
      <c r="AZ85">
        <f t="shared" si="240"/>
        <v>0.48739495798319332</v>
      </c>
      <c r="BB85">
        <f t="shared" ref="BB85:BD85" si="300">AX85/SUM($AX85:$AZ85)</f>
        <v>0.21176470588235291</v>
      </c>
      <c r="BC85">
        <f t="shared" si="300"/>
        <v>0.44705882352941173</v>
      </c>
      <c r="BD85">
        <f t="shared" si="300"/>
        <v>0.3411764705882353</v>
      </c>
      <c r="BF85" t="str">
        <f t="shared" si="242"/>
        <v xml:space="preserve">Brand </v>
      </c>
      <c r="BG85" t="str">
        <f t="shared" si="243"/>
        <v>Tennis</v>
      </c>
      <c r="BI85">
        <f t="shared" si="244"/>
        <v>3.5</v>
      </c>
      <c r="BJ85" t="str">
        <f t="shared" si="245"/>
        <v>Tennis</v>
      </c>
      <c r="BK85" t="str">
        <f t="shared" si="246"/>
        <v>B</v>
      </c>
      <c r="BS85">
        <f t="shared" si="247"/>
        <v>0.30252100840336132</v>
      </c>
      <c r="BT85">
        <f t="shared" si="248"/>
        <v>0.6386554621848739</v>
      </c>
      <c r="BU85">
        <f t="shared" si="249"/>
        <v>0.48739495798319332</v>
      </c>
      <c r="BW85">
        <f t="shared" si="250"/>
        <v>-0.88658687390872204</v>
      </c>
      <c r="BX85">
        <f t="shared" si="251"/>
        <v>1.4044225464764764</v>
      </c>
      <c r="BY85">
        <f t="shared" si="252"/>
        <v>1.0129078458112464</v>
      </c>
      <c r="CB85">
        <f t="shared" si="253"/>
        <v>2.5653200258415376</v>
      </c>
      <c r="CC85">
        <f t="shared" si="254"/>
        <v>3.0995420808949934</v>
      </c>
      <c r="CD85">
        <f t="shared" si="255"/>
        <v>1.2708360873524043</v>
      </c>
      <c r="CE85">
        <f t="shared" si="256"/>
        <v>3.3199235153010918</v>
      </c>
      <c r="CF85">
        <f t="shared" si="257"/>
        <v>1.2708360873524043</v>
      </c>
      <c r="CJ85" t="str">
        <f t="shared" si="258"/>
        <v>Cluster 3</v>
      </c>
      <c r="CK85" t="str">
        <f t="shared" si="259"/>
        <v>Tennis Only</v>
      </c>
      <c r="CL85" t="str">
        <f t="shared" si="260"/>
        <v>Tennis B</v>
      </c>
      <c r="CM85" t="str">
        <f t="shared" si="264"/>
        <v>Diff</v>
      </c>
    </row>
    <row r="86" spans="8:91">
      <c r="H86">
        <v>79</v>
      </c>
      <c r="I86">
        <v>5</v>
      </c>
      <c r="J86">
        <v>8</v>
      </c>
      <c r="K86">
        <v>11</v>
      </c>
      <c r="L86">
        <v>14</v>
      </c>
      <c r="M86">
        <v>17</v>
      </c>
      <c r="N86">
        <v>1</v>
      </c>
      <c r="O86">
        <v>2</v>
      </c>
      <c r="P86">
        <v>3</v>
      </c>
      <c r="Q86">
        <v>6</v>
      </c>
      <c r="R86">
        <v>9</v>
      </c>
      <c r="S86">
        <v>12</v>
      </c>
      <c r="T86">
        <v>15</v>
      </c>
      <c r="U86">
        <v>18</v>
      </c>
      <c r="V86">
        <v>19</v>
      </c>
      <c r="W86">
        <v>20</v>
      </c>
      <c r="X86">
        <v>4</v>
      </c>
      <c r="Y86">
        <v>7</v>
      </c>
      <c r="Z86">
        <v>10</v>
      </c>
      <c r="AA86">
        <v>13</v>
      </c>
      <c r="AB86">
        <v>16</v>
      </c>
      <c r="AD86">
        <f t="shared" ref="AD86:AH86" si="301">SUMIFS($I86:$AB86,$I$2:$AB$2,AD$7)</f>
        <v>22</v>
      </c>
      <c r="AE86">
        <f t="shared" si="301"/>
        <v>32</v>
      </c>
      <c r="AF86">
        <f t="shared" si="301"/>
        <v>42</v>
      </c>
      <c r="AG86">
        <f t="shared" si="301"/>
        <v>52</v>
      </c>
      <c r="AH86">
        <f t="shared" si="301"/>
        <v>62</v>
      </c>
      <c r="AI86">
        <f t="shared" si="223"/>
        <v>76</v>
      </c>
      <c r="AJ86">
        <f t="shared" si="223"/>
        <v>134</v>
      </c>
      <c r="AK86">
        <f t="shared" si="224"/>
        <v>71</v>
      </c>
      <c r="AL86">
        <f t="shared" si="224"/>
        <v>139</v>
      </c>
      <c r="AN86" s="67">
        <f t="shared" ref="AN86:AV86" si="302">((AD86-MIN($AD86:$AL86))/(MAX($AD86:$AL86)-MIN($AD86:$AL86)))</f>
        <v>0</v>
      </c>
      <c r="AO86" s="67">
        <f t="shared" si="302"/>
        <v>8.5470085470085472E-2</v>
      </c>
      <c r="AP86" s="67">
        <f t="shared" si="302"/>
        <v>0.17094017094017094</v>
      </c>
      <c r="AQ86" s="67">
        <f t="shared" si="302"/>
        <v>0.25641025641025639</v>
      </c>
      <c r="AR86" s="67">
        <f t="shared" si="302"/>
        <v>0.34188034188034189</v>
      </c>
      <c r="AS86" s="67">
        <f t="shared" si="302"/>
        <v>0.46153846153846156</v>
      </c>
      <c r="AT86" s="67">
        <f t="shared" si="302"/>
        <v>0.95726495726495731</v>
      </c>
      <c r="AU86" s="67">
        <f t="shared" si="302"/>
        <v>0.41880341880341881</v>
      </c>
      <c r="AV86" s="67">
        <f t="shared" si="302"/>
        <v>1</v>
      </c>
      <c r="AX86">
        <f t="shared" si="238"/>
        <v>0.34188034188034189</v>
      </c>
      <c r="AY86">
        <f t="shared" si="239"/>
        <v>0.49572649572649574</v>
      </c>
      <c r="AZ86">
        <f t="shared" si="240"/>
        <v>0.58119658119658113</v>
      </c>
      <c r="BB86">
        <f t="shared" ref="BB86:BD86" si="303">AX86/SUM($AX86:$AZ86)</f>
        <v>0.24096385542168677</v>
      </c>
      <c r="BC86">
        <f t="shared" si="303"/>
        <v>0.34939759036144585</v>
      </c>
      <c r="BD86">
        <f t="shared" si="303"/>
        <v>0.40963855421686746</v>
      </c>
      <c r="BF86" t="str">
        <f t="shared" si="242"/>
        <v>Sugar</v>
      </c>
      <c r="BG86" t="str">
        <f t="shared" si="243"/>
        <v>B</v>
      </c>
      <c r="BI86">
        <f t="shared" si="244"/>
        <v>3.5</v>
      </c>
      <c r="BJ86" t="str">
        <f t="shared" si="245"/>
        <v>Super Bowl</v>
      </c>
      <c r="BK86" t="str">
        <f t="shared" si="246"/>
        <v>B</v>
      </c>
      <c r="BS86">
        <f t="shared" si="247"/>
        <v>0.34188034188034189</v>
      </c>
      <c r="BT86">
        <f t="shared" si="248"/>
        <v>-0.49572649572649574</v>
      </c>
      <c r="BU86">
        <f t="shared" si="249"/>
        <v>0.58119658119658113</v>
      </c>
      <c r="BW86">
        <f t="shared" si="250"/>
        <v>-0.53986808224257044</v>
      </c>
      <c r="BX86">
        <f t="shared" si="251"/>
        <v>-1.0759766424209249</v>
      </c>
      <c r="BY86">
        <f t="shared" si="252"/>
        <v>1.2110841764521332</v>
      </c>
      <c r="CB86">
        <f t="shared" si="253"/>
        <v>0.14372078964114243</v>
      </c>
      <c r="CC86">
        <f t="shared" si="254"/>
        <v>2.9203312766305167</v>
      </c>
      <c r="CD86">
        <f t="shared" si="255"/>
        <v>2.5572384504100363</v>
      </c>
      <c r="CE86">
        <f t="shared" si="256"/>
        <v>2.2561333204494329</v>
      </c>
      <c r="CF86">
        <f t="shared" si="257"/>
        <v>0.14372078964114243</v>
      </c>
      <c r="CJ86" t="str">
        <f t="shared" si="258"/>
        <v>Cluster 1</v>
      </c>
      <c r="CK86" t="str">
        <f t="shared" si="259"/>
        <v>B Super Bowl</v>
      </c>
      <c r="CL86" t="str">
        <f t="shared" si="260"/>
        <v>Super Bowl B</v>
      </c>
      <c r="CM86" t="str">
        <f t="shared" si="264"/>
        <v>Diff</v>
      </c>
    </row>
    <row r="87" spans="8:91">
      <c r="H87">
        <v>80</v>
      </c>
      <c r="I87">
        <v>2</v>
      </c>
      <c r="J87">
        <v>6</v>
      </c>
      <c r="K87">
        <v>10</v>
      </c>
      <c r="L87">
        <v>14</v>
      </c>
      <c r="M87">
        <v>18</v>
      </c>
      <c r="N87">
        <v>4</v>
      </c>
      <c r="O87">
        <v>8</v>
      </c>
      <c r="P87">
        <v>12</v>
      </c>
      <c r="Q87">
        <v>16</v>
      </c>
      <c r="R87">
        <v>20</v>
      </c>
      <c r="S87">
        <v>2</v>
      </c>
      <c r="T87">
        <v>6</v>
      </c>
      <c r="U87">
        <v>10</v>
      </c>
      <c r="V87">
        <v>14</v>
      </c>
      <c r="W87">
        <v>18</v>
      </c>
      <c r="X87">
        <v>4</v>
      </c>
      <c r="Y87">
        <v>8</v>
      </c>
      <c r="Z87">
        <v>12</v>
      </c>
      <c r="AA87">
        <v>16</v>
      </c>
      <c r="AB87">
        <v>20</v>
      </c>
      <c r="AD87">
        <f t="shared" ref="AD87:AH87" si="304">SUMIFS($I87:$AB87,$I$2:$AB$2,AD$7)</f>
        <v>12</v>
      </c>
      <c r="AE87">
        <f t="shared" si="304"/>
        <v>28</v>
      </c>
      <c r="AF87">
        <f t="shared" si="304"/>
        <v>44</v>
      </c>
      <c r="AG87">
        <f t="shared" si="304"/>
        <v>60</v>
      </c>
      <c r="AH87">
        <f t="shared" si="304"/>
        <v>76</v>
      </c>
      <c r="AI87">
        <f t="shared" si="223"/>
        <v>110</v>
      </c>
      <c r="AJ87">
        <f t="shared" si="223"/>
        <v>110</v>
      </c>
      <c r="AK87">
        <f t="shared" si="224"/>
        <v>120</v>
      </c>
      <c r="AL87">
        <f t="shared" si="224"/>
        <v>100</v>
      </c>
      <c r="AN87" s="67">
        <f t="shared" ref="AN87:AV87" si="305">((AD87-MIN($AD87:$AL87))/(MAX($AD87:$AL87)-MIN($AD87:$AL87)))</f>
        <v>0</v>
      </c>
      <c r="AO87" s="67">
        <f t="shared" si="305"/>
        <v>0.14814814814814814</v>
      </c>
      <c r="AP87" s="67">
        <f t="shared" si="305"/>
        <v>0.29629629629629628</v>
      </c>
      <c r="AQ87" s="67">
        <f t="shared" si="305"/>
        <v>0.44444444444444442</v>
      </c>
      <c r="AR87" s="67">
        <f t="shared" si="305"/>
        <v>0.59259259259259256</v>
      </c>
      <c r="AS87" s="67">
        <f t="shared" si="305"/>
        <v>0.90740740740740744</v>
      </c>
      <c r="AT87" s="67">
        <f t="shared" si="305"/>
        <v>0.90740740740740744</v>
      </c>
      <c r="AU87" s="67">
        <f t="shared" si="305"/>
        <v>1</v>
      </c>
      <c r="AV87" s="67">
        <f t="shared" si="305"/>
        <v>0.81481481481481477</v>
      </c>
      <c r="AX87">
        <f t="shared" si="238"/>
        <v>0.59259259259259256</v>
      </c>
      <c r="AY87">
        <f t="shared" si="239"/>
        <v>0</v>
      </c>
      <c r="AZ87">
        <f t="shared" si="240"/>
        <v>0.18518518518518523</v>
      </c>
      <c r="BB87">
        <f t="shared" ref="BB87:BD87" si="306">AX87/SUM($AX87:$AZ87)</f>
        <v>0.76190476190476186</v>
      </c>
      <c r="BC87">
        <f t="shared" si="306"/>
        <v>0</v>
      </c>
      <c r="BD87">
        <f t="shared" si="306"/>
        <v>0.23809523809523814</v>
      </c>
      <c r="BF87" t="str">
        <f t="shared" si="242"/>
        <v>Price</v>
      </c>
      <c r="BG87">
        <f t="shared" si="243"/>
        <v>3.5</v>
      </c>
      <c r="BI87">
        <f t="shared" si="244"/>
        <v>3.5</v>
      </c>
      <c r="BJ87" t="str">
        <f t="shared" si="245"/>
        <v>Super Bowl</v>
      </c>
      <c r="BK87" t="str">
        <f t="shared" si="246"/>
        <v>A</v>
      </c>
      <c r="BS87">
        <f t="shared" si="247"/>
        <v>0.59259259259259256</v>
      </c>
      <c r="BT87">
        <f t="shared" si="248"/>
        <v>0</v>
      </c>
      <c r="BU87">
        <f t="shared" si="249"/>
        <v>-0.18518518518518523</v>
      </c>
      <c r="BW87">
        <f t="shared" si="250"/>
        <v>1.6686715688084861</v>
      </c>
      <c r="BX87">
        <f t="shared" si="251"/>
        <v>7.9612581596666537E-3</v>
      </c>
      <c r="BY87">
        <f t="shared" si="252"/>
        <v>-0.40806399101735069</v>
      </c>
      <c r="CB87">
        <f t="shared" si="253"/>
        <v>2.9723470098384843</v>
      </c>
      <c r="CC87">
        <f t="shared" si="254"/>
        <v>0.49383391243091967</v>
      </c>
      <c r="CD87">
        <f t="shared" si="255"/>
        <v>2.394594729674886</v>
      </c>
      <c r="CE87">
        <f t="shared" si="256"/>
        <v>2.5292396308076586</v>
      </c>
      <c r="CF87">
        <f t="shared" si="257"/>
        <v>0.49383391243091967</v>
      </c>
      <c r="CJ87" t="str">
        <f t="shared" si="258"/>
        <v>Cluster 2</v>
      </c>
      <c r="CK87" t="str">
        <f t="shared" si="259"/>
        <v>Price Only</v>
      </c>
      <c r="CL87" t="str">
        <f t="shared" si="260"/>
        <v>Price Only</v>
      </c>
      <c r="CM87" t="str">
        <f t="shared" si="264"/>
        <v/>
      </c>
    </row>
    <row r="88" spans="8:91">
      <c r="H88">
        <v>81</v>
      </c>
      <c r="I88">
        <v>4</v>
      </c>
      <c r="J88">
        <v>7</v>
      </c>
      <c r="K88">
        <v>10</v>
      </c>
      <c r="L88">
        <v>13</v>
      </c>
      <c r="M88">
        <v>16</v>
      </c>
      <c r="N88">
        <v>1</v>
      </c>
      <c r="O88">
        <v>2</v>
      </c>
      <c r="P88">
        <v>4</v>
      </c>
      <c r="Q88">
        <v>7</v>
      </c>
      <c r="R88">
        <v>10</v>
      </c>
      <c r="S88">
        <v>12</v>
      </c>
      <c r="T88">
        <v>15</v>
      </c>
      <c r="U88">
        <v>18</v>
      </c>
      <c r="V88">
        <v>19</v>
      </c>
      <c r="W88">
        <v>20</v>
      </c>
      <c r="X88">
        <v>5</v>
      </c>
      <c r="Y88">
        <v>8</v>
      </c>
      <c r="Z88">
        <v>12</v>
      </c>
      <c r="AA88">
        <v>15</v>
      </c>
      <c r="AB88">
        <v>18</v>
      </c>
      <c r="AD88">
        <f t="shared" ref="AD88:AH88" si="307">SUMIFS($I88:$AB88,$I$2:$AB$2,AD$7)</f>
        <v>22</v>
      </c>
      <c r="AE88">
        <f t="shared" si="307"/>
        <v>32</v>
      </c>
      <c r="AF88">
        <f t="shared" si="307"/>
        <v>44</v>
      </c>
      <c r="AG88">
        <f t="shared" si="307"/>
        <v>54</v>
      </c>
      <c r="AH88">
        <f t="shared" si="307"/>
        <v>64</v>
      </c>
      <c r="AI88">
        <f t="shared" ref="AI88:AJ107" si="308">SUMIFS($I88:$AB88,$I$3:$AB$3,AI$7)</f>
        <v>74</v>
      </c>
      <c r="AJ88">
        <f t="shared" si="308"/>
        <v>142</v>
      </c>
      <c r="AK88">
        <f t="shared" ref="AK88:AL107" si="309">SUMIFS($I88:$AB88,$I$4:$AB$4,AK$7)</f>
        <v>82</v>
      </c>
      <c r="AL88">
        <f t="shared" si="309"/>
        <v>134</v>
      </c>
      <c r="AN88" s="67">
        <f t="shared" ref="AN88:AV88" si="310">((AD88-MIN($AD88:$AL88))/(MAX($AD88:$AL88)-MIN($AD88:$AL88)))</f>
        <v>0</v>
      </c>
      <c r="AO88" s="67">
        <f t="shared" si="310"/>
        <v>8.3333333333333329E-2</v>
      </c>
      <c r="AP88" s="67">
        <f t="shared" si="310"/>
        <v>0.18333333333333332</v>
      </c>
      <c r="AQ88" s="67">
        <f t="shared" si="310"/>
        <v>0.26666666666666666</v>
      </c>
      <c r="AR88" s="67">
        <f t="shared" si="310"/>
        <v>0.35</v>
      </c>
      <c r="AS88" s="67">
        <f t="shared" si="310"/>
        <v>0.43333333333333335</v>
      </c>
      <c r="AT88" s="67">
        <f t="shared" si="310"/>
        <v>1</v>
      </c>
      <c r="AU88" s="67">
        <f t="shared" si="310"/>
        <v>0.5</v>
      </c>
      <c r="AV88" s="67">
        <f t="shared" si="310"/>
        <v>0.93333333333333335</v>
      </c>
      <c r="AX88">
        <f t="shared" si="238"/>
        <v>0.35</v>
      </c>
      <c r="AY88">
        <f t="shared" si="239"/>
        <v>0.56666666666666665</v>
      </c>
      <c r="AZ88">
        <f t="shared" si="240"/>
        <v>0.43333333333333335</v>
      </c>
      <c r="BB88">
        <f t="shared" ref="BB88:BD88" si="311">AX88/SUM($AX88:$AZ88)</f>
        <v>0.25925925925925924</v>
      </c>
      <c r="BC88">
        <f t="shared" si="311"/>
        <v>0.41975308641975306</v>
      </c>
      <c r="BD88">
        <f t="shared" si="311"/>
        <v>0.32098765432098764</v>
      </c>
      <c r="BF88" t="str">
        <f t="shared" si="242"/>
        <v xml:space="preserve">Brand </v>
      </c>
      <c r="BG88" t="str">
        <f t="shared" si="243"/>
        <v>Super Bowl</v>
      </c>
      <c r="BI88">
        <f t="shared" si="244"/>
        <v>3.5</v>
      </c>
      <c r="BJ88" t="str">
        <f t="shared" si="245"/>
        <v>Super Bowl</v>
      </c>
      <c r="BK88" t="str">
        <f t="shared" si="246"/>
        <v>B</v>
      </c>
      <c r="BS88">
        <f t="shared" si="247"/>
        <v>0.35</v>
      </c>
      <c r="BT88">
        <f t="shared" si="248"/>
        <v>-0.56666666666666665</v>
      </c>
      <c r="BU88">
        <f t="shared" si="249"/>
        <v>0.43333333333333335</v>
      </c>
      <c r="BW88">
        <f t="shared" si="250"/>
        <v>-0.46834151399830348</v>
      </c>
      <c r="BX88">
        <f t="shared" si="251"/>
        <v>-1.2310918937109061</v>
      </c>
      <c r="BY88">
        <f t="shared" si="252"/>
        <v>0.89869090547939667</v>
      </c>
      <c r="CB88">
        <f t="shared" si="253"/>
        <v>0.26913610844955216</v>
      </c>
      <c r="CC88">
        <f t="shared" si="254"/>
        <v>2.8245222624993045</v>
      </c>
      <c r="CD88">
        <f t="shared" si="255"/>
        <v>2.5461503877797647</v>
      </c>
      <c r="CE88">
        <f t="shared" si="256"/>
        <v>1.9418498227261691</v>
      </c>
      <c r="CF88">
        <f t="shared" si="257"/>
        <v>0.26913610844955216</v>
      </c>
      <c r="CJ88" t="str">
        <f t="shared" si="258"/>
        <v>Cluster 1</v>
      </c>
      <c r="CK88" t="str">
        <f t="shared" si="259"/>
        <v>B Super Bowl</v>
      </c>
      <c r="CL88" t="str">
        <f t="shared" si="260"/>
        <v>Super Bowl B</v>
      </c>
      <c r="CM88" t="str">
        <f t="shared" si="264"/>
        <v>Diff</v>
      </c>
    </row>
    <row r="89" spans="8:91">
      <c r="H89">
        <v>82</v>
      </c>
      <c r="I89">
        <v>5</v>
      </c>
      <c r="J89">
        <v>8</v>
      </c>
      <c r="K89">
        <v>12</v>
      </c>
      <c r="L89">
        <v>15</v>
      </c>
      <c r="M89">
        <v>18</v>
      </c>
      <c r="N89">
        <v>1</v>
      </c>
      <c r="O89">
        <v>2</v>
      </c>
      <c r="P89">
        <v>4</v>
      </c>
      <c r="Q89">
        <v>7</v>
      </c>
      <c r="R89">
        <v>10</v>
      </c>
      <c r="S89">
        <v>11</v>
      </c>
      <c r="T89">
        <v>14</v>
      </c>
      <c r="U89">
        <v>17</v>
      </c>
      <c r="V89">
        <v>19</v>
      </c>
      <c r="W89">
        <v>20</v>
      </c>
      <c r="X89">
        <v>3</v>
      </c>
      <c r="Y89">
        <v>6</v>
      </c>
      <c r="Z89">
        <v>9</v>
      </c>
      <c r="AA89">
        <v>13</v>
      </c>
      <c r="AB89">
        <v>16</v>
      </c>
      <c r="AD89">
        <f t="shared" ref="AD89:AH89" si="312">SUMIFS($I89:$AB89,$I$2:$AB$2,AD$7)</f>
        <v>20</v>
      </c>
      <c r="AE89">
        <f t="shared" si="312"/>
        <v>30</v>
      </c>
      <c r="AF89">
        <f t="shared" si="312"/>
        <v>42</v>
      </c>
      <c r="AG89">
        <f t="shared" si="312"/>
        <v>54</v>
      </c>
      <c r="AH89">
        <f t="shared" si="312"/>
        <v>64</v>
      </c>
      <c r="AI89">
        <f t="shared" si="308"/>
        <v>82</v>
      </c>
      <c r="AJ89">
        <f t="shared" si="308"/>
        <v>128</v>
      </c>
      <c r="AK89">
        <f t="shared" si="309"/>
        <v>71</v>
      </c>
      <c r="AL89">
        <f t="shared" si="309"/>
        <v>139</v>
      </c>
      <c r="AN89" s="67">
        <f t="shared" ref="AN89:AV89" si="313">((AD89-MIN($AD89:$AL89))/(MAX($AD89:$AL89)-MIN($AD89:$AL89)))</f>
        <v>0</v>
      </c>
      <c r="AO89" s="67">
        <f t="shared" si="313"/>
        <v>8.4033613445378158E-2</v>
      </c>
      <c r="AP89" s="67">
        <f t="shared" si="313"/>
        <v>0.18487394957983194</v>
      </c>
      <c r="AQ89" s="67">
        <f t="shared" si="313"/>
        <v>0.2857142857142857</v>
      </c>
      <c r="AR89" s="67">
        <f t="shared" si="313"/>
        <v>0.36974789915966388</v>
      </c>
      <c r="AS89" s="67">
        <f t="shared" si="313"/>
        <v>0.52100840336134457</v>
      </c>
      <c r="AT89" s="67">
        <f t="shared" si="313"/>
        <v>0.90756302521008403</v>
      </c>
      <c r="AU89" s="67">
        <f t="shared" si="313"/>
        <v>0.42857142857142855</v>
      </c>
      <c r="AV89" s="67">
        <f t="shared" si="313"/>
        <v>1</v>
      </c>
      <c r="AX89">
        <f t="shared" si="238"/>
        <v>0.36974789915966388</v>
      </c>
      <c r="AY89">
        <f t="shared" si="239"/>
        <v>0.38655462184873945</v>
      </c>
      <c r="AZ89">
        <f t="shared" si="240"/>
        <v>0.5714285714285714</v>
      </c>
      <c r="BB89">
        <f t="shared" ref="BB89:BD89" si="314">AX89/SUM($AX89:$AZ89)</f>
        <v>0.27848101265822789</v>
      </c>
      <c r="BC89">
        <f t="shared" si="314"/>
        <v>0.29113924050632911</v>
      </c>
      <c r="BD89">
        <f t="shared" si="314"/>
        <v>0.43037974683544306</v>
      </c>
      <c r="BF89" t="str">
        <f t="shared" si="242"/>
        <v>Sugar</v>
      </c>
      <c r="BG89" t="str">
        <f t="shared" si="243"/>
        <v>B</v>
      </c>
      <c r="BI89">
        <f t="shared" si="244"/>
        <v>3.5</v>
      </c>
      <c r="BJ89" t="str">
        <f t="shared" si="245"/>
        <v>Super Bowl</v>
      </c>
      <c r="BK89" t="str">
        <f t="shared" si="246"/>
        <v>B</v>
      </c>
      <c r="BS89">
        <f t="shared" si="247"/>
        <v>0.36974789915966388</v>
      </c>
      <c r="BT89">
        <f t="shared" si="248"/>
        <v>-0.38655462184873945</v>
      </c>
      <c r="BU89">
        <f t="shared" si="249"/>
        <v>0.5714285714285714</v>
      </c>
      <c r="BW89">
        <f t="shared" si="250"/>
        <v>-0.29438105456653607</v>
      </c>
      <c r="BX89">
        <f t="shared" si="251"/>
        <v>-0.83726531108471813</v>
      </c>
      <c r="BY89">
        <f t="shared" si="252"/>
        <v>1.190447131301168</v>
      </c>
      <c r="CB89">
        <f t="shared" si="253"/>
        <v>0.45039295009274533</v>
      </c>
      <c r="CC89">
        <f t="shared" si="254"/>
        <v>2.6144232029826449</v>
      </c>
      <c r="CD89">
        <f t="shared" si="255"/>
        <v>2.3495882066906972</v>
      </c>
      <c r="CE89">
        <f t="shared" si="256"/>
        <v>2.2648089131891211</v>
      </c>
      <c r="CF89">
        <f t="shared" si="257"/>
        <v>0.45039295009274533</v>
      </c>
      <c r="CJ89" t="str">
        <f t="shared" si="258"/>
        <v>Cluster 1</v>
      </c>
      <c r="CK89" t="str">
        <f t="shared" si="259"/>
        <v>B Super Bowl</v>
      </c>
      <c r="CL89" t="str">
        <f t="shared" si="260"/>
        <v>Super Bowl B</v>
      </c>
      <c r="CM89" t="str">
        <f t="shared" si="264"/>
        <v>Diff</v>
      </c>
    </row>
    <row r="90" spans="8:91">
      <c r="H90">
        <v>83</v>
      </c>
      <c r="I90">
        <v>5</v>
      </c>
      <c r="J90">
        <v>8</v>
      </c>
      <c r="K90">
        <v>12</v>
      </c>
      <c r="L90">
        <v>15</v>
      </c>
      <c r="M90">
        <v>18</v>
      </c>
      <c r="N90">
        <v>10</v>
      </c>
      <c r="O90">
        <v>14</v>
      </c>
      <c r="P90">
        <v>17</v>
      </c>
      <c r="Q90">
        <v>19</v>
      </c>
      <c r="R90">
        <v>20</v>
      </c>
      <c r="S90">
        <v>1</v>
      </c>
      <c r="T90">
        <v>2</v>
      </c>
      <c r="U90">
        <v>5</v>
      </c>
      <c r="V90">
        <v>8</v>
      </c>
      <c r="W90">
        <v>12</v>
      </c>
      <c r="X90">
        <v>3</v>
      </c>
      <c r="Y90">
        <v>6</v>
      </c>
      <c r="Z90">
        <v>10</v>
      </c>
      <c r="AA90">
        <v>14</v>
      </c>
      <c r="AB90">
        <v>17</v>
      </c>
      <c r="AD90">
        <f t="shared" ref="AD90:AH90" si="315">SUMIFS($I90:$AB90,$I$2:$AB$2,AD$7)</f>
        <v>19</v>
      </c>
      <c r="AE90">
        <f t="shared" si="315"/>
        <v>30</v>
      </c>
      <c r="AF90">
        <f t="shared" si="315"/>
        <v>44</v>
      </c>
      <c r="AG90">
        <f t="shared" si="315"/>
        <v>56</v>
      </c>
      <c r="AH90">
        <f t="shared" si="315"/>
        <v>67</v>
      </c>
      <c r="AI90">
        <f t="shared" si="308"/>
        <v>138</v>
      </c>
      <c r="AJ90">
        <f t="shared" si="308"/>
        <v>78</v>
      </c>
      <c r="AK90">
        <f t="shared" si="309"/>
        <v>130</v>
      </c>
      <c r="AL90">
        <f t="shared" si="309"/>
        <v>86</v>
      </c>
      <c r="AN90" s="67">
        <f t="shared" ref="AN90:AV90" si="316">((AD90-MIN($AD90:$AL90))/(MAX($AD90:$AL90)-MIN($AD90:$AL90)))</f>
        <v>0</v>
      </c>
      <c r="AO90" s="67">
        <f t="shared" si="316"/>
        <v>9.2436974789915971E-2</v>
      </c>
      <c r="AP90" s="67">
        <f t="shared" si="316"/>
        <v>0.21008403361344538</v>
      </c>
      <c r="AQ90" s="67">
        <f t="shared" si="316"/>
        <v>0.31092436974789917</v>
      </c>
      <c r="AR90" s="67">
        <f t="shared" si="316"/>
        <v>0.40336134453781514</v>
      </c>
      <c r="AS90" s="67">
        <f t="shared" si="316"/>
        <v>1</v>
      </c>
      <c r="AT90" s="67">
        <f t="shared" si="316"/>
        <v>0.49579831932773111</v>
      </c>
      <c r="AU90" s="67">
        <f t="shared" si="316"/>
        <v>0.9327731092436975</v>
      </c>
      <c r="AV90" s="67">
        <f t="shared" si="316"/>
        <v>0.56302521008403361</v>
      </c>
      <c r="AX90">
        <f t="shared" si="238"/>
        <v>0.40336134453781514</v>
      </c>
      <c r="AY90">
        <f t="shared" si="239"/>
        <v>0.50420168067226889</v>
      </c>
      <c r="AZ90">
        <f t="shared" si="240"/>
        <v>0.36974789915966388</v>
      </c>
      <c r="BB90">
        <f t="shared" ref="BB90:BD90" si="317">AX90/SUM($AX90:$AZ90)</f>
        <v>0.31578947368421056</v>
      </c>
      <c r="BC90">
        <f t="shared" si="317"/>
        <v>0.39473684210526316</v>
      </c>
      <c r="BD90">
        <f t="shared" si="317"/>
        <v>0.28947368421052633</v>
      </c>
      <c r="BF90" t="str">
        <f t="shared" si="242"/>
        <v xml:space="preserve">Brand </v>
      </c>
      <c r="BG90" t="str">
        <f t="shared" si="243"/>
        <v>Tennis</v>
      </c>
      <c r="BI90">
        <f t="shared" si="244"/>
        <v>3.5</v>
      </c>
      <c r="BJ90" t="str">
        <f t="shared" si="245"/>
        <v>Tennis</v>
      </c>
      <c r="BK90" t="str">
        <f t="shared" si="246"/>
        <v>A</v>
      </c>
      <c r="BS90">
        <f t="shared" si="247"/>
        <v>0.40336134453781514</v>
      </c>
      <c r="BT90">
        <f t="shared" si="248"/>
        <v>0.50420168067226889</v>
      </c>
      <c r="BU90">
        <f t="shared" si="249"/>
        <v>-0.36974789915966388</v>
      </c>
      <c r="BW90">
        <f t="shared" si="250"/>
        <v>1.72185510455666E-3</v>
      </c>
      <c r="BX90">
        <f t="shared" si="251"/>
        <v>1.1104306963045163</v>
      </c>
      <c r="BY90">
        <f t="shared" si="252"/>
        <v>-0.79799286618595677</v>
      </c>
      <c r="CB90">
        <f t="shared" si="253"/>
        <v>3.0161072703816001</v>
      </c>
      <c r="CC90">
        <f t="shared" si="254"/>
        <v>2.1698793901563902</v>
      </c>
      <c r="CD90">
        <f t="shared" si="255"/>
        <v>0.79832679229566283</v>
      </c>
      <c r="CE90">
        <f t="shared" si="256"/>
        <v>2.3436276634530087</v>
      </c>
      <c r="CF90">
        <f t="shared" si="257"/>
        <v>0.79832679229566283</v>
      </c>
      <c r="CJ90" t="str">
        <f t="shared" si="258"/>
        <v>Cluster 3</v>
      </c>
      <c r="CK90" t="str">
        <f t="shared" si="259"/>
        <v>Tennis Only</v>
      </c>
      <c r="CL90" t="str">
        <f t="shared" si="260"/>
        <v>Tennis A</v>
      </c>
      <c r="CM90" t="str">
        <f t="shared" si="264"/>
        <v>Diff</v>
      </c>
    </row>
    <row r="91" spans="8:91">
      <c r="H91">
        <v>84</v>
      </c>
      <c r="I91">
        <v>1</v>
      </c>
      <c r="J91">
        <v>2</v>
      </c>
      <c r="K91">
        <v>3</v>
      </c>
      <c r="L91">
        <v>6</v>
      </c>
      <c r="M91">
        <v>9</v>
      </c>
      <c r="N91">
        <v>5</v>
      </c>
      <c r="O91">
        <v>8</v>
      </c>
      <c r="P91">
        <v>11</v>
      </c>
      <c r="Q91">
        <v>14</v>
      </c>
      <c r="R91">
        <v>17</v>
      </c>
      <c r="S91">
        <v>4</v>
      </c>
      <c r="T91">
        <v>7</v>
      </c>
      <c r="U91">
        <v>10</v>
      </c>
      <c r="V91">
        <v>13</v>
      </c>
      <c r="W91">
        <v>16</v>
      </c>
      <c r="X91">
        <v>12</v>
      </c>
      <c r="Y91">
        <v>15</v>
      </c>
      <c r="Z91">
        <v>18</v>
      </c>
      <c r="AA91">
        <v>19</v>
      </c>
      <c r="AB91">
        <v>20</v>
      </c>
      <c r="AD91">
        <f t="shared" ref="AD91:AH91" si="318">SUMIFS($I91:$AB91,$I$2:$AB$2,AD$7)</f>
        <v>22</v>
      </c>
      <c r="AE91">
        <f t="shared" si="318"/>
        <v>32</v>
      </c>
      <c r="AF91">
        <f t="shared" si="318"/>
        <v>42</v>
      </c>
      <c r="AG91">
        <f t="shared" si="318"/>
        <v>52</v>
      </c>
      <c r="AH91">
        <f t="shared" si="318"/>
        <v>62</v>
      </c>
      <c r="AI91">
        <f t="shared" si="308"/>
        <v>76</v>
      </c>
      <c r="AJ91">
        <f t="shared" si="308"/>
        <v>134</v>
      </c>
      <c r="AK91">
        <f t="shared" si="309"/>
        <v>139</v>
      </c>
      <c r="AL91">
        <f t="shared" si="309"/>
        <v>71</v>
      </c>
      <c r="AN91" s="67">
        <f t="shared" ref="AN91:AV91" si="319">((AD91-MIN($AD91:$AL91))/(MAX($AD91:$AL91)-MIN($AD91:$AL91)))</f>
        <v>0</v>
      </c>
      <c r="AO91" s="67">
        <f t="shared" si="319"/>
        <v>8.5470085470085472E-2</v>
      </c>
      <c r="AP91" s="67">
        <f t="shared" si="319"/>
        <v>0.17094017094017094</v>
      </c>
      <c r="AQ91" s="67">
        <f t="shared" si="319"/>
        <v>0.25641025641025639</v>
      </c>
      <c r="AR91" s="67">
        <f t="shared" si="319"/>
        <v>0.34188034188034189</v>
      </c>
      <c r="AS91" s="67">
        <f t="shared" si="319"/>
        <v>0.46153846153846156</v>
      </c>
      <c r="AT91" s="67">
        <f t="shared" si="319"/>
        <v>0.95726495726495731</v>
      </c>
      <c r="AU91" s="67">
        <f t="shared" si="319"/>
        <v>1</v>
      </c>
      <c r="AV91" s="67">
        <f t="shared" si="319"/>
        <v>0.41880341880341881</v>
      </c>
      <c r="AX91">
        <f t="shared" si="238"/>
        <v>0.34188034188034189</v>
      </c>
      <c r="AY91">
        <f t="shared" si="239"/>
        <v>0.49572649572649574</v>
      </c>
      <c r="AZ91">
        <f t="shared" si="240"/>
        <v>0.58119658119658113</v>
      </c>
      <c r="BB91">
        <f t="shared" ref="BB91:BD91" si="320">AX91/SUM($AX91:$AZ91)</f>
        <v>0.24096385542168677</v>
      </c>
      <c r="BC91">
        <f t="shared" si="320"/>
        <v>0.34939759036144585</v>
      </c>
      <c r="BD91">
        <f t="shared" si="320"/>
        <v>0.40963855421686746</v>
      </c>
      <c r="BF91" t="str">
        <f t="shared" si="242"/>
        <v>Sugar</v>
      </c>
      <c r="BG91" t="str">
        <f t="shared" si="243"/>
        <v>A</v>
      </c>
      <c r="BI91">
        <f t="shared" si="244"/>
        <v>3.5</v>
      </c>
      <c r="BJ91" t="str">
        <f t="shared" si="245"/>
        <v>Super Bowl</v>
      </c>
      <c r="BK91" t="str">
        <f t="shared" si="246"/>
        <v>A</v>
      </c>
      <c r="BS91">
        <f t="shared" si="247"/>
        <v>0.34188034188034189</v>
      </c>
      <c r="BT91">
        <f t="shared" si="248"/>
        <v>-0.49572649572649574</v>
      </c>
      <c r="BU91">
        <f t="shared" si="249"/>
        <v>-0.58119658119658113</v>
      </c>
      <c r="BW91">
        <f t="shared" si="250"/>
        <v>-0.53986808224257044</v>
      </c>
      <c r="BX91">
        <f t="shared" si="251"/>
        <v>-1.0759766424209249</v>
      </c>
      <c r="BY91">
        <f t="shared" si="252"/>
        <v>-1.2447241965127345</v>
      </c>
      <c r="CB91">
        <f t="shared" si="253"/>
        <v>2.3551506904715747</v>
      </c>
      <c r="CC91">
        <f t="shared" si="254"/>
        <v>2.9540165685047981</v>
      </c>
      <c r="CD91">
        <f t="shared" si="255"/>
        <v>2.4371732000694042</v>
      </c>
      <c r="CE91">
        <f t="shared" si="256"/>
        <v>0.23211873975450495</v>
      </c>
      <c r="CF91">
        <f t="shared" si="257"/>
        <v>0.23211873975450495</v>
      </c>
      <c r="CJ91" t="str">
        <f t="shared" si="258"/>
        <v>Cluster 4</v>
      </c>
      <c r="CK91" t="str">
        <f t="shared" si="259"/>
        <v>A Super Bowl</v>
      </c>
      <c r="CL91" t="str">
        <f t="shared" si="260"/>
        <v>Super Bowl A</v>
      </c>
      <c r="CM91" t="str">
        <f t="shared" si="264"/>
        <v>Diff</v>
      </c>
    </row>
    <row r="92" spans="8:91">
      <c r="H92">
        <v>85</v>
      </c>
      <c r="I92">
        <v>1</v>
      </c>
      <c r="J92">
        <v>2</v>
      </c>
      <c r="K92">
        <v>3</v>
      </c>
      <c r="L92">
        <v>5</v>
      </c>
      <c r="M92">
        <v>8</v>
      </c>
      <c r="N92">
        <v>4</v>
      </c>
      <c r="O92">
        <v>7</v>
      </c>
      <c r="P92">
        <v>10</v>
      </c>
      <c r="Q92">
        <v>12</v>
      </c>
      <c r="R92">
        <v>15</v>
      </c>
      <c r="S92">
        <v>6</v>
      </c>
      <c r="T92">
        <v>9</v>
      </c>
      <c r="U92">
        <v>11</v>
      </c>
      <c r="V92">
        <v>14</v>
      </c>
      <c r="W92">
        <v>17</v>
      </c>
      <c r="X92">
        <v>13</v>
      </c>
      <c r="Y92">
        <v>16</v>
      </c>
      <c r="Z92">
        <v>18</v>
      </c>
      <c r="AA92">
        <v>19</v>
      </c>
      <c r="AB92">
        <v>20</v>
      </c>
      <c r="AD92">
        <f t="shared" ref="AD92:AH92" si="321">SUMIFS($I92:$AB92,$I$2:$AB$2,AD$7)</f>
        <v>24</v>
      </c>
      <c r="AE92">
        <f t="shared" si="321"/>
        <v>34</v>
      </c>
      <c r="AF92">
        <f t="shared" si="321"/>
        <v>42</v>
      </c>
      <c r="AG92">
        <f t="shared" si="321"/>
        <v>50</v>
      </c>
      <c r="AH92">
        <f t="shared" si="321"/>
        <v>60</v>
      </c>
      <c r="AI92">
        <f t="shared" si="308"/>
        <v>67</v>
      </c>
      <c r="AJ92">
        <f t="shared" si="308"/>
        <v>143</v>
      </c>
      <c r="AK92">
        <f t="shared" si="309"/>
        <v>134</v>
      </c>
      <c r="AL92">
        <f t="shared" si="309"/>
        <v>76</v>
      </c>
      <c r="AN92" s="67">
        <f t="shared" ref="AN92:AV92" si="322">((AD92-MIN($AD92:$AL92))/(MAX($AD92:$AL92)-MIN($AD92:$AL92)))</f>
        <v>0</v>
      </c>
      <c r="AO92" s="67">
        <f t="shared" si="322"/>
        <v>8.4033613445378158E-2</v>
      </c>
      <c r="AP92" s="67">
        <f t="shared" si="322"/>
        <v>0.15126050420168066</v>
      </c>
      <c r="AQ92" s="67">
        <f t="shared" si="322"/>
        <v>0.21848739495798319</v>
      </c>
      <c r="AR92" s="67">
        <f t="shared" si="322"/>
        <v>0.30252100840336132</v>
      </c>
      <c r="AS92" s="67">
        <f t="shared" si="322"/>
        <v>0.36134453781512604</v>
      </c>
      <c r="AT92" s="67">
        <f t="shared" si="322"/>
        <v>1</v>
      </c>
      <c r="AU92" s="67">
        <f t="shared" si="322"/>
        <v>0.92436974789915971</v>
      </c>
      <c r="AV92" s="67">
        <f t="shared" si="322"/>
        <v>0.43697478991596639</v>
      </c>
      <c r="AX92">
        <f t="shared" si="238"/>
        <v>0.30252100840336132</v>
      </c>
      <c r="AY92">
        <f t="shared" si="239"/>
        <v>0.6386554621848739</v>
      </c>
      <c r="AZ92">
        <f t="shared" si="240"/>
        <v>0.48739495798319332</v>
      </c>
      <c r="BB92">
        <f t="shared" ref="BB92:BD92" si="323">AX92/SUM($AX92:$AZ92)</f>
        <v>0.21176470588235291</v>
      </c>
      <c r="BC92">
        <f t="shared" si="323"/>
        <v>0.44705882352941173</v>
      </c>
      <c r="BD92">
        <f t="shared" si="323"/>
        <v>0.3411764705882353</v>
      </c>
      <c r="BF92" t="str">
        <f t="shared" si="242"/>
        <v xml:space="preserve">Brand </v>
      </c>
      <c r="BG92" t="str">
        <f t="shared" si="243"/>
        <v>Super Bowl</v>
      </c>
      <c r="BI92">
        <f t="shared" si="244"/>
        <v>3.5</v>
      </c>
      <c r="BJ92" t="str">
        <f t="shared" si="245"/>
        <v>Super Bowl</v>
      </c>
      <c r="BK92" t="str">
        <f t="shared" si="246"/>
        <v>A</v>
      </c>
      <c r="BS92">
        <f t="shared" si="247"/>
        <v>0.30252100840336132</v>
      </c>
      <c r="BT92">
        <f t="shared" si="248"/>
        <v>-0.6386554621848739</v>
      </c>
      <c r="BU92">
        <f t="shared" si="249"/>
        <v>-0.48739495798319332</v>
      </c>
      <c r="BW92">
        <f t="shared" si="250"/>
        <v>-0.88658687390872204</v>
      </c>
      <c r="BX92">
        <f t="shared" si="251"/>
        <v>-1.3885000301571429</v>
      </c>
      <c r="BY92">
        <f t="shared" si="252"/>
        <v>-1.0465478658718474</v>
      </c>
      <c r="CB92">
        <f t="shared" si="253"/>
        <v>2.1857542507984165</v>
      </c>
      <c r="CC92">
        <f t="shared" si="254"/>
        <v>3.3023687071303409</v>
      </c>
      <c r="CD92">
        <f t="shared" si="255"/>
        <v>2.6792495411760742</v>
      </c>
      <c r="CE92">
        <f t="shared" si="256"/>
        <v>0.46354835573555969</v>
      </c>
      <c r="CF92">
        <f t="shared" si="257"/>
        <v>0.46354835573555969</v>
      </c>
      <c r="CJ92" t="str">
        <f t="shared" si="258"/>
        <v>Cluster 4</v>
      </c>
      <c r="CK92" t="str">
        <f t="shared" si="259"/>
        <v>A Super Bowl</v>
      </c>
      <c r="CL92" t="str">
        <f t="shared" si="260"/>
        <v>Super Bowl A</v>
      </c>
      <c r="CM92" t="str">
        <f t="shared" si="264"/>
        <v>Diff</v>
      </c>
    </row>
    <row r="93" spans="8:91">
      <c r="H93">
        <v>86</v>
      </c>
      <c r="I93">
        <v>2</v>
      </c>
      <c r="J93">
        <v>6</v>
      </c>
      <c r="K93">
        <v>10</v>
      </c>
      <c r="L93">
        <v>14</v>
      </c>
      <c r="M93">
        <v>18</v>
      </c>
      <c r="N93">
        <v>4</v>
      </c>
      <c r="O93">
        <v>8</v>
      </c>
      <c r="P93">
        <v>12</v>
      </c>
      <c r="Q93">
        <v>16</v>
      </c>
      <c r="R93">
        <v>20</v>
      </c>
      <c r="S93">
        <v>1</v>
      </c>
      <c r="T93">
        <v>5</v>
      </c>
      <c r="U93">
        <v>9</v>
      </c>
      <c r="V93">
        <v>13</v>
      </c>
      <c r="W93">
        <v>17</v>
      </c>
      <c r="X93">
        <v>3</v>
      </c>
      <c r="Y93">
        <v>7</v>
      </c>
      <c r="Z93">
        <v>11</v>
      </c>
      <c r="AA93">
        <v>15</v>
      </c>
      <c r="AB93">
        <v>19</v>
      </c>
      <c r="AD93">
        <f t="shared" ref="AD93:AH93" si="324">SUMIFS($I93:$AB93,$I$2:$AB$2,AD$7)</f>
        <v>10</v>
      </c>
      <c r="AE93">
        <f t="shared" si="324"/>
        <v>26</v>
      </c>
      <c r="AF93">
        <f t="shared" si="324"/>
        <v>42</v>
      </c>
      <c r="AG93">
        <f t="shared" si="324"/>
        <v>58</v>
      </c>
      <c r="AH93">
        <f t="shared" si="324"/>
        <v>74</v>
      </c>
      <c r="AI93">
        <f t="shared" si="308"/>
        <v>110</v>
      </c>
      <c r="AJ93">
        <f t="shared" si="308"/>
        <v>100</v>
      </c>
      <c r="AK93">
        <f t="shared" si="309"/>
        <v>115</v>
      </c>
      <c r="AL93">
        <f t="shared" si="309"/>
        <v>95</v>
      </c>
      <c r="AN93" s="67">
        <f t="shared" ref="AN93:AV93" si="325">((AD93-MIN($AD93:$AL93))/(MAX($AD93:$AL93)-MIN($AD93:$AL93)))</f>
        <v>0</v>
      </c>
      <c r="AO93" s="67">
        <f t="shared" si="325"/>
        <v>0.15238095238095239</v>
      </c>
      <c r="AP93" s="67">
        <f t="shared" si="325"/>
        <v>0.30476190476190479</v>
      </c>
      <c r="AQ93" s="67">
        <f t="shared" si="325"/>
        <v>0.45714285714285713</v>
      </c>
      <c r="AR93" s="67">
        <f t="shared" si="325"/>
        <v>0.60952380952380958</v>
      </c>
      <c r="AS93" s="67">
        <f t="shared" si="325"/>
        <v>0.95238095238095233</v>
      </c>
      <c r="AT93" s="67">
        <f t="shared" si="325"/>
        <v>0.8571428571428571</v>
      </c>
      <c r="AU93" s="67">
        <f t="shared" si="325"/>
        <v>1</v>
      </c>
      <c r="AV93" s="67">
        <f t="shared" si="325"/>
        <v>0.80952380952380953</v>
      </c>
      <c r="AX93">
        <f t="shared" si="238"/>
        <v>0.60952380952380958</v>
      </c>
      <c r="AY93">
        <f t="shared" si="239"/>
        <v>9.5238095238095233E-2</v>
      </c>
      <c r="AZ93">
        <f t="shared" si="240"/>
        <v>0.19047619047619047</v>
      </c>
      <c r="BB93">
        <f t="shared" ref="BB93:BD93" si="326">AX93/SUM($AX93:$AZ93)</f>
        <v>0.68085106382978722</v>
      </c>
      <c r="BC93">
        <f t="shared" si="326"/>
        <v>0.10638297872340424</v>
      </c>
      <c r="BD93">
        <f t="shared" si="326"/>
        <v>0.21276595744680848</v>
      </c>
      <c r="BF93" t="str">
        <f t="shared" si="242"/>
        <v>Price</v>
      </c>
      <c r="BG93">
        <f t="shared" si="243"/>
        <v>3.5</v>
      </c>
      <c r="BI93">
        <f t="shared" si="244"/>
        <v>3.5</v>
      </c>
      <c r="BJ93" t="str">
        <f t="shared" si="245"/>
        <v>Tennis</v>
      </c>
      <c r="BK93" t="str">
        <f t="shared" si="246"/>
        <v>A</v>
      </c>
      <c r="BS93">
        <f t="shared" si="247"/>
        <v>0.60952380952380958</v>
      </c>
      <c r="BT93">
        <f t="shared" si="248"/>
        <v>9.5238095238095233E-2</v>
      </c>
      <c r="BU93">
        <f t="shared" si="249"/>
        <v>-0.19047619047619047</v>
      </c>
      <c r="BW93">
        <f t="shared" si="250"/>
        <v>1.8178197010872597</v>
      </c>
      <c r="BX93">
        <f t="shared" si="251"/>
        <v>0.21620548536480494</v>
      </c>
      <c r="BY93">
        <f t="shared" si="252"/>
        <v>-0.41924239047412343</v>
      </c>
      <c r="CB93">
        <f t="shared" si="253"/>
        <v>3.1772906205731264</v>
      </c>
      <c r="CC93">
        <f t="shared" si="254"/>
        <v>0.44321989648948401</v>
      </c>
      <c r="CD93">
        <f t="shared" si="255"/>
        <v>2.4464388194392686</v>
      </c>
      <c r="CE93">
        <f t="shared" si="256"/>
        <v>2.7531198894776856</v>
      </c>
      <c r="CF93">
        <f t="shared" si="257"/>
        <v>0.44321989648948401</v>
      </c>
      <c r="CJ93" t="str">
        <f t="shared" si="258"/>
        <v>Cluster 2</v>
      </c>
      <c r="CK93" t="str">
        <f t="shared" si="259"/>
        <v>Price Only</v>
      </c>
      <c r="CL93" t="str">
        <f t="shared" si="260"/>
        <v>Price Only</v>
      </c>
      <c r="CM93" t="str">
        <f t="shared" si="264"/>
        <v/>
      </c>
    </row>
    <row r="94" spans="8:91">
      <c r="H94">
        <v>87</v>
      </c>
      <c r="I94">
        <v>1</v>
      </c>
      <c r="J94">
        <v>2</v>
      </c>
      <c r="K94">
        <v>3</v>
      </c>
      <c r="L94">
        <v>6</v>
      </c>
      <c r="M94">
        <v>9</v>
      </c>
      <c r="N94">
        <v>4</v>
      </c>
      <c r="O94">
        <v>7</v>
      </c>
      <c r="P94">
        <v>10</v>
      </c>
      <c r="Q94">
        <v>13</v>
      </c>
      <c r="R94">
        <v>16</v>
      </c>
      <c r="S94">
        <v>5</v>
      </c>
      <c r="T94">
        <v>8</v>
      </c>
      <c r="U94">
        <v>11</v>
      </c>
      <c r="V94">
        <v>14</v>
      </c>
      <c r="W94">
        <v>17</v>
      </c>
      <c r="X94">
        <v>12</v>
      </c>
      <c r="Y94">
        <v>15</v>
      </c>
      <c r="Z94">
        <v>18</v>
      </c>
      <c r="AA94">
        <v>19</v>
      </c>
      <c r="AB94">
        <v>20</v>
      </c>
      <c r="AD94">
        <f t="shared" ref="AD94:AH94" si="327">SUMIFS($I94:$AB94,$I$2:$AB$2,AD$7)</f>
        <v>22</v>
      </c>
      <c r="AE94">
        <f t="shared" si="327"/>
        <v>32</v>
      </c>
      <c r="AF94">
        <f t="shared" si="327"/>
        <v>42</v>
      </c>
      <c r="AG94">
        <f t="shared" si="327"/>
        <v>52</v>
      </c>
      <c r="AH94">
        <f t="shared" si="327"/>
        <v>62</v>
      </c>
      <c r="AI94">
        <f t="shared" si="308"/>
        <v>71</v>
      </c>
      <c r="AJ94">
        <f t="shared" si="308"/>
        <v>139</v>
      </c>
      <c r="AK94">
        <f t="shared" si="309"/>
        <v>134</v>
      </c>
      <c r="AL94">
        <f t="shared" si="309"/>
        <v>76</v>
      </c>
      <c r="AN94" s="67">
        <f t="shared" ref="AN94:AV94" si="328">((AD94-MIN($AD94:$AL94))/(MAX($AD94:$AL94)-MIN($AD94:$AL94)))</f>
        <v>0</v>
      </c>
      <c r="AO94" s="67">
        <f t="shared" si="328"/>
        <v>8.5470085470085472E-2</v>
      </c>
      <c r="AP94" s="67">
        <f t="shared" si="328"/>
        <v>0.17094017094017094</v>
      </c>
      <c r="AQ94" s="67">
        <f t="shared" si="328"/>
        <v>0.25641025641025639</v>
      </c>
      <c r="AR94" s="67">
        <f t="shared" si="328"/>
        <v>0.34188034188034189</v>
      </c>
      <c r="AS94" s="67">
        <f t="shared" si="328"/>
        <v>0.41880341880341881</v>
      </c>
      <c r="AT94" s="67">
        <f t="shared" si="328"/>
        <v>1</v>
      </c>
      <c r="AU94" s="67">
        <f t="shared" si="328"/>
        <v>0.95726495726495731</v>
      </c>
      <c r="AV94" s="67">
        <f t="shared" si="328"/>
        <v>0.46153846153846156</v>
      </c>
      <c r="AX94">
        <f t="shared" si="238"/>
        <v>0.34188034188034189</v>
      </c>
      <c r="AY94">
        <f t="shared" si="239"/>
        <v>0.58119658119658113</v>
      </c>
      <c r="AZ94">
        <f t="shared" si="240"/>
        <v>0.49572649572649574</v>
      </c>
      <c r="BB94">
        <f t="shared" ref="BB94:BD94" si="329">AX94/SUM($AX94:$AZ94)</f>
        <v>0.24096385542168677</v>
      </c>
      <c r="BC94">
        <f t="shared" si="329"/>
        <v>0.40963855421686746</v>
      </c>
      <c r="BD94">
        <f t="shared" si="329"/>
        <v>0.34939759036144585</v>
      </c>
      <c r="BF94" t="str">
        <f t="shared" si="242"/>
        <v xml:space="preserve">Brand </v>
      </c>
      <c r="BG94" t="str">
        <f t="shared" si="243"/>
        <v>Super Bowl</v>
      </c>
      <c r="BI94">
        <f t="shared" si="244"/>
        <v>3.5</v>
      </c>
      <c r="BJ94" t="str">
        <f t="shared" si="245"/>
        <v>Super Bowl</v>
      </c>
      <c r="BK94" t="str">
        <f t="shared" si="246"/>
        <v>A</v>
      </c>
      <c r="BS94">
        <f t="shared" si="247"/>
        <v>0.34188034188034189</v>
      </c>
      <c r="BT94">
        <f t="shared" si="248"/>
        <v>-0.58119658119658113</v>
      </c>
      <c r="BU94">
        <f t="shared" si="249"/>
        <v>-0.49572649572649574</v>
      </c>
      <c r="BW94">
        <f t="shared" si="250"/>
        <v>-0.53986808224257044</v>
      </c>
      <c r="BX94">
        <f t="shared" si="251"/>
        <v>-1.2628624873486129</v>
      </c>
      <c r="BY94">
        <f t="shared" si="252"/>
        <v>-1.0641500514417885</v>
      </c>
      <c r="CB94">
        <f t="shared" si="253"/>
        <v>2.1768936446029525</v>
      </c>
      <c r="CC94">
        <f t="shared" si="254"/>
        <v>2.9692877355381424</v>
      </c>
      <c r="CD94">
        <f t="shared" si="255"/>
        <v>2.5335833786877777</v>
      </c>
      <c r="CE94">
        <f t="shared" si="256"/>
        <v>0.11349575047265686</v>
      </c>
      <c r="CF94">
        <f t="shared" si="257"/>
        <v>0.11349575047265686</v>
      </c>
      <c r="CJ94" t="str">
        <f t="shared" si="258"/>
        <v>Cluster 4</v>
      </c>
      <c r="CK94" t="str">
        <f t="shared" si="259"/>
        <v>A Super Bowl</v>
      </c>
      <c r="CL94" t="str">
        <f t="shared" si="260"/>
        <v>Super Bowl A</v>
      </c>
      <c r="CM94" t="str">
        <f t="shared" si="264"/>
        <v>Diff</v>
      </c>
    </row>
    <row r="95" spans="8:91">
      <c r="H95">
        <v>88</v>
      </c>
      <c r="I95">
        <v>5</v>
      </c>
      <c r="J95">
        <v>8</v>
      </c>
      <c r="K95">
        <v>11</v>
      </c>
      <c r="L95">
        <v>14</v>
      </c>
      <c r="M95">
        <v>17</v>
      </c>
      <c r="N95">
        <v>1</v>
      </c>
      <c r="O95">
        <v>2</v>
      </c>
      <c r="P95">
        <v>3</v>
      </c>
      <c r="Q95">
        <v>6</v>
      </c>
      <c r="R95">
        <v>9</v>
      </c>
      <c r="S95">
        <v>12</v>
      </c>
      <c r="T95">
        <v>15</v>
      </c>
      <c r="U95">
        <v>18</v>
      </c>
      <c r="V95">
        <v>19</v>
      </c>
      <c r="W95">
        <v>20</v>
      </c>
      <c r="X95">
        <v>4</v>
      </c>
      <c r="Y95">
        <v>7</v>
      </c>
      <c r="Z95">
        <v>10</v>
      </c>
      <c r="AA95">
        <v>13</v>
      </c>
      <c r="AB95">
        <v>16</v>
      </c>
      <c r="AD95">
        <f t="shared" ref="AD95:AH95" si="330">SUMIFS($I95:$AB95,$I$2:$AB$2,AD$7)</f>
        <v>22</v>
      </c>
      <c r="AE95">
        <f t="shared" si="330"/>
        <v>32</v>
      </c>
      <c r="AF95">
        <f t="shared" si="330"/>
        <v>42</v>
      </c>
      <c r="AG95">
        <f t="shared" si="330"/>
        <v>52</v>
      </c>
      <c r="AH95">
        <f t="shared" si="330"/>
        <v>62</v>
      </c>
      <c r="AI95">
        <f t="shared" si="308"/>
        <v>76</v>
      </c>
      <c r="AJ95">
        <f t="shared" si="308"/>
        <v>134</v>
      </c>
      <c r="AK95">
        <f t="shared" si="309"/>
        <v>71</v>
      </c>
      <c r="AL95">
        <f t="shared" si="309"/>
        <v>139</v>
      </c>
      <c r="AN95" s="67">
        <f t="shared" ref="AN95:AV95" si="331">((AD95-MIN($AD95:$AL95))/(MAX($AD95:$AL95)-MIN($AD95:$AL95)))</f>
        <v>0</v>
      </c>
      <c r="AO95" s="67">
        <f t="shared" si="331"/>
        <v>8.5470085470085472E-2</v>
      </c>
      <c r="AP95" s="67">
        <f t="shared" si="331"/>
        <v>0.17094017094017094</v>
      </c>
      <c r="AQ95" s="67">
        <f t="shared" si="331"/>
        <v>0.25641025641025639</v>
      </c>
      <c r="AR95" s="67">
        <f t="shared" si="331"/>
        <v>0.34188034188034189</v>
      </c>
      <c r="AS95" s="67">
        <f t="shared" si="331"/>
        <v>0.46153846153846156</v>
      </c>
      <c r="AT95" s="67">
        <f t="shared" si="331"/>
        <v>0.95726495726495731</v>
      </c>
      <c r="AU95" s="67">
        <f t="shared" si="331"/>
        <v>0.41880341880341881</v>
      </c>
      <c r="AV95" s="67">
        <f t="shared" si="331"/>
        <v>1</v>
      </c>
      <c r="AX95">
        <f t="shared" si="238"/>
        <v>0.34188034188034189</v>
      </c>
      <c r="AY95">
        <f t="shared" si="239"/>
        <v>0.49572649572649574</v>
      </c>
      <c r="AZ95">
        <f t="shared" si="240"/>
        <v>0.58119658119658113</v>
      </c>
      <c r="BB95">
        <f t="shared" ref="BB95:BD95" si="332">AX95/SUM($AX95:$AZ95)</f>
        <v>0.24096385542168677</v>
      </c>
      <c r="BC95">
        <f t="shared" si="332"/>
        <v>0.34939759036144585</v>
      </c>
      <c r="BD95">
        <f t="shared" si="332"/>
        <v>0.40963855421686746</v>
      </c>
      <c r="BF95" t="str">
        <f t="shared" si="242"/>
        <v>Sugar</v>
      </c>
      <c r="BG95" t="str">
        <f t="shared" si="243"/>
        <v>B</v>
      </c>
      <c r="BI95">
        <f t="shared" si="244"/>
        <v>3.5</v>
      </c>
      <c r="BJ95" t="str">
        <f t="shared" si="245"/>
        <v>Super Bowl</v>
      </c>
      <c r="BK95" t="str">
        <f t="shared" si="246"/>
        <v>B</v>
      </c>
      <c r="BS95">
        <f t="shared" si="247"/>
        <v>0.34188034188034189</v>
      </c>
      <c r="BT95">
        <f t="shared" si="248"/>
        <v>-0.49572649572649574</v>
      </c>
      <c r="BU95">
        <f t="shared" si="249"/>
        <v>0.58119658119658113</v>
      </c>
      <c r="BW95">
        <f t="shared" si="250"/>
        <v>-0.53986808224257044</v>
      </c>
      <c r="BX95">
        <f t="shared" si="251"/>
        <v>-1.0759766424209249</v>
      </c>
      <c r="BY95">
        <f t="shared" si="252"/>
        <v>1.2110841764521332</v>
      </c>
      <c r="CB95">
        <f t="shared" si="253"/>
        <v>0.14372078964114243</v>
      </c>
      <c r="CC95">
        <f t="shared" si="254"/>
        <v>2.9203312766305167</v>
      </c>
      <c r="CD95">
        <f t="shared" si="255"/>
        <v>2.5572384504100363</v>
      </c>
      <c r="CE95">
        <f t="shared" si="256"/>
        <v>2.2561333204494329</v>
      </c>
      <c r="CF95">
        <f t="shared" si="257"/>
        <v>0.14372078964114243</v>
      </c>
      <c r="CJ95" t="str">
        <f t="shared" si="258"/>
        <v>Cluster 1</v>
      </c>
      <c r="CK95" t="str">
        <f t="shared" si="259"/>
        <v>B Super Bowl</v>
      </c>
      <c r="CL95" t="str">
        <f t="shared" si="260"/>
        <v>Super Bowl B</v>
      </c>
      <c r="CM95" t="str">
        <f t="shared" si="264"/>
        <v>Diff</v>
      </c>
    </row>
    <row r="96" spans="8:91">
      <c r="H96">
        <v>89</v>
      </c>
      <c r="I96">
        <v>4</v>
      </c>
      <c r="J96">
        <v>8</v>
      </c>
      <c r="K96">
        <v>12</v>
      </c>
      <c r="L96">
        <v>16</v>
      </c>
      <c r="M96">
        <v>20</v>
      </c>
      <c r="N96">
        <v>2</v>
      </c>
      <c r="O96">
        <v>6</v>
      </c>
      <c r="P96">
        <v>10</v>
      </c>
      <c r="Q96">
        <v>14</v>
      </c>
      <c r="R96">
        <v>18</v>
      </c>
      <c r="S96">
        <v>3</v>
      </c>
      <c r="T96">
        <v>7</v>
      </c>
      <c r="U96">
        <v>11</v>
      </c>
      <c r="V96">
        <v>15</v>
      </c>
      <c r="W96">
        <v>19</v>
      </c>
      <c r="X96">
        <v>1</v>
      </c>
      <c r="Y96">
        <v>5</v>
      </c>
      <c r="Z96">
        <v>9</v>
      </c>
      <c r="AA96">
        <v>13</v>
      </c>
      <c r="AB96">
        <v>17</v>
      </c>
      <c r="AD96">
        <f t="shared" ref="AD96:AH96" si="333">SUMIFS($I96:$AB96,$I$2:$AB$2,AD$7)</f>
        <v>10</v>
      </c>
      <c r="AE96">
        <f t="shared" si="333"/>
        <v>26</v>
      </c>
      <c r="AF96">
        <f t="shared" si="333"/>
        <v>42</v>
      </c>
      <c r="AG96">
        <f t="shared" si="333"/>
        <v>58</v>
      </c>
      <c r="AH96">
        <f t="shared" si="333"/>
        <v>74</v>
      </c>
      <c r="AI96">
        <f t="shared" si="308"/>
        <v>110</v>
      </c>
      <c r="AJ96">
        <f t="shared" si="308"/>
        <v>100</v>
      </c>
      <c r="AK96">
        <f t="shared" si="309"/>
        <v>95</v>
      </c>
      <c r="AL96">
        <f t="shared" si="309"/>
        <v>115</v>
      </c>
      <c r="AN96" s="67">
        <f t="shared" ref="AN96:AV96" si="334">((AD96-MIN($AD96:$AL96))/(MAX($AD96:$AL96)-MIN($AD96:$AL96)))</f>
        <v>0</v>
      </c>
      <c r="AO96" s="67">
        <f t="shared" si="334"/>
        <v>0.15238095238095239</v>
      </c>
      <c r="AP96" s="67">
        <f t="shared" si="334"/>
        <v>0.30476190476190479</v>
      </c>
      <c r="AQ96" s="67">
        <f t="shared" si="334"/>
        <v>0.45714285714285713</v>
      </c>
      <c r="AR96" s="67">
        <f t="shared" si="334"/>
        <v>0.60952380952380958</v>
      </c>
      <c r="AS96" s="67">
        <f t="shared" si="334"/>
        <v>0.95238095238095233</v>
      </c>
      <c r="AT96" s="67">
        <f t="shared" si="334"/>
        <v>0.8571428571428571</v>
      </c>
      <c r="AU96" s="67">
        <f t="shared" si="334"/>
        <v>0.80952380952380953</v>
      </c>
      <c r="AV96" s="67">
        <f t="shared" si="334"/>
        <v>1</v>
      </c>
      <c r="AX96">
        <f t="shared" si="238"/>
        <v>0.60952380952380958</v>
      </c>
      <c r="AY96">
        <f t="shared" si="239"/>
        <v>9.5238095238095233E-2</v>
      </c>
      <c r="AZ96">
        <f t="shared" si="240"/>
        <v>0.19047619047619047</v>
      </c>
      <c r="BB96">
        <f t="shared" ref="BB96:BD96" si="335">AX96/SUM($AX96:$AZ96)</f>
        <v>0.68085106382978722</v>
      </c>
      <c r="BC96">
        <f t="shared" si="335"/>
        <v>0.10638297872340424</v>
      </c>
      <c r="BD96">
        <f t="shared" si="335"/>
        <v>0.21276595744680848</v>
      </c>
      <c r="BF96" t="str">
        <f t="shared" si="242"/>
        <v>Price</v>
      </c>
      <c r="BG96">
        <f t="shared" si="243"/>
        <v>3.5</v>
      </c>
      <c r="BI96">
        <f t="shared" si="244"/>
        <v>3.5</v>
      </c>
      <c r="BJ96" t="str">
        <f t="shared" si="245"/>
        <v>Tennis</v>
      </c>
      <c r="BK96" t="str">
        <f t="shared" si="246"/>
        <v>B</v>
      </c>
      <c r="BS96">
        <f t="shared" si="247"/>
        <v>0.60952380952380958</v>
      </c>
      <c r="BT96">
        <f t="shared" si="248"/>
        <v>9.5238095238095233E-2</v>
      </c>
      <c r="BU96">
        <f t="shared" si="249"/>
        <v>0.19047619047619047</v>
      </c>
      <c r="BW96">
        <f t="shared" si="250"/>
        <v>1.8178197010872597</v>
      </c>
      <c r="BX96">
        <f t="shared" si="251"/>
        <v>0.21620548536480494</v>
      </c>
      <c r="BY96">
        <f t="shared" si="252"/>
        <v>0.38560237041352236</v>
      </c>
      <c r="CB96">
        <f t="shared" si="253"/>
        <v>2.8782125953701838</v>
      </c>
      <c r="CC96">
        <f t="shared" si="254"/>
        <v>0.36275713074680155</v>
      </c>
      <c r="CD96">
        <f t="shared" si="255"/>
        <v>2.486280068483246</v>
      </c>
      <c r="CE96">
        <f t="shared" si="256"/>
        <v>3.038125673758147</v>
      </c>
      <c r="CF96">
        <f t="shared" si="257"/>
        <v>0.36275713074680155</v>
      </c>
      <c r="CJ96" t="str">
        <f t="shared" si="258"/>
        <v>Cluster 2</v>
      </c>
      <c r="CK96" t="str">
        <f t="shared" si="259"/>
        <v>Price Only</v>
      </c>
      <c r="CL96" t="str">
        <f t="shared" si="260"/>
        <v>Price Only</v>
      </c>
      <c r="CM96" t="str">
        <f t="shared" si="264"/>
        <v/>
      </c>
    </row>
    <row r="97" spans="8:91">
      <c r="H97">
        <v>90</v>
      </c>
      <c r="I97">
        <v>1</v>
      </c>
      <c r="J97">
        <v>5</v>
      </c>
      <c r="K97">
        <v>9</v>
      </c>
      <c r="L97">
        <v>13</v>
      </c>
      <c r="M97">
        <v>17</v>
      </c>
      <c r="N97">
        <v>3</v>
      </c>
      <c r="O97">
        <v>7</v>
      </c>
      <c r="P97">
        <v>11</v>
      </c>
      <c r="Q97">
        <v>15</v>
      </c>
      <c r="R97">
        <v>19</v>
      </c>
      <c r="S97">
        <v>2</v>
      </c>
      <c r="T97">
        <v>6</v>
      </c>
      <c r="U97">
        <v>10</v>
      </c>
      <c r="V97">
        <v>14</v>
      </c>
      <c r="W97">
        <v>18</v>
      </c>
      <c r="X97">
        <v>4</v>
      </c>
      <c r="Y97">
        <v>8</v>
      </c>
      <c r="Z97">
        <v>12</v>
      </c>
      <c r="AA97">
        <v>16</v>
      </c>
      <c r="AB97">
        <v>20</v>
      </c>
      <c r="AD97">
        <f t="shared" ref="AD97:AH97" si="336">SUMIFS($I97:$AB97,$I$2:$AB$2,AD$7)</f>
        <v>10</v>
      </c>
      <c r="AE97">
        <f t="shared" si="336"/>
        <v>26</v>
      </c>
      <c r="AF97">
        <f t="shared" si="336"/>
        <v>42</v>
      </c>
      <c r="AG97">
        <f t="shared" si="336"/>
        <v>58</v>
      </c>
      <c r="AH97">
        <f t="shared" si="336"/>
        <v>74</v>
      </c>
      <c r="AI97">
        <f t="shared" si="308"/>
        <v>100</v>
      </c>
      <c r="AJ97">
        <f t="shared" si="308"/>
        <v>110</v>
      </c>
      <c r="AK97">
        <f t="shared" si="309"/>
        <v>115</v>
      </c>
      <c r="AL97">
        <f t="shared" si="309"/>
        <v>95</v>
      </c>
      <c r="AN97" s="67">
        <f t="shared" ref="AN97:AV97" si="337">((AD97-MIN($AD97:$AL97))/(MAX($AD97:$AL97)-MIN($AD97:$AL97)))</f>
        <v>0</v>
      </c>
      <c r="AO97" s="67">
        <f t="shared" si="337"/>
        <v>0.15238095238095239</v>
      </c>
      <c r="AP97" s="67">
        <f t="shared" si="337"/>
        <v>0.30476190476190479</v>
      </c>
      <c r="AQ97" s="67">
        <f t="shared" si="337"/>
        <v>0.45714285714285713</v>
      </c>
      <c r="AR97" s="67">
        <f t="shared" si="337"/>
        <v>0.60952380952380958</v>
      </c>
      <c r="AS97" s="67">
        <f t="shared" si="337"/>
        <v>0.8571428571428571</v>
      </c>
      <c r="AT97" s="67">
        <f t="shared" si="337"/>
        <v>0.95238095238095233</v>
      </c>
      <c r="AU97" s="67">
        <f t="shared" si="337"/>
        <v>1</v>
      </c>
      <c r="AV97" s="67">
        <f t="shared" si="337"/>
        <v>0.80952380952380953</v>
      </c>
      <c r="AX97">
        <f t="shared" si="238"/>
        <v>0.60952380952380958</v>
      </c>
      <c r="AY97">
        <f t="shared" si="239"/>
        <v>9.5238095238095233E-2</v>
      </c>
      <c r="AZ97">
        <f t="shared" si="240"/>
        <v>0.19047619047619047</v>
      </c>
      <c r="BB97">
        <f t="shared" ref="BB97:BD97" si="338">AX97/SUM($AX97:$AZ97)</f>
        <v>0.68085106382978722</v>
      </c>
      <c r="BC97">
        <f t="shared" si="338"/>
        <v>0.10638297872340424</v>
      </c>
      <c r="BD97">
        <f t="shared" si="338"/>
        <v>0.21276595744680848</v>
      </c>
      <c r="BF97" t="str">
        <f t="shared" si="242"/>
        <v>Price</v>
      </c>
      <c r="BG97">
        <f t="shared" si="243"/>
        <v>3.5</v>
      </c>
      <c r="BI97">
        <f t="shared" si="244"/>
        <v>3.5</v>
      </c>
      <c r="BJ97" t="str">
        <f t="shared" si="245"/>
        <v>Super Bowl</v>
      </c>
      <c r="BK97" t="str">
        <f t="shared" si="246"/>
        <v>A</v>
      </c>
      <c r="BS97">
        <f t="shared" si="247"/>
        <v>0.60952380952380958</v>
      </c>
      <c r="BT97">
        <f t="shared" si="248"/>
        <v>-9.5238095238095233E-2</v>
      </c>
      <c r="BU97">
        <f t="shared" si="249"/>
        <v>-0.19047619047619047</v>
      </c>
      <c r="BW97">
        <f t="shared" si="250"/>
        <v>1.8178197010872597</v>
      </c>
      <c r="BX97">
        <f t="shared" si="251"/>
        <v>-0.2002829690454716</v>
      </c>
      <c r="BY97">
        <f t="shared" si="252"/>
        <v>-0.41924239047412343</v>
      </c>
      <c r="CB97">
        <f t="shared" si="253"/>
        <v>3.0224477483232417</v>
      </c>
      <c r="CC97">
        <f t="shared" si="254"/>
        <v>0.60442594737100175</v>
      </c>
      <c r="CD97">
        <f t="shared" si="255"/>
        <v>2.6248192102674079</v>
      </c>
      <c r="CE97">
        <f t="shared" si="256"/>
        <v>2.5686392195910996</v>
      </c>
      <c r="CF97">
        <f t="shared" si="257"/>
        <v>0.60442594737100175</v>
      </c>
      <c r="CJ97" t="str">
        <f t="shared" si="258"/>
        <v>Cluster 2</v>
      </c>
      <c r="CK97" t="str">
        <f t="shared" si="259"/>
        <v>Price Only</v>
      </c>
      <c r="CL97" t="str">
        <f t="shared" si="260"/>
        <v>Price Only</v>
      </c>
      <c r="CM97" t="str">
        <f t="shared" si="264"/>
        <v/>
      </c>
    </row>
    <row r="98" spans="8:91">
      <c r="H98">
        <v>91</v>
      </c>
      <c r="I98">
        <v>2</v>
      </c>
      <c r="J98">
        <v>6</v>
      </c>
      <c r="K98">
        <v>10</v>
      </c>
      <c r="L98">
        <v>14</v>
      </c>
      <c r="M98">
        <v>18</v>
      </c>
      <c r="N98">
        <v>4</v>
      </c>
      <c r="O98">
        <v>8</v>
      </c>
      <c r="P98">
        <v>12</v>
      </c>
      <c r="Q98">
        <v>16</v>
      </c>
      <c r="R98">
        <v>20</v>
      </c>
      <c r="S98">
        <v>2</v>
      </c>
      <c r="T98">
        <v>6</v>
      </c>
      <c r="U98">
        <v>10</v>
      </c>
      <c r="V98">
        <v>14</v>
      </c>
      <c r="W98">
        <v>18</v>
      </c>
      <c r="X98">
        <v>4</v>
      </c>
      <c r="Y98">
        <v>8</v>
      </c>
      <c r="Z98">
        <v>12</v>
      </c>
      <c r="AA98">
        <v>16</v>
      </c>
      <c r="AB98">
        <v>20</v>
      </c>
      <c r="AD98">
        <f t="shared" ref="AD98:AH98" si="339">SUMIFS($I98:$AB98,$I$2:$AB$2,AD$7)</f>
        <v>12</v>
      </c>
      <c r="AE98">
        <f t="shared" si="339"/>
        <v>28</v>
      </c>
      <c r="AF98">
        <f t="shared" si="339"/>
        <v>44</v>
      </c>
      <c r="AG98">
        <f t="shared" si="339"/>
        <v>60</v>
      </c>
      <c r="AH98">
        <f t="shared" si="339"/>
        <v>76</v>
      </c>
      <c r="AI98">
        <f t="shared" si="308"/>
        <v>110</v>
      </c>
      <c r="AJ98">
        <f t="shared" si="308"/>
        <v>110</v>
      </c>
      <c r="AK98">
        <f t="shared" si="309"/>
        <v>120</v>
      </c>
      <c r="AL98">
        <f t="shared" si="309"/>
        <v>100</v>
      </c>
      <c r="AN98" s="67">
        <f t="shared" ref="AN98:AV98" si="340">((AD98-MIN($AD98:$AL98))/(MAX($AD98:$AL98)-MIN($AD98:$AL98)))</f>
        <v>0</v>
      </c>
      <c r="AO98" s="67">
        <f t="shared" si="340"/>
        <v>0.14814814814814814</v>
      </c>
      <c r="AP98" s="67">
        <f t="shared" si="340"/>
        <v>0.29629629629629628</v>
      </c>
      <c r="AQ98" s="67">
        <f t="shared" si="340"/>
        <v>0.44444444444444442</v>
      </c>
      <c r="AR98" s="67">
        <f t="shared" si="340"/>
        <v>0.59259259259259256</v>
      </c>
      <c r="AS98" s="67">
        <f t="shared" si="340"/>
        <v>0.90740740740740744</v>
      </c>
      <c r="AT98" s="67">
        <f t="shared" si="340"/>
        <v>0.90740740740740744</v>
      </c>
      <c r="AU98" s="67">
        <f t="shared" si="340"/>
        <v>1</v>
      </c>
      <c r="AV98" s="67">
        <f t="shared" si="340"/>
        <v>0.81481481481481477</v>
      </c>
      <c r="AX98">
        <f t="shared" si="238"/>
        <v>0.59259259259259256</v>
      </c>
      <c r="AY98">
        <f t="shared" si="239"/>
        <v>0</v>
      </c>
      <c r="AZ98">
        <f t="shared" si="240"/>
        <v>0.18518518518518523</v>
      </c>
      <c r="BB98">
        <f t="shared" ref="BB98:BD98" si="341">AX98/SUM($AX98:$AZ98)</f>
        <v>0.76190476190476186</v>
      </c>
      <c r="BC98">
        <f t="shared" si="341"/>
        <v>0</v>
      </c>
      <c r="BD98">
        <f t="shared" si="341"/>
        <v>0.23809523809523814</v>
      </c>
      <c r="BF98" t="str">
        <f t="shared" si="242"/>
        <v>Price</v>
      </c>
      <c r="BG98">
        <f t="shared" si="243"/>
        <v>3.5</v>
      </c>
      <c r="BI98">
        <f t="shared" si="244"/>
        <v>3.5</v>
      </c>
      <c r="BJ98" t="str">
        <f t="shared" si="245"/>
        <v>Super Bowl</v>
      </c>
      <c r="BK98" t="str">
        <f t="shared" si="246"/>
        <v>A</v>
      </c>
      <c r="BS98">
        <f t="shared" si="247"/>
        <v>0.59259259259259256</v>
      </c>
      <c r="BT98">
        <f t="shared" si="248"/>
        <v>0</v>
      </c>
      <c r="BU98">
        <f t="shared" si="249"/>
        <v>-0.18518518518518523</v>
      </c>
      <c r="BW98">
        <f t="shared" si="250"/>
        <v>1.6686715688084861</v>
      </c>
      <c r="BX98">
        <f t="shared" si="251"/>
        <v>7.9612581596666537E-3</v>
      </c>
      <c r="BY98">
        <f t="shared" si="252"/>
        <v>-0.40806399101735069</v>
      </c>
      <c r="CB98">
        <f t="shared" si="253"/>
        <v>2.9723470098384843</v>
      </c>
      <c r="CC98">
        <f t="shared" si="254"/>
        <v>0.49383391243091967</v>
      </c>
      <c r="CD98">
        <f t="shared" si="255"/>
        <v>2.394594729674886</v>
      </c>
      <c r="CE98">
        <f t="shared" si="256"/>
        <v>2.5292396308076586</v>
      </c>
      <c r="CF98">
        <f t="shared" si="257"/>
        <v>0.49383391243091967</v>
      </c>
      <c r="CJ98" t="str">
        <f t="shared" si="258"/>
        <v>Cluster 2</v>
      </c>
      <c r="CK98" t="str">
        <f t="shared" si="259"/>
        <v>Price Only</v>
      </c>
      <c r="CL98" t="str">
        <f t="shared" si="260"/>
        <v>Price Only</v>
      </c>
      <c r="CM98" t="str">
        <f t="shared" si="264"/>
        <v/>
      </c>
    </row>
    <row r="99" spans="8:91">
      <c r="H99">
        <v>92</v>
      </c>
      <c r="I99">
        <v>6</v>
      </c>
      <c r="J99">
        <v>9</v>
      </c>
      <c r="K99">
        <v>11</v>
      </c>
      <c r="L99">
        <v>14</v>
      </c>
      <c r="M99">
        <v>17</v>
      </c>
      <c r="N99">
        <v>1</v>
      </c>
      <c r="O99">
        <v>2</v>
      </c>
      <c r="P99">
        <v>3</v>
      </c>
      <c r="Q99">
        <v>5</v>
      </c>
      <c r="R99">
        <v>8</v>
      </c>
      <c r="S99">
        <v>13</v>
      </c>
      <c r="T99">
        <v>16</v>
      </c>
      <c r="U99">
        <v>18</v>
      </c>
      <c r="V99">
        <v>19</v>
      </c>
      <c r="W99">
        <v>20</v>
      </c>
      <c r="X99">
        <v>4</v>
      </c>
      <c r="Y99">
        <v>7</v>
      </c>
      <c r="Z99">
        <v>10</v>
      </c>
      <c r="AA99">
        <v>12</v>
      </c>
      <c r="AB99">
        <v>15</v>
      </c>
      <c r="AD99">
        <f t="shared" ref="AD99:AH99" si="342">SUMIFS($I99:$AB99,$I$2:$AB$2,AD$7)</f>
        <v>24</v>
      </c>
      <c r="AE99">
        <f t="shared" si="342"/>
        <v>34</v>
      </c>
      <c r="AF99">
        <f t="shared" si="342"/>
        <v>42</v>
      </c>
      <c r="AG99">
        <f t="shared" si="342"/>
        <v>50</v>
      </c>
      <c r="AH99">
        <f t="shared" si="342"/>
        <v>60</v>
      </c>
      <c r="AI99">
        <f t="shared" si="308"/>
        <v>76</v>
      </c>
      <c r="AJ99">
        <f t="shared" si="308"/>
        <v>134</v>
      </c>
      <c r="AK99">
        <f t="shared" si="309"/>
        <v>67</v>
      </c>
      <c r="AL99">
        <f t="shared" si="309"/>
        <v>143</v>
      </c>
      <c r="AN99" s="67">
        <f t="shared" ref="AN99:AV99" si="343">((AD99-MIN($AD99:$AL99))/(MAX($AD99:$AL99)-MIN($AD99:$AL99)))</f>
        <v>0</v>
      </c>
      <c r="AO99" s="67">
        <f t="shared" si="343"/>
        <v>8.4033613445378158E-2</v>
      </c>
      <c r="AP99" s="67">
        <f t="shared" si="343"/>
        <v>0.15126050420168066</v>
      </c>
      <c r="AQ99" s="67">
        <f t="shared" si="343"/>
        <v>0.21848739495798319</v>
      </c>
      <c r="AR99" s="67">
        <f t="shared" si="343"/>
        <v>0.30252100840336132</v>
      </c>
      <c r="AS99" s="67">
        <f t="shared" si="343"/>
        <v>0.43697478991596639</v>
      </c>
      <c r="AT99" s="67">
        <f t="shared" si="343"/>
        <v>0.92436974789915971</v>
      </c>
      <c r="AU99" s="67">
        <f t="shared" si="343"/>
        <v>0.36134453781512604</v>
      </c>
      <c r="AV99" s="67">
        <f t="shared" si="343"/>
        <v>1</v>
      </c>
      <c r="AX99">
        <f t="shared" si="238"/>
        <v>0.30252100840336132</v>
      </c>
      <c r="AY99">
        <f t="shared" si="239"/>
        <v>0.48739495798319332</v>
      </c>
      <c r="AZ99">
        <f t="shared" si="240"/>
        <v>0.6386554621848739</v>
      </c>
      <c r="BB99">
        <f t="shared" ref="BB99:BD99" si="344">AX99/SUM($AX99:$AZ99)</f>
        <v>0.21176470588235291</v>
      </c>
      <c r="BC99">
        <f t="shared" si="344"/>
        <v>0.3411764705882353</v>
      </c>
      <c r="BD99">
        <f t="shared" si="344"/>
        <v>0.44705882352941173</v>
      </c>
      <c r="BF99" t="str">
        <f t="shared" si="242"/>
        <v>Sugar</v>
      </c>
      <c r="BG99" t="str">
        <f t="shared" si="243"/>
        <v>B</v>
      </c>
      <c r="BI99">
        <f t="shared" si="244"/>
        <v>3.5</v>
      </c>
      <c r="BJ99" t="str">
        <f t="shared" si="245"/>
        <v>Super Bowl</v>
      </c>
      <c r="BK99" t="str">
        <f t="shared" si="246"/>
        <v>B</v>
      </c>
      <c r="BS99">
        <f t="shared" si="247"/>
        <v>0.30252100840336132</v>
      </c>
      <c r="BT99">
        <f t="shared" si="248"/>
        <v>-0.48739495798319332</v>
      </c>
      <c r="BU99">
        <f t="shared" si="249"/>
        <v>0.6386554621848739</v>
      </c>
      <c r="BW99">
        <f t="shared" si="250"/>
        <v>-0.88658687390872204</v>
      </c>
      <c r="BX99">
        <f t="shared" si="251"/>
        <v>-1.0577591987136883</v>
      </c>
      <c r="BY99">
        <f t="shared" si="252"/>
        <v>1.3324785596931055</v>
      </c>
      <c r="CB99">
        <f t="shared" si="253"/>
        <v>0.36398114121480674</v>
      </c>
      <c r="CC99">
        <f t="shared" si="254"/>
        <v>3.2443418197903178</v>
      </c>
      <c r="CD99">
        <f t="shared" si="255"/>
        <v>2.6432629258683842</v>
      </c>
      <c r="CE99">
        <f t="shared" si="256"/>
        <v>2.4123084525291745</v>
      </c>
      <c r="CF99">
        <f t="shared" si="257"/>
        <v>0.36398114121480674</v>
      </c>
      <c r="CJ99" t="str">
        <f t="shared" si="258"/>
        <v>Cluster 1</v>
      </c>
      <c r="CK99" t="str">
        <f t="shared" si="259"/>
        <v>B Super Bowl</v>
      </c>
      <c r="CL99" t="str">
        <f t="shared" si="260"/>
        <v>Super Bowl B</v>
      </c>
      <c r="CM99" t="str">
        <f t="shared" si="264"/>
        <v>Diff</v>
      </c>
    </row>
    <row r="100" spans="8:91">
      <c r="H100">
        <v>93</v>
      </c>
      <c r="I100">
        <v>4</v>
      </c>
      <c r="J100">
        <v>8</v>
      </c>
      <c r="K100">
        <v>12</v>
      </c>
      <c r="L100">
        <v>16</v>
      </c>
      <c r="M100">
        <v>20</v>
      </c>
      <c r="N100">
        <v>3</v>
      </c>
      <c r="O100">
        <v>7</v>
      </c>
      <c r="P100">
        <v>11</v>
      </c>
      <c r="Q100">
        <v>15</v>
      </c>
      <c r="R100">
        <v>19</v>
      </c>
      <c r="S100">
        <v>2</v>
      </c>
      <c r="T100">
        <v>6</v>
      </c>
      <c r="U100">
        <v>10</v>
      </c>
      <c r="V100">
        <v>14</v>
      </c>
      <c r="W100">
        <v>18</v>
      </c>
      <c r="X100">
        <v>1</v>
      </c>
      <c r="Y100">
        <v>5</v>
      </c>
      <c r="Z100">
        <v>9</v>
      </c>
      <c r="AA100">
        <v>13</v>
      </c>
      <c r="AB100">
        <v>17</v>
      </c>
      <c r="AD100">
        <f t="shared" ref="AD100:AH100" si="345">SUMIFS($I100:$AB100,$I$2:$AB$2,AD$7)</f>
        <v>10</v>
      </c>
      <c r="AE100">
        <f t="shared" si="345"/>
        <v>26</v>
      </c>
      <c r="AF100">
        <f t="shared" si="345"/>
        <v>42</v>
      </c>
      <c r="AG100">
        <f t="shared" si="345"/>
        <v>58</v>
      </c>
      <c r="AH100">
        <f t="shared" si="345"/>
        <v>74</v>
      </c>
      <c r="AI100">
        <f t="shared" si="308"/>
        <v>115</v>
      </c>
      <c r="AJ100">
        <f t="shared" si="308"/>
        <v>95</v>
      </c>
      <c r="AK100">
        <f t="shared" si="309"/>
        <v>100</v>
      </c>
      <c r="AL100">
        <f t="shared" si="309"/>
        <v>110</v>
      </c>
      <c r="AN100" s="67">
        <f t="shared" ref="AN100:AV100" si="346">((AD100-MIN($AD100:$AL100))/(MAX($AD100:$AL100)-MIN($AD100:$AL100)))</f>
        <v>0</v>
      </c>
      <c r="AO100" s="67">
        <f t="shared" si="346"/>
        <v>0.15238095238095239</v>
      </c>
      <c r="AP100" s="67">
        <f t="shared" si="346"/>
        <v>0.30476190476190479</v>
      </c>
      <c r="AQ100" s="67">
        <f t="shared" si="346"/>
        <v>0.45714285714285713</v>
      </c>
      <c r="AR100" s="67">
        <f t="shared" si="346"/>
        <v>0.60952380952380958</v>
      </c>
      <c r="AS100" s="67">
        <f t="shared" si="346"/>
        <v>1</v>
      </c>
      <c r="AT100" s="67">
        <f t="shared" si="346"/>
        <v>0.80952380952380953</v>
      </c>
      <c r="AU100" s="67">
        <f t="shared" si="346"/>
        <v>0.8571428571428571</v>
      </c>
      <c r="AV100" s="67">
        <f t="shared" si="346"/>
        <v>0.95238095238095233</v>
      </c>
      <c r="AX100">
        <f t="shared" si="238"/>
        <v>0.60952380952380958</v>
      </c>
      <c r="AY100">
        <f t="shared" si="239"/>
        <v>0.19047619047619047</v>
      </c>
      <c r="AZ100">
        <f t="shared" si="240"/>
        <v>9.5238095238095233E-2</v>
      </c>
      <c r="BB100">
        <f t="shared" ref="BB100:BD100" si="347">AX100/SUM($AX100:$AZ100)</f>
        <v>0.68085106382978722</v>
      </c>
      <c r="BC100">
        <f t="shared" si="347"/>
        <v>0.21276595744680848</v>
      </c>
      <c r="BD100">
        <f t="shared" si="347"/>
        <v>0.10638297872340424</v>
      </c>
      <c r="BF100" t="str">
        <f t="shared" si="242"/>
        <v>Price</v>
      </c>
      <c r="BG100">
        <f t="shared" si="243"/>
        <v>3.5</v>
      </c>
      <c r="BI100">
        <f t="shared" si="244"/>
        <v>3.5</v>
      </c>
      <c r="BJ100" t="str">
        <f t="shared" si="245"/>
        <v>Tennis</v>
      </c>
      <c r="BK100" t="str">
        <f t="shared" si="246"/>
        <v>B</v>
      </c>
      <c r="BS100">
        <f t="shared" si="247"/>
        <v>0.60952380952380958</v>
      </c>
      <c r="BT100">
        <f t="shared" si="248"/>
        <v>0.19047619047619047</v>
      </c>
      <c r="BU100">
        <f t="shared" si="249"/>
        <v>9.5238095238095233E-2</v>
      </c>
      <c r="BW100">
        <f t="shared" si="250"/>
        <v>1.8178197010872597</v>
      </c>
      <c r="BX100">
        <f t="shared" si="251"/>
        <v>0.42444971256994318</v>
      </c>
      <c r="BY100">
        <f t="shared" si="252"/>
        <v>0.18439118019161094</v>
      </c>
      <c r="CB100">
        <f t="shared" si="253"/>
        <v>3.0373518932461994</v>
      </c>
      <c r="CC100">
        <f t="shared" si="254"/>
        <v>0.26833047118697734</v>
      </c>
      <c r="CD100">
        <f t="shared" si="255"/>
        <v>2.3851184056843331</v>
      </c>
      <c r="CE100">
        <f t="shared" si="256"/>
        <v>3.0523913537765708</v>
      </c>
      <c r="CF100">
        <f t="shared" si="257"/>
        <v>0.26833047118697734</v>
      </c>
      <c r="CJ100" t="str">
        <f t="shared" si="258"/>
        <v>Cluster 2</v>
      </c>
      <c r="CK100" t="str">
        <f t="shared" si="259"/>
        <v>Price Only</v>
      </c>
      <c r="CL100" t="str">
        <f t="shared" si="260"/>
        <v>Price Only</v>
      </c>
      <c r="CM100" t="str">
        <f t="shared" si="264"/>
        <v/>
      </c>
    </row>
    <row r="101" spans="8:91">
      <c r="H101">
        <v>94</v>
      </c>
      <c r="I101">
        <v>1</v>
      </c>
      <c r="J101">
        <v>2</v>
      </c>
      <c r="K101">
        <v>5</v>
      </c>
      <c r="L101">
        <v>8</v>
      </c>
      <c r="M101">
        <v>12</v>
      </c>
      <c r="N101">
        <v>4</v>
      </c>
      <c r="O101">
        <v>7</v>
      </c>
      <c r="P101">
        <v>11</v>
      </c>
      <c r="Q101">
        <v>15</v>
      </c>
      <c r="R101">
        <v>18</v>
      </c>
      <c r="S101">
        <v>4</v>
      </c>
      <c r="T101">
        <v>7</v>
      </c>
      <c r="U101">
        <v>11</v>
      </c>
      <c r="V101">
        <v>15</v>
      </c>
      <c r="W101">
        <v>18</v>
      </c>
      <c r="X101">
        <v>9</v>
      </c>
      <c r="Y101">
        <v>13</v>
      </c>
      <c r="Z101">
        <v>16</v>
      </c>
      <c r="AA101">
        <v>19</v>
      </c>
      <c r="AB101">
        <v>20</v>
      </c>
      <c r="AD101">
        <f t="shared" ref="AD101:AH101" si="348">SUMIFS($I101:$AB101,$I$2:$AB$2,AD$7)</f>
        <v>18</v>
      </c>
      <c r="AE101">
        <f t="shared" si="348"/>
        <v>29</v>
      </c>
      <c r="AF101">
        <f t="shared" si="348"/>
        <v>43</v>
      </c>
      <c r="AG101">
        <f t="shared" si="348"/>
        <v>57</v>
      </c>
      <c r="AH101">
        <f t="shared" si="348"/>
        <v>68</v>
      </c>
      <c r="AI101">
        <f t="shared" si="308"/>
        <v>83</v>
      </c>
      <c r="AJ101">
        <f t="shared" si="308"/>
        <v>132</v>
      </c>
      <c r="AK101">
        <f t="shared" si="309"/>
        <v>132</v>
      </c>
      <c r="AL101">
        <f t="shared" si="309"/>
        <v>83</v>
      </c>
      <c r="AN101" s="67">
        <f t="shared" ref="AN101:AV101" si="349">((AD101-MIN($AD101:$AL101))/(MAX($AD101:$AL101)-MIN($AD101:$AL101)))</f>
        <v>0</v>
      </c>
      <c r="AO101" s="67">
        <f t="shared" si="349"/>
        <v>9.6491228070175433E-2</v>
      </c>
      <c r="AP101" s="67">
        <f t="shared" si="349"/>
        <v>0.21929824561403508</v>
      </c>
      <c r="AQ101" s="67">
        <f t="shared" si="349"/>
        <v>0.34210526315789475</v>
      </c>
      <c r="AR101" s="67">
        <f t="shared" si="349"/>
        <v>0.43859649122807015</v>
      </c>
      <c r="AS101" s="67">
        <f t="shared" si="349"/>
        <v>0.57017543859649122</v>
      </c>
      <c r="AT101" s="67">
        <f t="shared" si="349"/>
        <v>1</v>
      </c>
      <c r="AU101" s="67">
        <f t="shared" si="349"/>
        <v>1</v>
      </c>
      <c r="AV101" s="67">
        <f t="shared" si="349"/>
        <v>0.57017543859649122</v>
      </c>
      <c r="AX101">
        <f t="shared" si="238"/>
        <v>0.43859649122807015</v>
      </c>
      <c r="AY101">
        <f t="shared" si="239"/>
        <v>0.42982456140350878</v>
      </c>
      <c r="AZ101">
        <f t="shared" si="240"/>
        <v>0.42982456140350878</v>
      </c>
      <c r="BB101">
        <f t="shared" ref="BB101:BD101" si="350">AX101/SUM($AX101:$AZ101)</f>
        <v>0.33783783783783783</v>
      </c>
      <c r="BC101">
        <f t="shared" si="350"/>
        <v>0.33108108108108109</v>
      </c>
      <c r="BD101">
        <f t="shared" si="350"/>
        <v>0.33108108108108109</v>
      </c>
      <c r="BF101" t="str">
        <f t="shared" si="242"/>
        <v>Price</v>
      </c>
      <c r="BG101">
        <f t="shared" si="243"/>
        <v>3.5</v>
      </c>
      <c r="BI101">
        <f t="shared" si="244"/>
        <v>3.5</v>
      </c>
      <c r="BJ101" t="str">
        <f t="shared" si="245"/>
        <v>Super Bowl</v>
      </c>
      <c r="BK101" t="str">
        <f t="shared" si="246"/>
        <v>A</v>
      </c>
      <c r="BS101">
        <f t="shared" si="247"/>
        <v>0.43859649122807015</v>
      </c>
      <c r="BT101">
        <f t="shared" si="248"/>
        <v>-0.42982456140350878</v>
      </c>
      <c r="BU101">
        <f t="shared" si="249"/>
        <v>-0.42982456140350878</v>
      </c>
      <c r="BW101">
        <f t="shared" si="250"/>
        <v>0.31211043147030715</v>
      </c>
      <c r="BX101">
        <f t="shared" si="251"/>
        <v>-0.93187781988457585</v>
      </c>
      <c r="BY101">
        <f t="shared" si="252"/>
        <v>-0.92491788168971667</v>
      </c>
      <c r="CB101">
        <f t="shared" si="253"/>
        <v>2.2439885594783111</v>
      </c>
      <c r="CC101">
        <f t="shared" si="254"/>
        <v>2.1001720942232827</v>
      </c>
      <c r="CD101">
        <f t="shared" si="255"/>
        <v>2.3022381245682073</v>
      </c>
      <c r="CE101">
        <f t="shared" si="256"/>
        <v>0.8331609127757631</v>
      </c>
      <c r="CF101">
        <f t="shared" si="257"/>
        <v>0.8331609127757631</v>
      </c>
      <c r="CJ101" t="str">
        <f t="shared" si="258"/>
        <v>Cluster 4</v>
      </c>
      <c r="CK101" t="str">
        <f t="shared" si="259"/>
        <v>A Super Bowl</v>
      </c>
      <c r="CL101" t="str">
        <f t="shared" si="260"/>
        <v>Price Only</v>
      </c>
      <c r="CM101" t="str">
        <f t="shared" si="264"/>
        <v>Diff</v>
      </c>
    </row>
    <row r="102" spans="8:91">
      <c r="H102">
        <v>95</v>
      </c>
      <c r="I102">
        <v>3</v>
      </c>
      <c r="J102">
        <v>6</v>
      </c>
      <c r="K102">
        <v>9</v>
      </c>
      <c r="L102">
        <v>13</v>
      </c>
      <c r="M102">
        <v>16</v>
      </c>
      <c r="N102">
        <v>11</v>
      </c>
      <c r="O102">
        <v>14</v>
      </c>
      <c r="P102">
        <v>17</v>
      </c>
      <c r="Q102">
        <v>19</v>
      </c>
      <c r="R102">
        <v>20</v>
      </c>
      <c r="S102">
        <v>1</v>
      </c>
      <c r="T102">
        <v>2</v>
      </c>
      <c r="U102">
        <v>4</v>
      </c>
      <c r="V102">
        <v>7</v>
      </c>
      <c r="W102">
        <v>11</v>
      </c>
      <c r="X102">
        <v>5</v>
      </c>
      <c r="Y102">
        <v>8</v>
      </c>
      <c r="Z102">
        <v>12</v>
      </c>
      <c r="AA102">
        <v>15</v>
      </c>
      <c r="AB102">
        <v>18</v>
      </c>
      <c r="AD102">
        <f t="shared" ref="AD102:AH102" si="351">SUMIFS($I102:$AB102,$I$2:$AB$2,AD$7)</f>
        <v>20</v>
      </c>
      <c r="AE102">
        <f t="shared" si="351"/>
        <v>30</v>
      </c>
      <c r="AF102">
        <f t="shared" si="351"/>
        <v>42</v>
      </c>
      <c r="AG102">
        <f t="shared" si="351"/>
        <v>54</v>
      </c>
      <c r="AH102">
        <f t="shared" si="351"/>
        <v>65</v>
      </c>
      <c r="AI102">
        <f t="shared" si="308"/>
        <v>128</v>
      </c>
      <c r="AJ102">
        <f t="shared" si="308"/>
        <v>83</v>
      </c>
      <c r="AK102">
        <f t="shared" si="309"/>
        <v>139</v>
      </c>
      <c r="AL102">
        <f t="shared" si="309"/>
        <v>72</v>
      </c>
      <c r="AN102" s="67">
        <f t="shared" ref="AN102:AV102" si="352">((AD102-MIN($AD102:$AL102))/(MAX($AD102:$AL102)-MIN($AD102:$AL102)))</f>
        <v>0</v>
      </c>
      <c r="AO102" s="67">
        <f t="shared" si="352"/>
        <v>8.4033613445378158E-2</v>
      </c>
      <c r="AP102" s="67">
        <f t="shared" si="352"/>
        <v>0.18487394957983194</v>
      </c>
      <c r="AQ102" s="67">
        <f t="shared" si="352"/>
        <v>0.2857142857142857</v>
      </c>
      <c r="AR102" s="67">
        <f t="shared" si="352"/>
        <v>0.37815126050420167</v>
      </c>
      <c r="AS102" s="67">
        <f t="shared" si="352"/>
        <v>0.90756302521008403</v>
      </c>
      <c r="AT102" s="67">
        <f t="shared" si="352"/>
        <v>0.52941176470588236</v>
      </c>
      <c r="AU102" s="67">
        <f t="shared" si="352"/>
        <v>1</v>
      </c>
      <c r="AV102" s="67">
        <f t="shared" si="352"/>
        <v>0.43697478991596639</v>
      </c>
      <c r="AX102">
        <f t="shared" si="238"/>
        <v>0.37815126050420167</v>
      </c>
      <c r="AY102">
        <f t="shared" si="239"/>
        <v>0.37815126050420167</v>
      </c>
      <c r="AZ102">
        <f t="shared" si="240"/>
        <v>0.56302521008403361</v>
      </c>
      <c r="BB102">
        <f t="shared" ref="BB102:BD102" si="353">AX102/SUM($AX102:$AZ102)</f>
        <v>0.28662420382165604</v>
      </c>
      <c r="BC102">
        <f t="shared" si="353"/>
        <v>0.28662420382165604</v>
      </c>
      <c r="BD102">
        <f t="shared" si="353"/>
        <v>0.42675159235668791</v>
      </c>
      <c r="BF102" t="str">
        <f t="shared" si="242"/>
        <v>Sugar</v>
      </c>
      <c r="BG102" t="str">
        <f t="shared" si="243"/>
        <v>A</v>
      </c>
      <c r="BI102">
        <f t="shared" si="244"/>
        <v>3.5</v>
      </c>
      <c r="BJ102" t="str">
        <f t="shared" si="245"/>
        <v>Tennis</v>
      </c>
      <c r="BK102" t="str">
        <f t="shared" si="246"/>
        <v>A</v>
      </c>
      <c r="BS102">
        <f t="shared" si="247"/>
        <v>0.37815126050420167</v>
      </c>
      <c r="BT102">
        <f t="shared" si="248"/>
        <v>0.37815126050420167</v>
      </c>
      <c r="BU102">
        <f t="shared" si="249"/>
        <v>-0.56302521008403361</v>
      </c>
      <c r="BW102">
        <f t="shared" si="250"/>
        <v>-0.22035532714876313</v>
      </c>
      <c r="BX102">
        <f t="shared" si="251"/>
        <v>0.83481333676830383</v>
      </c>
      <c r="BY102">
        <f t="shared" si="252"/>
        <v>-1.2063332228127772</v>
      </c>
      <c r="CB102">
        <f t="shared" si="253"/>
        <v>3.0707628888278391</v>
      </c>
      <c r="CC102">
        <f t="shared" si="254"/>
        <v>2.4439371323874344</v>
      </c>
      <c r="CD102">
        <f t="shared" si="255"/>
        <v>1.1218659453438782</v>
      </c>
      <c r="CE102">
        <f t="shared" si="256"/>
        <v>2.0285322676986022</v>
      </c>
      <c r="CF102">
        <f t="shared" si="257"/>
        <v>1.1218659453438782</v>
      </c>
      <c r="CJ102" t="str">
        <f t="shared" si="258"/>
        <v>Cluster 3</v>
      </c>
      <c r="CK102" t="str">
        <f t="shared" si="259"/>
        <v>Tennis Only</v>
      </c>
      <c r="CL102" t="str">
        <f t="shared" si="260"/>
        <v>Tennis A</v>
      </c>
      <c r="CM102" t="str">
        <f t="shared" si="264"/>
        <v>Diff</v>
      </c>
    </row>
    <row r="103" spans="8:91">
      <c r="H103">
        <v>96</v>
      </c>
      <c r="I103">
        <v>5</v>
      </c>
      <c r="J103">
        <v>8</v>
      </c>
      <c r="K103">
        <v>12</v>
      </c>
      <c r="L103">
        <v>15</v>
      </c>
      <c r="M103">
        <v>18</v>
      </c>
      <c r="N103">
        <v>1</v>
      </c>
      <c r="O103">
        <v>2</v>
      </c>
      <c r="P103">
        <v>4</v>
      </c>
      <c r="Q103">
        <v>7</v>
      </c>
      <c r="R103">
        <v>10</v>
      </c>
      <c r="S103">
        <v>11</v>
      </c>
      <c r="T103">
        <v>14</v>
      </c>
      <c r="U103">
        <v>17</v>
      </c>
      <c r="V103">
        <v>19</v>
      </c>
      <c r="W103">
        <v>20</v>
      </c>
      <c r="X103">
        <v>3</v>
      </c>
      <c r="Y103">
        <v>6</v>
      </c>
      <c r="Z103">
        <v>9</v>
      </c>
      <c r="AA103">
        <v>13</v>
      </c>
      <c r="AB103">
        <v>16</v>
      </c>
      <c r="AD103">
        <f t="shared" ref="AD103:AH103" si="354">SUMIFS($I103:$AB103,$I$2:$AB$2,AD$7)</f>
        <v>20</v>
      </c>
      <c r="AE103">
        <f t="shared" si="354"/>
        <v>30</v>
      </c>
      <c r="AF103">
        <f t="shared" si="354"/>
        <v>42</v>
      </c>
      <c r="AG103">
        <f t="shared" si="354"/>
        <v>54</v>
      </c>
      <c r="AH103">
        <f t="shared" si="354"/>
        <v>64</v>
      </c>
      <c r="AI103">
        <f t="shared" si="308"/>
        <v>82</v>
      </c>
      <c r="AJ103">
        <f t="shared" si="308"/>
        <v>128</v>
      </c>
      <c r="AK103">
        <f t="shared" si="309"/>
        <v>71</v>
      </c>
      <c r="AL103">
        <f t="shared" si="309"/>
        <v>139</v>
      </c>
      <c r="AN103" s="67">
        <f t="shared" ref="AN103:AV103" si="355">((AD103-MIN($AD103:$AL103))/(MAX($AD103:$AL103)-MIN($AD103:$AL103)))</f>
        <v>0</v>
      </c>
      <c r="AO103" s="67">
        <f t="shared" si="355"/>
        <v>8.4033613445378158E-2</v>
      </c>
      <c r="AP103" s="67">
        <f t="shared" si="355"/>
        <v>0.18487394957983194</v>
      </c>
      <c r="AQ103" s="67">
        <f t="shared" si="355"/>
        <v>0.2857142857142857</v>
      </c>
      <c r="AR103" s="67">
        <f t="shared" si="355"/>
        <v>0.36974789915966388</v>
      </c>
      <c r="AS103" s="67">
        <f t="shared" si="355"/>
        <v>0.52100840336134457</v>
      </c>
      <c r="AT103" s="67">
        <f t="shared" si="355"/>
        <v>0.90756302521008403</v>
      </c>
      <c r="AU103" s="67">
        <f t="shared" si="355"/>
        <v>0.42857142857142855</v>
      </c>
      <c r="AV103" s="67">
        <f t="shared" si="355"/>
        <v>1</v>
      </c>
      <c r="AX103">
        <f t="shared" si="238"/>
        <v>0.36974789915966388</v>
      </c>
      <c r="AY103">
        <f t="shared" si="239"/>
        <v>0.38655462184873945</v>
      </c>
      <c r="AZ103">
        <f t="shared" si="240"/>
        <v>0.5714285714285714</v>
      </c>
      <c r="BB103">
        <f t="shared" ref="BB103:BD103" si="356">AX103/SUM($AX103:$AZ103)</f>
        <v>0.27848101265822789</v>
      </c>
      <c r="BC103">
        <f t="shared" si="356"/>
        <v>0.29113924050632911</v>
      </c>
      <c r="BD103">
        <f t="shared" si="356"/>
        <v>0.43037974683544306</v>
      </c>
      <c r="BF103" t="str">
        <f t="shared" si="242"/>
        <v>Sugar</v>
      </c>
      <c r="BG103" t="str">
        <f t="shared" si="243"/>
        <v>B</v>
      </c>
      <c r="BI103">
        <f t="shared" si="244"/>
        <v>3.5</v>
      </c>
      <c r="BJ103" t="str">
        <f t="shared" si="245"/>
        <v>Super Bowl</v>
      </c>
      <c r="BK103" t="str">
        <f t="shared" si="246"/>
        <v>B</v>
      </c>
      <c r="BS103">
        <f t="shared" si="247"/>
        <v>0.36974789915966388</v>
      </c>
      <c r="BT103">
        <f t="shared" si="248"/>
        <v>-0.38655462184873945</v>
      </c>
      <c r="BU103">
        <f t="shared" si="249"/>
        <v>0.5714285714285714</v>
      </c>
      <c r="BW103">
        <f t="shared" si="250"/>
        <v>-0.29438105456653607</v>
      </c>
      <c r="BX103">
        <f t="shared" si="251"/>
        <v>-0.83726531108471813</v>
      </c>
      <c r="BY103">
        <f t="shared" si="252"/>
        <v>1.190447131301168</v>
      </c>
      <c r="CB103">
        <f t="shared" si="253"/>
        <v>0.45039295009274533</v>
      </c>
      <c r="CC103">
        <f t="shared" si="254"/>
        <v>2.6144232029826449</v>
      </c>
      <c r="CD103">
        <f t="shared" si="255"/>
        <v>2.3495882066906972</v>
      </c>
      <c r="CE103">
        <f t="shared" si="256"/>
        <v>2.2648089131891211</v>
      </c>
      <c r="CF103">
        <f t="shared" si="257"/>
        <v>0.45039295009274533</v>
      </c>
      <c r="CJ103" t="str">
        <f t="shared" si="258"/>
        <v>Cluster 1</v>
      </c>
      <c r="CK103" t="str">
        <f t="shared" si="259"/>
        <v>B Super Bowl</v>
      </c>
      <c r="CL103" t="str">
        <f t="shared" si="260"/>
        <v>Super Bowl B</v>
      </c>
      <c r="CM103" t="str">
        <f t="shared" si="264"/>
        <v>Diff</v>
      </c>
    </row>
    <row r="104" spans="8:91">
      <c r="H104">
        <v>97</v>
      </c>
      <c r="I104">
        <v>4</v>
      </c>
      <c r="J104">
        <v>7</v>
      </c>
      <c r="K104">
        <v>10</v>
      </c>
      <c r="L104">
        <v>12</v>
      </c>
      <c r="M104">
        <v>15</v>
      </c>
      <c r="N104">
        <v>13</v>
      </c>
      <c r="O104">
        <v>16</v>
      </c>
      <c r="P104">
        <v>18</v>
      </c>
      <c r="Q104">
        <v>19</v>
      </c>
      <c r="R104">
        <v>20</v>
      </c>
      <c r="S104">
        <v>1</v>
      </c>
      <c r="T104">
        <v>2</v>
      </c>
      <c r="U104">
        <v>3</v>
      </c>
      <c r="V104">
        <v>5</v>
      </c>
      <c r="W104">
        <v>8</v>
      </c>
      <c r="X104">
        <v>6</v>
      </c>
      <c r="Y104">
        <v>9</v>
      </c>
      <c r="Z104">
        <v>11</v>
      </c>
      <c r="AA104">
        <v>14</v>
      </c>
      <c r="AB104">
        <v>17</v>
      </c>
      <c r="AD104">
        <f t="shared" ref="AD104:AH104" si="357">SUMIFS($I104:$AB104,$I$2:$AB$2,AD$7)</f>
        <v>24</v>
      </c>
      <c r="AE104">
        <f t="shared" si="357"/>
        <v>34</v>
      </c>
      <c r="AF104">
        <f t="shared" si="357"/>
        <v>42</v>
      </c>
      <c r="AG104">
        <f t="shared" si="357"/>
        <v>50</v>
      </c>
      <c r="AH104">
        <f t="shared" si="357"/>
        <v>60</v>
      </c>
      <c r="AI104">
        <f t="shared" si="308"/>
        <v>134</v>
      </c>
      <c r="AJ104">
        <f t="shared" si="308"/>
        <v>76</v>
      </c>
      <c r="AK104">
        <f t="shared" si="309"/>
        <v>143</v>
      </c>
      <c r="AL104">
        <f t="shared" si="309"/>
        <v>67</v>
      </c>
      <c r="AN104" s="67">
        <f t="shared" ref="AN104:AV104" si="358">((AD104-MIN($AD104:$AL104))/(MAX($AD104:$AL104)-MIN($AD104:$AL104)))</f>
        <v>0</v>
      </c>
      <c r="AO104" s="67">
        <f t="shared" si="358"/>
        <v>8.4033613445378158E-2</v>
      </c>
      <c r="AP104" s="67">
        <f t="shared" si="358"/>
        <v>0.15126050420168066</v>
      </c>
      <c r="AQ104" s="67">
        <f t="shared" si="358"/>
        <v>0.21848739495798319</v>
      </c>
      <c r="AR104" s="67">
        <f t="shared" si="358"/>
        <v>0.30252100840336132</v>
      </c>
      <c r="AS104" s="67">
        <f t="shared" si="358"/>
        <v>0.92436974789915971</v>
      </c>
      <c r="AT104" s="67">
        <f t="shared" si="358"/>
        <v>0.43697478991596639</v>
      </c>
      <c r="AU104" s="67">
        <f t="shared" si="358"/>
        <v>1</v>
      </c>
      <c r="AV104" s="67">
        <f t="shared" si="358"/>
        <v>0.36134453781512604</v>
      </c>
      <c r="AX104">
        <f t="shared" si="238"/>
        <v>0.30252100840336132</v>
      </c>
      <c r="AY104">
        <f t="shared" si="239"/>
        <v>0.48739495798319332</v>
      </c>
      <c r="AZ104">
        <f t="shared" si="240"/>
        <v>0.6386554621848739</v>
      </c>
      <c r="BB104">
        <f t="shared" ref="BB104:BD104" si="359">AX104/SUM($AX104:$AZ104)</f>
        <v>0.21176470588235291</v>
      </c>
      <c r="BC104">
        <f t="shared" si="359"/>
        <v>0.3411764705882353</v>
      </c>
      <c r="BD104">
        <f t="shared" si="359"/>
        <v>0.44705882352941173</v>
      </c>
      <c r="BF104" t="str">
        <f t="shared" si="242"/>
        <v>Sugar</v>
      </c>
      <c r="BG104" t="str">
        <f t="shared" si="243"/>
        <v>A</v>
      </c>
      <c r="BI104">
        <f t="shared" si="244"/>
        <v>3.5</v>
      </c>
      <c r="BJ104" t="str">
        <f t="shared" si="245"/>
        <v>Tennis</v>
      </c>
      <c r="BK104" t="str">
        <f t="shared" si="246"/>
        <v>A</v>
      </c>
      <c r="BS104">
        <f t="shared" si="247"/>
        <v>0.30252100840336132</v>
      </c>
      <c r="BT104">
        <f t="shared" si="248"/>
        <v>0.48739495798319332</v>
      </c>
      <c r="BU104">
        <f t="shared" si="249"/>
        <v>-0.6386554621848739</v>
      </c>
      <c r="BW104">
        <f t="shared" ref="BW104:BW139" si="360">(BS104-$BW$4)/$BW$5</f>
        <v>-0.88658687390872204</v>
      </c>
      <c r="BX104">
        <f t="shared" ref="BX104:BX139" si="361">(BT104-$BX$4)/$BX$5</f>
        <v>1.0736817150330213</v>
      </c>
      <c r="BY104">
        <f t="shared" ref="BY104:BY139" si="362">(BU104-$BY$4)/$BY$5</f>
        <v>-1.3661185797537068</v>
      </c>
      <c r="CB104">
        <f t="shared" ref="CB104:CB139" si="363">(($CB$3-BW104)^2+($CB$4-BX104)^2+($CB$5-BY104)^2)^(1/2)</f>
        <v>3.3343293898311779</v>
      </c>
      <c r="CC104">
        <f t="shared" ref="CC104:CC139" si="364">(($CC$3-BW104)^2+($CC$4-BX104)^2+($CC$5-BY104)^2)^(1/2)</f>
        <v>3.1430705713708131</v>
      </c>
      <c r="CD104">
        <f t="shared" ref="CD104:CD139" si="365">(($CD$3-BW104)^2+($CD$4-BX104)^2+($CD$5-BY104)^2)^(1/2)</f>
        <v>1.3032305401286828</v>
      </c>
      <c r="CE104">
        <f t="shared" ref="CE104:CE139" si="366">(($CE$3-BW104)^2+($CE$4-BX104)^2+($CE$5-BY104)^2)^(1/2)</f>
        <v>2.3042099354432994</v>
      </c>
      <c r="CF104">
        <f t="shared" si="257"/>
        <v>1.3032305401286828</v>
      </c>
      <c r="CJ104" t="str">
        <f t="shared" si="258"/>
        <v>Cluster 3</v>
      </c>
      <c r="CK104" t="str">
        <f t="shared" ref="CK104:CK135" si="367">INDEX($CB$2:$CE$2,,MATCH(CJ104,$CB$7:$CE$7,0))</f>
        <v>Tennis Only</v>
      </c>
      <c r="CL104" t="str">
        <f t="shared" si="260"/>
        <v>Tennis A</v>
      </c>
      <c r="CM104" t="str">
        <f t="shared" si="264"/>
        <v>Diff</v>
      </c>
    </row>
    <row r="105" spans="8:91">
      <c r="H105">
        <v>98</v>
      </c>
      <c r="I105">
        <v>4</v>
      </c>
      <c r="J105">
        <v>7</v>
      </c>
      <c r="K105">
        <v>10</v>
      </c>
      <c r="L105">
        <v>13</v>
      </c>
      <c r="M105">
        <v>16</v>
      </c>
      <c r="N105">
        <v>1</v>
      </c>
      <c r="O105">
        <v>2</v>
      </c>
      <c r="P105">
        <v>3</v>
      </c>
      <c r="Q105">
        <v>6</v>
      </c>
      <c r="R105">
        <v>9</v>
      </c>
      <c r="S105">
        <v>12</v>
      </c>
      <c r="T105">
        <v>15</v>
      </c>
      <c r="U105">
        <v>18</v>
      </c>
      <c r="V105">
        <v>19</v>
      </c>
      <c r="W105">
        <v>20</v>
      </c>
      <c r="X105">
        <v>5</v>
      </c>
      <c r="Y105">
        <v>8</v>
      </c>
      <c r="Z105">
        <v>11</v>
      </c>
      <c r="AA105">
        <v>14</v>
      </c>
      <c r="AB105">
        <v>17</v>
      </c>
      <c r="AD105">
        <f t="shared" ref="AD105:AH105" si="368">SUMIFS($I105:$AB105,$I$2:$AB$2,AD$7)</f>
        <v>22</v>
      </c>
      <c r="AE105">
        <f t="shared" si="368"/>
        <v>32</v>
      </c>
      <c r="AF105">
        <f t="shared" si="368"/>
        <v>42</v>
      </c>
      <c r="AG105">
        <f t="shared" si="368"/>
        <v>52</v>
      </c>
      <c r="AH105">
        <f t="shared" si="368"/>
        <v>62</v>
      </c>
      <c r="AI105">
        <f t="shared" si="308"/>
        <v>71</v>
      </c>
      <c r="AJ105">
        <f t="shared" si="308"/>
        <v>139</v>
      </c>
      <c r="AK105">
        <f t="shared" si="309"/>
        <v>76</v>
      </c>
      <c r="AL105">
        <f t="shared" si="309"/>
        <v>134</v>
      </c>
      <c r="AN105" s="67">
        <f t="shared" ref="AN105:AV105" si="369">((AD105-MIN($AD105:$AL105))/(MAX($AD105:$AL105)-MIN($AD105:$AL105)))</f>
        <v>0</v>
      </c>
      <c r="AO105" s="67">
        <f t="shared" si="369"/>
        <v>8.5470085470085472E-2</v>
      </c>
      <c r="AP105" s="67">
        <f t="shared" si="369"/>
        <v>0.17094017094017094</v>
      </c>
      <c r="AQ105" s="67">
        <f t="shared" si="369"/>
        <v>0.25641025641025639</v>
      </c>
      <c r="AR105" s="67">
        <f t="shared" si="369"/>
        <v>0.34188034188034189</v>
      </c>
      <c r="AS105" s="67">
        <f t="shared" si="369"/>
        <v>0.41880341880341881</v>
      </c>
      <c r="AT105" s="67">
        <f t="shared" si="369"/>
        <v>1</v>
      </c>
      <c r="AU105" s="67">
        <f t="shared" si="369"/>
        <v>0.46153846153846156</v>
      </c>
      <c r="AV105" s="67">
        <f t="shared" si="369"/>
        <v>0.95726495726495731</v>
      </c>
      <c r="AX105">
        <f t="shared" si="238"/>
        <v>0.34188034188034189</v>
      </c>
      <c r="AY105">
        <f t="shared" si="239"/>
        <v>0.58119658119658113</v>
      </c>
      <c r="AZ105">
        <f t="shared" si="240"/>
        <v>0.49572649572649574</v>
      </c>
      <c r="BB105">
        <f t="shared" ref="BB105:BD105" si="370">AX105/SUM($AX105:$AZ105)</f>
        <v>0.24096385542168677</v>
      </c>
      <c r="BC105">
        <f t="shared" si="370"/>
        <v>0.40963855421686746</v>
      </c>
      <c r="BD105">
        <f t="shared" si="370"/>
        <v>0.34939759036144585</v>
      </c>
      <c r="BF105" t="str">
        <f t="shared" si="242"/>
        <v xml:space="preserve">Brand </v>
      </c>
      <c r="BG105" t="str">
        <f t="shared" si="243"/>
        <v>Super Bowl</v>
      </c>
      <c r="BI105">
        <f t="shared" si="244"/>
        <v>3.5</v>
      </c>
      <c r="BJ105" t="str">
        <f t="shared" si="245"/>
        <v>Super Bowl</v>
      </c>
      <c r="BK105" t="str">
        <f t="shared" si="246"/>
        <v>B</v>
      </c>
      <c r="BS105">
        <f t="shared" si="247"/>
        <v>0.34188034188034189</v>
      </c>
      <c r="BT105">
        <f t="shared" si="248"/>
        <v>-0.58119658119658113</v>
      </c>
      <c r="BU105">
        <f t="shared" si="249"/>
        <v>0.49572649572649574</v>
      </c>
      <c r="BW105">
        <f t="shared" si="360"/>
        <v>-0.53986808224257044</v>
      </c>
      <c r="BX105">
        <f t="shared" si="361"/>
        <v>-1.2628624873486129</v>
      </c>
      <c r="BY105">
        <f t="shared" si="362"/>
        <v>1.0305100313811875</v>
      </c>
      <c r="CB105">
        <f t="shared" si="363"/>
        <v>0.159516529004925</v>
      </c>
      <c r="CC105">
        <f t="shared" si="364"/>
        <v>2.9407295702811727</v>
      </c>
      <c r="CD105">
        <f t="shared" si="365"/>
        <v>2.6325872105457719</v>
      </c>
      <c r="CE105">
        <f t="shared" si="366"/>
        <v>2.0756959057100794</v>
      </c>
      <c r="CF105">
        <f t="shared" si="257"/>
        <v>0.159516529004925</v>
      </c>
      <c r="CJ105" t="str">
        <f t="shared" si="258"/>
        <v>Cluster 1</v>
      </c>
      <c r="CK105" t="str">
        <f t="shared" si="367"/>
        <v>B Super Bowl</v>
      </c>
      <c r="CL105" t="str">
        <f t="shared" si="260"/>
        <v>Super Bowl B</v>
      </c>
      <c r="CM105" t="str">
        <f t="shared" ref="CM105:CM139" si="371">IF(CK105=CL105,"","Diff")</f>
        <v>Diff</v>
      </c>
    </row>
    <row r="106" spans="8:91">
      <c r="H106">
        <v>99</v>
      </c>
      <c r="I106">
        <v>1</v>
      </c>
      <c r="J106">
        <v>2</v>
      </c>
      <c r="K106">
        <v>4</v>
      </c>
      <c r="L106">
        <v>7</v>
      </c>
      <c r="M106">
        <v>10</v>
      </c>
      <c r="N106">
        <v>6</v>
      </c>
      <c r="O106">
        <v>9</v>
      </c>
      <c r="P106">
        <v>13</v>
      </c>
      <c r="Q106">
        <v>16</v>
      </c>
      <c r="R106">
        <v>18</v>
      </c>
      <c r="S106">
        <v>3</v>
      </c>
      <c r="T106">
        <v>5</v>
      </c>
      <c r="U106">
        <v>8</v>
      </c>
      <c r="V106">
        <v>12</v>
      </c>
      <c r="W106">
        <v>15</v>
      </c>
      <c r="X106">
        <v>11</v>
      </c>
      <c r="Y106">
        <v>14</v>
      </c>
      <c r="Z106">
        <v>17</v>
      </c>
      <c r="AA106">
        <v>19</v>
      </c>
      <c r="AB106">
        <v>20</v>
      </c>
      <c r="AD106">
        <f t="shared" ref="AD106:AH106" si="372">SUMIFS($I106:$AB106,$I$2:$AB$2,AD$7)</f>
        <v>21</v>
      </c>
      <c r="AE106">
        <f t="shared" si="372"/>
        <v>30</v>
      </c>
      <c r="AF106">
        <f t="shared" si="372"/>
        <v>42</v>
      </c>
      <c r="AG106">
        <f t="shared" si="372"/>
        <v>54</v>
      </c>
      <c r="AH106">
        <f t="shared" si="372"/>
        <v>63</v>
      </c>
      <c r="AI106">
        <f t="shared" si="308"/>
        <v>86</v>
      </c>
      <c r="AJ106">
        <f t="shared" si="308"/>
        <v>124</v>
      </c>
      <c r="AK106">
        <f t="shared" si="309"/>
        <v>143</v>
      </c>
      <c r="AL106">
        <f t="shared" si="309"/>
        <v>67</v>
      </c>
      <c r="AN106" s="67">
        <f t="shared" ref="AN106:AV106" si="373">((AD106-MIN($AD106:$AL106))/(MAX($AD106:$AL106)-MIN($AD106:$AL106)))</f>
        <v>0</v>
      </c>
      <c r="AO106" s="67">
        <f t="shared" si="373"/>
        <v>7.3770491803278687E-2</v>
      </c>
      <c r="AP106" s="67">
        <f t="shared" si="373"/>
        <v>0.1721311475409836</v>
      </c>
      <c r="AQ106" s="67">
        <f t="shared" si="373"/>
        <v>0.27049180327868855</v>
      </c>
      <c r="AR106" s="67">
        <f t="shared" si="373"/>
        <v>0.34426229508196721</v>
      </c>
      <c r="AS106" s="67">
        <f t="shared" si="373"/>
        <v>0.53278688524590168</v>
      </c>
      <c r="AT106" s="67">
        <f t="shared" si="373"/>
        <v>0.84426229508196726</v>
      </c>
      <c r="AU106" s="67">
        <f t="shared" si="373"/>
        <v>1</v>
      </c>
      <c r="AV106" s="67">
        <f t="shared" si="373"/>
        <v>0.37704918032786883</v>
      </c>
      <c r="AX106">
        <f t="shared" si="238"/>
        <v>0.34426229508196721</v>
      </c>
      <c r="AY106">
        <f t="shared" si="239"/>
        <v>0.31147540983606559</v>
      </c>
      <c r="AZ106">
        <f t="shared" si="240"/>
        <v>0.62295081967213117</v>
      </c>
      <c r="BB106">
        <f t="shared" ref="BB106:BD106" si="374">AX106/SUM($AX106:$AZ106)</f>
        <v>0.26923076923076922</v>
      </c>
      <c r="BC106">
        <f t="shared" si="374"/>
        <v>0.24358974358974358</v>
      </c>
      <c r="BD106">
        <f t="shared" si="374"/>
        <v>0.48717948717948717</v>
      </c>
      <c r="BF106" t="str">
        <f t="shared" si="242"/>
        <v>Sugar</v>
      </c>
      <c r="BG106" t="str">
        <f t="shared" si="243"/>
        <v>A</v>
      </c>
      <c r="BI106">
        <f t="shared" si="244"/>
        <v>3.5</v>
      </c>
      <c r="BJ106" t="str">
        <f t="shared" si="245"/>
        <v>Super Bowl</v>
      </c>
      <c r="BK106" t="str">
        <f t="shared" si="246"/>
        <v>A</v>
      </c>
      <c r="BS106">
        <f t="shared" si="247"/>
        <v>0.34426229508196721</v>
      </c>
      <c r="BT106">
        <f t="shared" si="248"/>
        <v>-0.31147540983606559</v>
      </c>
      <c r="BU106">
        <f t="shared" si="249"/>
        <v>-0.62295081967213117</v>
      </c>
      <c r="BW106">
        <f t="shared" si="360"/>
        <v>-0.51888530984994685</v>
      </c>
      <c r="BX106">
        <f t="shared" si="361"/>
        <v>-0.67309977999484305</v>
      </c>
      <c r="BY106">
        <f t="shared" si="362"/>
        <v>-1.3329391067277214</v>
      </c>
      <c r="CB106">
        <f t="shared" si="363"/>
        <v>2.4881143080635506</v>
      </c>
      <c r="CC106">
        <f t="shared" si="364"/>
        <v>2.8258906636891918</v>
      </c>
      <c r="CD106">
        <f t="shared" si="365"/>
        <v>2.1338163548698303</v>
      </c>
      <c r="CE106">
        <f t="shared" si="366"/>
        <v>0.57776458974564948</v>
      </c>
      <c r="CF106">
        <f t="shared" si="257"/>
        <v>0.57776458974564948</v>
      </c>
      <c r="CJ106" t="str">
        <f t="shared" si="258"/>
        <v>Cluster 4</v>
      </c>
      <c r="CK106" t="str">
        <f t="shared" si="367"/>
        <v>A Super Bowl</v>
      </c>
      <c r="CL106" t="str">
        <f t="shared" si="260"/>
        <v>Super Bowl A</v>
      </c>
      <c r="CM106" t="str">
        <f t="shared" si="371"/>
        <v>Diff</v>
      </c>
    </row>
    <row r="107" spans="8:91">
      <c r="H107">
        <v>100</v>
      </c>
      <c r="I107">
        <v>4</v>
      </c>
      <c r="J107">
        <v>7</v>
      </c>
      <c r="K107">
        <v>10</v>
      </c>
      <c r="L107">
        <v>13</v>
      </c>
      <c r="M107">
        <v>16</v>
      </c>
      <c r="N107">
        <v>1</v>
      </c>
      <c r="O107">
        <v>2</v>
      </c>
      <c r="P107">
        <v>3</v>
      </c>
      <c r="Q107">
        <v>6</v>
      </c>
      <c r="R107">
        <v>9</v>
      </c>
      <c r="S107">
        <v>12</v>
      </c>
      <c r="T107">
        <v>15</v>
      </c>
      <c r="U107">
        <v>18</v>
      </c>
      <c r="V107">
        <v>19</v>
      </c>
      <c r="W107">
        <v>20</v>
      </c>
      <c r="X107">
        <v>5</v>
      </c>
      <c r="Y107">
        <v>8</v>
      </c>
      <c r="Z107">
        <v>11</v>
      </c>
      <c r="AA107">
        <v>14</v>
      </c>
      <c r="AB107">
        <v>17</v>
      </c>
      <c r="AD107">
        <f t="shared" ref="AD107:AH107" si="375">SUMIFS($I107:$AB107,$I$2:$AB$2,AD$7)</f>
        <v>22</v>
      </c>
      <c r="AE107">
        <f t="shared" si="375"/>
        <v>32</v>
      </c>
      <c r="AF107">
        <f t="shared" si="375"/>
        <v>42</v>
      </c>
      <c r="AG107">
        <f t="shared" si="375"/>
        <v>52</v>
      </c>
      <c r="AH107">
        <f t="shared" si="375"/>
        <v>62</v>
      </c>
      <c r="AI107">
        <f t="shared" si="308"/>
        <v>71</v>
      </c>
      <c r="AJ107">
        <f t="shared" si="308"/>
        <v>139</v>
      </c>
      <c r="AK107">
        <f t="shared" si="309"/>
        <v>76</v>
      </c>
      <c r="AL107">
        <f t="shared" si="309"/>
        <v>134</v>
      </c>
      <c r="AN107" s="67">
        <f t="shared" ref="AN107:AV107" si="376">((AD107-MIN($AD107:$AL107))/(MAX($AD107:$AL107)-MIN($AD107:$AL107)))</f>
        <v>0</v>
      </c>
      <c r="AO107" s="67">
        <f t="shared" si="376"/>
        <v>8.5470085470085472E-2</v>
      </c>
      <c r="AP107" s="67">
        <f t="shared" si="376"/>
        <v>0.17094017094017094</v>
      </c>
      <c r="AQ107" s="67">
        <f t="shared" si="376"/>
        <v>0.25641025641025639</v>
      </c>
      <c r="AR107" s="67">
        <f t="shared" si="376"/>
        <v>0.34188034188034189</v>
      </c>
      <c r="AS107" s="67">
        <f t="shared" si="376"/>
        <v>0.41880341880341881</v>
      </c>
      <c r="AT107" s="67">
        <f t="shared" si="376"/>
        <v>1</v>
      </c>
      <c r="AU107" s="67">
        <f t="shared" si="376"/>
        <v>0.46153846153846156</v>
      </c>
      <c r="AV107" s="67">
        <f t="shared" si="376"/>
        <v>0.95726495726495731</v>
      </c>
      <c r="AX107">
        <f t="shared" si="238"/>
        <v>0.34188034188034189</v>
      </c>
      <c r="AY107">
        <f t="shared" si="239"/>
        <v>0.58119658119658113</v>
      </c>
      <c r="AZ107">
        <f t="shared" si="240"/>
        <v>0.49572649572649574</v>
      </c>
      <c r="BB107">
        <f t="shared" ref="BB107:BD107" si="377">AX107/SUM($AX107:$AZ107)</f>
        <v>0.24096385542168677</v>
      </c>
      <c r="BC107">
        <f t="shared" si="377"/>
        <v>0.40963855421686746</v>
      </c>
      <c r="BD107">
        <f t="shared" si="377"/>
        <v>0.34939759036144585</v>
      </c>
      <c r="BF107" t="str">
        <f t="shared" si="242"/>
        <v xml:space="preserve">Brand </v>
      </c>
      <c r="BG107" t="str">
        <f t="shared" si="243"/>
        <v>Super Bowl</v>
      </c>
      <c r="BI107">
        <f t="shared" si="244"/>
        <v>3.5</v>
      </c>
      <c r="BJ107" t="str">
        <f t="shared" si="245"/>
        <v>Super Bowl</v>
      </c>
      <c r="BK107" t="str">
        <f t="shared" si="246"/>
        <v>B</v>
      </c>
      <c r="BS107">
        <f t="shared" si="247"/>
        <v>0.34188034188034189</v>
      </c>
      <c r="BT107">
        <f t="shared" si="248"/>
        <v>-0.58119658119658113</v>
      </c>
      <c r="BU107">
        <f t="shared" si="249"/>
        <v>0.49572649572649574</v>
      </c>
      <c r="BW107">
        <f t="shared" si="360"/>
        <v>-0.53986808224257044</v>
      </c>
      <c r="BX107">
        <f t="shared" si="361"/>
        <v>-1.2628624873486129</v>
      </c>
      <c r="BY107">
        <f t="shared" si="362"/>
        <v>1.0305100313811875</v>
      </c>
      <c r="CB107">
        <f t="shared" si="363"/>
        <v>0.159516529004925</v>
      </c>
      <c r="CC107">
        <f t="shared" si="364"/>
        <v>2.9407295702811727</v>
      </c>
      <c r="CD107">
        <f t="shared" si="365"/>
        <v>2.6325872105457719</v>
      </c>
      <c r="CE107">
        <f t="shared" si="366"/>
        <v>2.0756959057100794</v>
      </c>
      <c r="CF107">
        <f t="shared" si="257"/>
        <v>0.159516529004925</v>
      </c>
      <c r="CJ107" t="str">
        <f t="shared" si="258"/>
        <v>Cluster 1</v>
      </c>
      <c r="CK107" t="str">
        <f t="shared" si="367"/>
        <v>B Super Bowl</v>
      </c>
      <c r="CL107" t="str">
        <f t="shared" si="260"/>
        <v>Super Bowl B</v>
      </c>
      <c r="CM107" t="str">
        <f t="shared" si="371"/>
        <v>Diff</v>
      </c>
    </row>
    <row r="108" spans="8:91">
      <c r="H108">
        <v>101</v>
      </c>
      <c r="I108">
        <v>6</v>
      </c>
      <c r="J108">
        <v>9</v>
      </c>
      <c r="K108">
        <v>11</v>
      </c>
      <c r="L108">
        <v>14</v>
      </c>
      <c r="M108">
        <v>17</v>
      </c>
      <c r="N108">
        <v>1</v>
      </c>
      <c r="O108">
        <v>2</v>
      </c>
      <c r="P108">
        <v>3</v>
      </c>
      <c r="Q108">
        <v>5</v>
      </c>
      <c r="R108">
        <v>8</v>
      </c>
      <c r="S108">
        <v>13</v>
      </c>
      <c r="T108">
        <v>16</v>
      </c>
      <c r="U108">
        <v>18</v>
      </c>
      <c r="V108">
        <v>19</v>
      </c>
      <c r="W108">
        <v>20</v>
      </c>
      <c r="X108">
        <v>4</v>
      </c>
      <c r="Y108">
        <v>7</v>
      </c>
      <c r="Z108">
        <v>10</v>
      </c>
      <c r="AA108">
        <v>12</v>
      </c>
      <c r="AB108">
        <v>15</v>
      </c>
      <c r="AD108">
        <f t="shared" ref="AD108:AH108" si="378">SUMIFS($I108:$AB108,$I$2:$AB$2,AD$7)</f>
        <v>24</v>
      </c>
      <c r="AE108">
        <f t="shared" si="378"/>
        <v>34</v>
      </c>
      <c r="AF108">
        <f t="shared" si="378"/>
        <v>42</v>
      </c>
      <c r="AG108">
        <f t="shared" si="378"/>
        <v>50</v>
      </c>
      <c r="AH108">
        <f t="shared" si="378"/>
        <v>60</v>
      </c>
      <c r="AI108">
        <f t="shared" ref="AI108:AJ127" si="379">SUMIFS($I108:$AB108,$I$3:$AB$3,AI$7)</f>
        <v>76</v>
      </c>
      <c r="AJ108">
        <f t="shared" si="379"/>
        <v>134</v>
      </c>
      <c r="AK108">
        <f t="shared" ref="AK108:AL127" si="380">SUMIFS($I108:$AB108,$I$4:$AB$4,AK$7)</f>
        <v>67</v>
      </c>
      <c r="AL108">
        <f t="shared" si="380"/>
        <v>143</v>
      </c>
      <c r="AN108" s="67">
        <f t="shared" ref="AN108:AV108" si="381">((AD108-MIN($AD108:$AL108))/(MAX($AD108:$AL108)-MIN($AD108:$AL108)))</f>
        <v>0</v>
      </c>
      <c r="AO108" s="67">
        <f t="shared" si="381"/>
        <v>8.4033613445378158E-2</v>
      </c>
      <c r="AP108" s="67">
        <f t="shared" si="381"/>
        <v>0.15126050420168066</v>
      </c>
      <c r="AQ108" s="67">
        <f t="shared" si="381"/>
        <v>0.21848739495798319</v>
      </c>
      <c r="AR108" s="67">
        <f t="shared" si="381"/>
        <v>0.30252100840336132</v>
      </c>
      <c r="AS108" s="67">
        <f t="shared" si="381"/>
        <v>0.43697478991596639</v>
      </c>
      <c r="AT108" s="67">
        <f t="shared" si="381"/>
        <v>0.92436974789915971</v>
      </c>
      <c r="AU108" s="67">
        <f t="shared" si="381"/>
        <v>0.36134453781512604</v>
      </c>
      <c r="AV108" s="67">
        <f t="shared" si="381"/>
        <v>1</v>
      </c>
      <c r="AX108">
        <f t="shared" si="238"/>
        <v>0.30252100840336132</v>
      </c>
      <c r="AY108">
        <f t="shared" si="239"/>
        <v>0.48739495798319332</v>
      </c>
      <c r="AZ108">
        <f t="shared" si="240"/>
        <v>0.6386554621848739</v>
      </c>
      <c r="BB108">
        <f t="shared" ref="BB108:BD108" si="382">AX108/SUM($AX108:$AZ108)</f>
        <v>0.21176470588235291</v>
      </c>
      <c r="BC108">
        <f t="shared" si="382"/>
        <v>0.3411764705882353</v>
      </c>
      <c r="BD108">
        <f t="shared" si="382"/>
        <v>0.44705882352941173</v>
      </c>
      <c r="BF108" t="str">
        <f t="shared" si="242"/>
        <v>Sugar</v>
      </c>
      <c r="BG108" t="str">
        <f t="shared" si="243"/>
        <v>B</v>
      </c>
      <c r="BI108">
        <f t="shared" si="244"/>
        <v>3.5</v>
      </c>
      <c r="BJ108" t="str">
        <f t="shared" si="245"/>
        <v>Super Bowl</v>
      </c>
      <c r="BK108" t="str">
        <f t="shared" si="246"/>
        <v>B</v>
      </c>
      <c r="BS108">
        <f t="shared" si="247"/>
        <v>0.30252100840336132</v>
      </c>
      <c r="BT108">
        <f t="shared" si="248"/>
        <v>-0.48739495798319332</v>
      </c>
      <c r="BU108">
        <f t="shared" si="249"/>
        <v>0.6386554621848739</v>
      </c>
      <c r="BW108">
        <f t="shared" si="360"/>
        <v>-0.88658687390872204</v>
      </c>
      <c r="BX108">
        <f t="shared" si="361"/>
        <v>-1.0577591987136883</v>
      </c>
      <c r="BY108">
        <f t="shared" si="362"/>
        <v>1.3324785596931055</v>
      </c>
      <c r="CB108">
        <f t="shared" si="363"/>
        <v>0.36398114121480674</v>
      </c>
      <c r="CC108">
        <f t="shared" si="364"/>
        <v>3.2443418197903178</v>
      </c>
      <c r="CD108">
        <f t="shared" si="365"/>
        <v>2.6432629258683842</v>
      </c>
      <c r="CE108">
        <f t="shared" si="366"/>
        <v>2.4123084525291745</v>
      </c>
      <c r="CF108">
        <f t="shared" si="257"/>
        <v>0.36398114121480674</v>
      </c>
      <c r="CJ108" t="str">
        <f t="shared" si="258"/>
        <v>Cluster 1</v>
      </c>
      <c r="CK108" t="str">
        <f t="shared" si="367"/>
        <v>B Super Bowl</v>
      </c>
      <c r="CL108" t="str">
        <f t="shared" si="260"/>
        <v>Super Bowl B</v>
      </c>
      <c r="CM108" t="str">
        <f t="shared" si="371"/>
        <v>Diff</v>
      </c>
    </row>
    <row r="109" spans="8:91">
      <c r="H109">
        <v>102</v>
      </c>
      <c r="I109">
        <v>1</v>
      </c>
      <c r="J109">
        <v>2</v>
      </c>
      <c r="K109">
        <v>4</v>
      </c>
      <c r="L109">
        <v>7</v>
      </c>
      <c r="M109">
        <v>10</v>
      </c>
      <c r="N109">
        <v>3</v>
      </c>
      <c r="O109">
        <v>6</v>
      </c>
      <c r="P109">
        <v>9</v>
      </c>
      <c r="Q109">
        <v>13</v>
      </c>
      <c r="R109">
        <v>16</v>
      </c>
      <c r="S109">
        <v>6</v>
      </c>
      <c r="T109">
        <v>9</v>
      </c>
      <c r="U109">
        <v>13</v>
      </c>
      <c r="V109">
        <v>16</v>
      </c>
      <c r="W109">
        <v>18</v>
      </c>
      <c r="X109">
        <v>11</v>
      </c>
      <c r="Y109">
        <v>14</v>
      </c>
      <c r="Z109">
        <v>17</v>
      </c>
      <c r="AA109">
        <v>19</v>
      </c>
      <c r="AB109">
        <v>20</v>
      </c>
      <c r="AD109">
        <f t="shared" ref="AD109:AH109" si="383">SUMIFS($I109:$AB109,$I$2:$AB$2,AD$7)</f>
        <v>21</v>
      </c>
      <c r="AE109">
        <f t="shared" si="383"/>
        <v>31</v>
      </c>
      <c r="AF109">
        <f t="shared" si="383"/>
        <v>43</v>
      </c>
      <c r="AG109">
        <f t="shared" si="383"/>
        <v>55</v>
      </c>
      <c r="AH109">
        <f t="shared" si="383"/>
        <v>64</v>
      </c>
      <c r="AI109">
        <f t="shared" si="379"/>
        <v>71</v>
      </c>
      <c r="AJ109">
        <f t="shared" si="379"/>
        <v>143</v>
      </c>
      <c r="AK109">
        <f t="shared" si="380"/>
        <v>128</v>
      </c>
      <c r="AL109">
        <f t="shared" si="380"/>
        <v>86</v>
      </c>
      <c r="AN109" s="67">
        <f t="shared" ref="AN109:AV109" si="384">((AD109-MIN($AD109:$AL109))/(MAX($AD109:$AL109)-MIN($AD109:$AL109)))</f>
        <v>0</v>
      </c>
      <c r="AO109" s="67">
        <f t="shared" si="384"/>
        <v>8.1967213114754092E-2</v>
      </c>
      <c r="AP109" s="67">
        <f t="shared" si="384"/>
        <v>0.18032786885245902</v>
      </c>
      <c r="AQ109" s="67">
        <f t="shared" si="384"/>
        <v>0.27868852459016391</v>
      </c>
      <c r="AR109" s="67">
        <f t="shared" si="384"/>
        <v>0.35245901639344263</v>
      </c>
      <c r="AS109" s="67">
        <f t="shared" si="384"/>
        <v>0.4098360655737705</v>
      </c>
      <c r="AT109" s="67">
        <f t="shared" si="384"/>
        <v>1</v>
      </c>
      <c r="AU109" s="67">
        <f t="shared" si="384"/>
        <v>0.87704918032786883</v>
      </c>
      <c r="AV109" s="67">
        <f t="shared" si="384"/>
        <v>0.53278688524590168</v>
      </c>
      <c r="AX109">
        <f t="shared" si="238"/>
        <v>0.35245901639344263</v>
      </c>
      <c r="AY109">
        <f t="shared" si="239"/>
        <v>0.5901639344262295</v>
      </c>
      <c r="AZ109">
        <f t="shared" si="240"/>
        <v>0.34426229508196715</v>
      </c>
      <c r="BB109">
        <f t="shared" ref="BB109:BD109" si="385">AX109/SUM($AX109:$AZ109)</f>
        <v>0.27388535031847133</v>
      </c>
      <c r="BC109">
        <f t="shared" si="385"/>
        <v>0.45859872611464969</v>
      </c>
      <c r="BD109">
        <f t="shared" si="385"/>
        <v>0.26751592356687892</v>
      </c>
      <c r="BF109" t="str">
        <f t="shared" si="242"/>
        <v xml:space="preserve">Brand </v>
      </c>
      <c r="BG109" t="str">
        <f t="shared" si="243"/>
        <v>Super Bowl</v>
      </c>
      <c r="BI109">
        <f t="shared" si="244"/>
        <v>3.5</v>
      </c>
      <c r="BJ109" t="str">
        <f t="shared" si="245"/>
        <v>Super Bowl</v>
      </c>
      <c r="BK109" t="str">
        <f t="shared" si="246"/>
        <v>A</v>
      </c>
      <c r="BS109">
        <f t="shared" si="247"/>
        <v>0.35245901639344263</v>
      </c>
      <c r="BT109">
        <f t="shared" si="248"/>
        <v>-0.5901639344262295</v>
      </c>
      <c r="BU109">
        <f t="shared" si="249"/>
        <v>-0.34426229508196715</v>
      </c>
      <c r="BW109">
        <f t="shared" si="360"/>
        <v>-0.44667988720474172</v>
      </c>
      <c r="BX109">
        <f t="shared" si="361"/>
        <v>-1.2824701825541409</v>
      </c>
      <c r="BY109">
        <f t="shared" si="362"/>
        <v>-0.74414898452098022</v>
      </c>
      <c r="CB109">
        <f t="shared" si="363"/>
        <v>1.8650194303561887</v>
      </c>
      <c r="CC109">
        <f t="shared" si="364"/>
        <v>2.802544495843613</v>
      </c>
      <c r="CD109">
        <f t="shared" si="365"/>
        <v>2.4522938527980602</v>
      </c>
      <c r="CE109">
        <f t="shared" si="366"/>
        <v>0.31981381807303627</v>
      </c>
      <c r="CF109">
        <f t="shared" si="257"/>
        <v>0.31981381807303627</v>
      </c>
      <c r="CJ109" t="str">
        <f t="shared" si="258"/>
        <v>Cluster 4</v>
      </c>
      <c r="CK109" t="str">
        <f t="shared" si="367"/>
        <v>A Super Bowl</v>
      </c>
      <c r="CL109" t="str">
        <f t="shared" si="260"/>
        <v>Super Bowl A</v>
      </c>
      <c r="CM109" t="str">
        <f t="shared" si="371"/>
        <v>Diff</v>
      </c>
    </row>
    <row r="110" spans="8:91">
      <c r="H110">
        <v>103</v>
      </c>
      <c r="I110">
        <v>3</v>
      </c>
      <c r="J110">
        <v>7</v>
      </c>
      <c r="K110">
        <v>11</v>
      </c>
      <c r="L110">
        <v>15</v>
      </c>
      <c r="M110">
        <v>19</v>
      </c>
      <c r="N110">
        <v>4</v>
      </c>
      <c r="O110">
        <v>8</v>
      </c>
      <c r="P110">
        <v>12</v>
      </c>
      <c r="Q110">
        <v>16</v>
      </c>
      <c r="R110">
        <v>20</v>
      </c>
      <c r="S110">
        <v>1</v>
      </c>
      <c r="T110">
        <v>5</v>
      </c>
      <c r="U110">
        <v>9</v>
      </c>
      <c r="V110">
        <v>13</v>
      </c>
      <c r="W110">
        <v>17</v>
      </c>
      <c r="X110">
        <v>2</v>
      </c>
      <c r="Y110">
        <v>6</v>
      </c>
      <c r="Z110">
        <v>10</v>
      </c>
      <c r="AA110">
        <v>14</v>
      </c>
      <c r="AB110">
        <v>18</v>
      </c>
      <c r="AD110">
        <f t="shared" ref="AD110:AH110" si="386">SUMIFS($I110:$AB110,$I$2:$AB$2,AD$7)</f>
        <v>10</v>
      </c>
      <c r="AE110">
        <f t="shared" si="386"/>
        <v>26</v>
      </c>
      <c r="AF110">
        <f t="shared" si="386"/>
        <v>42</v>
      </c>
      <c r="AG110">
        <f t="shared" si="386"/>
        <v>58</v>
      </c>
      <c r="AH110">
        <f t="shared" si="386"/>
        <v>74</v>
      </c>
      <c r="AI110">
        <f t="shared" si="379"/>
        <v>115</v>
      </c>
      <c r="AJ110">
        <f t="shared" si="379"/>
        <v>95</v>
      </c>
      <c r="AK110">
        <f t="shared" si="380"/>
        <v>110</v>
      </c>
      <c r="AL110">
        <f t="shared" si="380"/>
        <v>100</v>
      </c>
      <c r="AN110" s="67">
        <f t="shared" ref="AN110:AV110" si="387">((AD110-MIN($AD110:$AL110))/(MAX($AD110:$AL110)-MIN($AD110:$AL110)))</f>
        <v>0</v>
      </c>
      <c r="AO110" s="67">
        <f t="shared" si="387"/>
        <v>0.15238095238095239</v>
      </c>
      <c r="AP110" s="67">
        <f t="shared" si="387"/>
        <v>0.30476190476190479</v>
      </c>
      <c r="AQ110" s="67">
        <f t="shared" si="387"/>
        <v>0.45714285714285713</v>
      </c>
      <c r="AR110" s="67">
        <f t="shared" si="387"/>
        <v>0.60952380952380958</v>
      </c>
      <c r="AS110" s="67">
        <f t="shared" si="387"/>
        <v>1</v>
      </c>
      <c r="AT110" s="67">
        <f t="shared" si="387"/>
        <v>0.80952380952380953</v>
      </c>
      <c r="AU110" s="67">
        <f t="shared" si="387"/>
        <v>0.95238095238095233</v>
      </c>
      <c r="AV110" s="67">
        <f t="shared" si="387"/>
        <v>0.8571428571428571</v>
      </c>
      <c r="AX110">
        <f t="shared" si="238"/>
        <v>0.60952380952380958</v>
      </c>
      <c r="AY110">
        <f t="shared" si="239"/>
        <v>0.19047619047619047</v>
      </c>
      <c r="AZ110">
        <f t="shared" si="240"/>
        <v>9.5238095238095233E-2</v>
      </c>
      <c r="BB110">
        <f t="shared" ref="BB110:BD110" si="388">AX110/SUM($AX110:$AZ110)</f>
        <v>0.68085106382978722</v>
      </c>
      <c r="BC110">
        <f t="shared" si="388"/>
        <v>0.21276595744680848</v>
      </c>
      <c r="BD110">
        <f t="shared" si="388"/>
        <v>0.10638297872340424</v>
      </c>
      <c r="BF110" t="str">
        <f t="shared" si="242"/>
        <v>Price</v>
      </c>
      <c r="BG110">
        <f t="shared" si="243"/>
        <v>3.5</v>
      </c>
      <c r="BI110">
        <f t="shared" si="244"/>
        <v>3.5</v>
      </c>
      <c r="BJ110" t="str">
        <f t="shared" si="245"/>
        <v>Tennis</v>
      </c>
      <c r="BK110" t="str">
        <f t="shared" si="246"/>
        <v>A</v>
      </c>
      <c r="BS110">
        <f t="shared" si="247"/>
        <v>0.60952380952380958</v>
      </c>
      <c r="BT110">
        <f t="shared" si="248"/>
        <v>0.19047619047619047</v>
      </c>
      <c r="BU110">
        <f t="shared" si="249"/>
        <v>-9.5238095238095233E-2</v>
      </c>
      <c r="BW110">
        <f t="shared" si="360"/>
        <v>1.8178197010872597</v>
      </c>
      <c r="BX110">
        <f t="shared" si="361"/>
        <v>0.42444971256994318</v>
      </c>
      <c r="BY110">
        <f t="shared" si="362"/>
        <v>-0.21803120025221195</v>
      </c>
      <c r="CB110">
        <f t="shared" si="363"/>
        <v>3.1829295460508495</v>
      </c>
      <c r="CC110">
        <f t="shared" si="364"/>
        <v>0.32315137650282982</v>
      </c>
      <c r="CD110">
        <f t="shared" si="365"/>
        <v>2.3644295228015042</v>
      </c>
      <c r="CE110">
        <f t="shared" si="366"/>
        <v>2.9140733921359261</v>
      </c>
      <c r="CF110">
        <f t="shared" si="257"/>
        <v>0.32315137650282982</v>
      </c>
      <c r="CJ110" t="str">
        <f t="shared" si="258"/>
        <v>Cluster 2</v>
      </c>
      <c r="CK110" t="str">
        <f t="shared" si="367"/>
        <v>Price Only</v>
      </c>
      <c r="CL110" t="str">
        <f t="shared" si="260"/>
        <v>Price Only</v>
      </c>
      <c r="CM110" t="str">
        <f t="shared" si="371"/>
        <v/>
      </c>
    </row>
    <row r="111" spans="8:91">
      <c r="H111">
        <v>104</v>
      </c>
      <c r="I111">
        <v>4</v>
      </c>
      <c r="J111">
        <v>7</v>
      </c>
      <c r="K111">
        <v>11</v>
      </c>
      <c r="L111">
        <v>15</v>
      </c>
      <c r="M111">
        <v>18</v>
      </c>
      <c r="N111">
        <v>1</v>
      </c>
      <c r="O111">
        <v>2</v>
      </c>
      <c r="P111">
        <v>5</v>
      </c>
      <c r="Q111">
        <v>8</v>
      </c>
      <c r="R111">
        <v>12</v>
      </c>
      <c r="S111">
        <v>9</v>
      </c>
      <c r="T111">
        <v>13</v>
      </c>
      <c r="U111">
        <v>16</v>
      </c>
      <c r="V111">
        <v>19</v>
      </c>
      <c r="W111">
        <v>20</v>
      </c>
      <c r="X111">
        <v>3</v>
      </c>
      <c r="Y111">
        <v>6</v>
      </c>
      <c r="Z111">
        <v>10</v>
      </c>
      <c r="AA111">
        <v>14</v>
      </c>
      <c r="AB111">
        <v>17</v>
      </c>
      <c r="AD111">
        <f t="shared" ref="AD111:AH111" si="389">SUMIFS($I111:$AB111,$I$2:$AB$2,AD$7)</f>
        <v>17</v>
      </c>
      <c r="AE111">
        <f t="shared" si="389"/>
        <v>28</v>
      </c>
      <c r="AF111">
        <f t="shared" si="389"/>
        <v>42</v>
      </c>
      <c r="AG111">
        <f t="shared" si="389"/>
        <v>56</v>
      </c>
      <c r="AH111">
        <f t="shared" si="389"/>
        <v>67</v>
      </c>
      <c r="AI111">
        <f t="shared" si="379"/>
        <v>83</v>
      </c>
      <c r="AJ111">
        <f t="shared" si="379"/>
        <v>127</v>
      </c>
      <c r="AK111">
        <f t="shared" si="380"/>
        <v>78</v>
      </c>
      <c r="AL111">
        <f t="shared" si="380"/>
        <v>132</v>
      </c>
      <c r="AN111" s="67">
        <f t="shared" ref="AN111:AV111" si="390">((AD111-MIN($AD111:$AL111))/(MAX($AD111:$AL111)-MIN($AD111:$AL111)))</f>
        <v>0</v>
      </c>
      <c r="AO111" s="67">
        <f t="shared" si="390"/>
        <v>9.5652173913043481E-2</v>
      </c>
      <c r="AP111" s="67">
        <f t="shared" si="390"/>
        <v>0.21739130434782608</v>
      </c>
      <c r="AQ111" s="67">
        <f t="shared" si="390"/>
        <v>0.33913043478260868</v>
      </c>
      <c r="AR111" s="67">
        <f t="shared" si="390"/>
        <v>0.43478260869565216</v>
      </c>
      <c r="AS111" s="67">
        <f t="shared" si="390"/>
        <v>0.57391304347826089</v>
      </c>
      <c r="AT111" s="67">
        <f t="shared" si="390"/>
        <v>0.95652173913043481</v>
      </c>
      <c r="AU111" s="67">
        <f t="shared" si="390"/>
        <v>0.5304347826086957</v>
      </c>
      <c r="AV111" s="67">
        <f t="shared" si="390"/>
        <v>1</v>
      </c>
      <c r="AX111">
        <f t="shared" si="238"/>
        <v>0.43478260869565216</v>
      </c>
      <c r="AY111">
        <f t="shared" si="239"/>
        <v>0.38260869565217392</v>
      </c>
      <c r="AZ111">
        <f t="shared" si="240"/>
        <v>0.4695652173913043</v>
      </c>
      <c r="BB111">
        <f t="shared" ref="BB111:BD111" si="391">AX111/SUM($AX111:$AZ111)</f>
        <v>0.33783783783783783</v>
      </c>
      <c r="BC111">
        <f t="shared" si="391"/>
        <v>0.29729729729729731</v>
      </c>
      <c r="BD111">
        <f t="shared" si="391"/>
        <v>0.36486486486486486</v>
      </c>
      <c r="BF111" t="str">
        <f t="shared" si="242"/>
        <v>Sugar</v>
      </c>
      <c r="BG111" t="str">
        <f t="shared" si="243"/>
        <v>B</v>
      </c>
      <c r="BI111">
        <f t="shared" si="244"/>
        <v>3.5</v>
      </c>
      <c r="BJ111" t="str">
        <f t="shared" si="245"/>
        <v>Super Bowl</v>
      </c>
      <c r="BK111" t="str">
        <f t="shared" si="246"/>
        <v>B</v>
      </c>
      <c r="BS111">
        <f t="shared" si="247"/>
        <v>0.43478260869565216</v>
      </c>
      <c r="BT111">
        <f t="shared" si="248"/>
        <v>-0.38260869565217392</v>
      </c>
      <c r="BU111">
        <f t="shared" si="249"/>
        <v>0.4695652173913043</v>
      </c>
      <c r="BW111">
        <f t="shared" si="360"/>
        <v>0.27851370544927367</v>
      </c>
      <c r="BX111">
        <f t="shared" si="361"/>
        <v>-0.8286372893948889</v>
      </c>
      <c r="BY111">
        <f t="shared" si="362"/>
        <v>0.97523864088990631</v>
      </c>
      <c r="CB111">
        <f t="shared" si="363"/>
        <v>0.955399554115129</v>
      </c>
      <c r="CC111">
        <f t="shared" si="364"/>
        <v>2.0719105624978673</v>
      </c>
      <c r="CD111">
        <f t="shared" si="365"/>
        <v>2.337990749381186</v>
      </c>
      <c r="CE111">
        <f t="shared" si="366"/>
        <v>2.1813957007877112</v>
      </c>
      <c r="CF111">
        <f t="shared" si="257"/>
        <v>0.955399554115129</v>
      </c>
      <c r="CJ111" t="str">
        <f t="shared" si="258"/>
        <v>Cluster 1</v>
      </c>
      <c r="CK111" t="str">
        <f t="shared" si="367"/>
        <v>B Super Bowl</v>
      </c>
      <c r="CL111" t="str">
        <f t="shared" si="260"/>
        <v>Super Bowl B</v>
      </c>
      <c r="CM111" t="str">
        <f t="shared" si="371"/>
        <v>Diff</v>
      </c>
    </row>
    <row r="112" spans="8:91">
      <c r="H112">
        <v>105</v>
      </c>
      <c r="I112">
        <v>5</v>
      </c>
      <c r="J112">
        <v>8</v>
      </c>
      <c r="K112">
        <v>11</v>
      </c>
      <c r="L112">
        <v>14</v>
      </c>
      <c r="M112">
        <v>17</v>
      </c>
      <c r="N112">
        <v>12</v>
      </c>
      <c r="O112">
        <v>15</v>
      </c>
      <c r="P112">
        <v>18</v>
      </c>
      <c r="Q112">
        <v>19</v>
      </c>
      <c r="R112">
        <v>20</v>
      </c>
      <c r="S112">
        <v>1</v>
      </c>
      <c r="T112">
        <v>2</v>
      </c>
      <c r="U112">
        <v>3</v>
      </c>
      <c r="V112">
        <v>6</v>
      </c>
      <c r="W112">
        <v>9</v>
      </c>
      <c r="X112">
        <v>4</v>
      </c>
      <c r="Y112">
        <v>7</v>
      </c>
      <c r="Z112">
        <v>10</v>
      </c>
      <c r="AA112">
        <v>13</v>
      </c>
      <c r="AB112">
        <v>16</v>
      </c>
      <c r="AD112">
        <f t="shared" ref="AD112:AH112" si="392">SUMIFS($I112:$AB112,$I$2:$AB$2,AD$7)</f>
        <v>22</v>
      </c>
      <c r="AE112">
        <f t="shared" si="392"/>
        <v>32</v>
      </c>
      <c r="AF112">
        <f t="shared" si="392"/>
        <v>42</v>
      </c>
      <c r="AG112">
        <f t="shared" si="392"/>
        <v>52</v>
      </c>
      <c r="AH112">
        <f t="shared" si="392"/>
        <v>62</v>
      </c>
      <c r="AI112">
        <f t="shared" si="379"/>
        <v>139</v>
      </c>
      <c r="AJ112">
        <f t="shared" si="379"/>
        <v>71</v>
      </c>
      <c r="AK112">
        <f t="shared" si="380"/>
        <v>134</v>
      </c>
      <c r="AL112">
        <f t="shared" si="380"/>
        <v>76</v>
      </c>
      <c r="AN112" s="67">
        <f t="shared" ref="AN112:AV112" si="393">((AD112-MIN($AD112:$AL112))/(MAX($AD112:$AL112)-MIN($AD112:$AL112)))</f>
        <v>0</v>
      </c>
      <c r="AO112" s="67">
        <f t="shared" si="393"/>
        <v>8.5470085470085472E-2</v>
      </c>
      <c r="AP112" s="67">
        <f t="shared" si="393"/>
        <v>0.17094017094017094</v>
      </c>
      <c r="AQ112" s="67">
        <f t="shared" si="393"/>
        <v>0.25641025641025639</v>
      </c>
      <c r="AR112" s="67">
        <f t="shared" si="393"/>
        <v>0.34188034188034189</v>
      </c>
      <c r="AS112" s="67">
        <f t="shared" si="393"/>
        <v>1</v>
      </c>
      <c r="AT112" s="67">
        <f t="shared" si="393"/>
        <v>0.41880341880341881</v>
      </c>
      <c r="AU112" s="67">
        <f t="shared" si="393"/>
        <v>0.95726495726495731</v>
      </c>
      <c r="AV112" s="67">
        <f t="shared" si="393"/>
        <v>0.46153846153846156</v>
      </c>
      <c r="AX112">
        <f t="shared" si="238"/>
        <v>0.34188034188034189</v>
      </c>
      <c r="AY112">
        <f t="shared" si="239"/>
        <v>0.58119658119658113</v>
      </c>
      <c r="AZ112">
        <f t="shared" si="240"/>
        <v>0.49572649572649574</v>
      </c>
      <c r="BB112">
        <f t="shared" ref="BB112:BD112" si="394">AX112/SUM($AX112:$AZ112)</f>
        <v>0.24096385542168677</v>
      </c>
      <c r="BC112">
        <f t="shared" si="394"/>
        <v>0.40963855421686746</v>
      </c>
      <c r="BD112">
        <f t="shared" si="394"/>
        <v>0.34939759036144585</v>
      </c>
      <c r="BF112" t="str">
        <f t="shared" si="242"/>
        <v xml:space="preserve">Brand </v>
      </c>
      <c r="BG112" t="str">
        <f t="shared" si="243"/>
        <v>Tennis</v>
      </c>
      <c r="BI112">
        <f t="shared" si="244"/>
        <v>3.5</v>
      </c>
      <c r="BJ112" t="str">
        <f t="shared" si="245"/>
        <v>Tennis</v>
      </c>
      <c r="BK112" t="str">
        <f t="shared" si="246"/>
        <v>A</v>
      </c>
      <c r="BS112">
        <f t="shared" si="247"/>
        <v>0.34188034188034189</v>
      </c>
      <c r="BT112">
        <f t="shared" si="248"/>
        <v>0.58119658119658113</v>
      </c>
      <c r="BU112">
        <f t="shared" si="249"/>
        <v>-0.49572649572649574</v>
      </c>
      <c r="BW112">
        <f t="shared" si="360"/>
        <v>-0.53986808224257044</v>
      </c>
      <c r="BX112">
        <f t="shared" si="361"/>
        <v>1.2787850036679462</v>
      </c>
      <c r="BY112">
        <f t="shared" si="362"/>
        <v>-1.0641500514417885</v>
      </c>
      <c r="CB112">
        <f t="shared" si="363"/>
        <v>3.255339882058776</v>
      </c>
      <c r="CC112">
        <f t="shared" si="364"/>
        <v>2.7903452892116953</v>
      </c>
      <c r="CD112">
        <f t="shared" si="365"/>
        <v>0.94793775184242945</v>
      </c>
      <c r="CE112">
        <f t="shared" si="366"/>
        <v>2.4503356717127911</v>
      </c>
      <c r="CF112">
        <f t="shared" si="257"/>
        <v>0.94793775184242945</v>
      </c>
      <c r="CJ112" t="str">
        <f t="shared" si="258"/>
        <v>Cluster 3</v>
      </c>
      <c r="CK112" t="str">
        <f t="shared" si="367"/>
        <v>Tennis Only</v>
      </c>
      <c r="CL112" t="str">
        <f t="shared" si="260"/>
        <v>Tennis A</v>
      </c>
      <c r="CM112" t="str">
        <f t="shared" si="371"/>
        <v>Diff</v>
      </c>
    </row>
    <row r="113" spans="8:91">
      <c r="H113">
        <v>106</v>
      </c>
      <c r="I113">
        <v>1</v>
      </c>
      <c r="J113">
        <v>2</v>
      </c>
      <c r="K113">
        <v>4</v>
      </c>
      <c r="L113">
        <v>6</v>
      </c>
      <c r="M113">
        <v>9</v>
      </c>
      <c r="N113">
        <v>3</v>
      </c>
      <c r="O113">
        <v>5</v>
      </c>
      <c r="P113">
        <v>8</v>
      </c>
      <c r="Q113">
        <v>11</v>
      </c>
      <c r="R113">
        <v>14</v>
      </c>
      <c r="S113">
        <v>7</v>
      </c>
      <c r="T113">
        <v>10</v>
      </c>
      <c r="U113">
        <v>13</v>
      </c>
      <c r="V113">
        <v>16</v>
      </c>
      <c r="W113">
        <v>18</v>
      </c>
      <c r="X113">
        <v>12</v>
      </c>
      <c r="Y113">
        <v>15</v>
      </c>
      <c r="Z113">
        <v>17</v>
      </c>
      <c r="AA113">
        <v>19</v>
      </c>
      <c r="AB113">
        <v>20</v>
      </c>
      <c r="AD113">
        <f t="shared" ref="AD113:AH113" si="395">SUMIFS($I113:$AB113,$I$2:$AB$2,AD$7)</f>
        <v>23</v>
      </c>
      <c r="AE113">
        <f t="shared" si="395"/>
        <v>32</v>
      </c>
      <c r="AF113">
        <f t="shared" si="395"/>
        <v>42</v>
      </c>
      <c r="AG113">
        <f t="shared" si="395"/>
        <v>52</v>
      </c>
      <c r="AH113">
        <f t="shared" si="395"/>
        <v>61</v>
      </c>
      <c r="AI113">
        <f t="shared" si="379"/>
        <v>63</v>
      </c>
      <c r="AJ113">
        <f t="shared" si="379"/>
        <v>147</v>
      </c>
      <c r="AK113">
        <f t="shared" si="380"/>
        <v>124</v>
      </c>
      <c r="AL113">
        <f t="shared" si="380"/>
        <v>86</v>
      </c>
      <c r="AN113" s="67">
        <f t="shared" ref="AN113:AV113" si="396">((AD113-MIN($AD113:$AL113))/(MAX($AD113:$AL113)-MIN($AD113:$AL113)))</f>
        <v>0</v>
      </c>
      <c r="AO113" s="67">
        <f t="shared" si="396"/>
        <v>7.2580645161290328E-2</v>
      </c>
      <c r="AP113" s="67">
        <f t="shared" si="396"/>
        <v>0.15322580645161291</v>
      </c>
      <c r="AQ113" s="67">
        <f t="shared" si="396"/>
        <v>0.23387096774193547</v>
      </c>
      <c r="AR113" s="67">
        <f t="shared" si="396"/>
        <v>0.30645161290322581</v>
      </c>
      <c r="AS113" s="67">
        <f t="shared" si="396"/>
        <v>0.32258064516129031</v>
      </c>
      <c r="AT113" s="67">
        <f t="shared" si="396"/>
        <v>1</v>
      </c>
      <c r="AU113" s="67">
        <f t="shared" si="396"/>
        <v>0.81451612903225812</v>
      </c>
      <c r="AV113" s="67">
        <f t="shared" si="396"/>
        <v>0.50806451612903225</v>
      </c>
      <c r="AX113">
        <f t="shared" si="238"/>
        <v>0.30645161290322581</v>
      </c>
      <c r="AY113">
        <f t="shared" si="239"/>
        <v>0.67741935483870974</v>
      </c>
      <c r="AZ113">
        <f t="shared" si="240"/>
        <v>0.30645161290322587</v>
      </c>
      <c r="BB113">
        <f t="shared" ref="BB113:BD113" si="397">AX113/SUM($AX113:$AZ113)</f>
        <v>0.23749999999999996</v>
      </c>
      <c r="BC113">
        <f t="shared" si="397"/>
        <v>0.52500000000000002</v>
      </c>
      <c r="BD113">
        <f t="shared" si="397"/>
        <v>0.23750000000000002</v>
      </c>
      <c r="BF113" t="str">
        <f t="shared" si="242"/>
        <v xml:space="preserve">Brand </v>
      </c>
      <c r="BG113" t="str">
        <f t="shared" si="243"/>
        <v>Super Bowl</v>
      </c>
      <c r="BI113">
        <f t="shared" si="244"/>
        <v>3.5</v>
      </c>
      <c r="BJ113" t="str">
        <f t="shared" si="245"/>
        <v>Super Bowl</v>
      </c>
      <c r="BK113" t="str">
        <f t="shared" si="246"/>
        <v>A</v>
      </c>
      <c r="BS113">
        <f t="shared" si="247"/>
        <v>0.30645161290322581</v>
      </c>
      <c r="BT113">
        <f t="shared" si="248"/>
        <v>-0.67741935483870974</v>
      </c>
      <c r="BU113">
        <f t="shared" si="249"/>
        <v>-0.30645161290322587</v>
      </c>
      <c r="BW113">
        <f t="shared" si="360"/>
        <v>-0.85196193689073108</v>
      </c>
      <c r="BX113">
        <f t="shared" si="361"/>
        <v>-1.4732597772833331</v>
      </c>
      <c r="BY113">
        <f t="shared" si="362"/>
        <v>-0.6642656946959673</v>
      </c>
      <c r="CB113">
        <f t="shared" si="363"/>
        <v>1.8185079917146063</v>
      </c>
      <c r="CC113">
        <f t="shared" si="364"/>
        <v>3.2136124537936648</v>
      </c>
      <c r="CD113">
        <f t="shared" si="365"/>
        <v>2.6513087374710795</v>
      </c>
      <c r="CE113">
        <f t="shared" si="366"/>
        <v>0.61210166335776228</v>
      </c>
      <c r="CF113">
        <f t="shared" si="257"/>
        <v>0.61210166335776228</v>
      </c>
      <c r="CJ113" t="str">
        <f t="shared" si="258"/>
        <v>Cluster 4</v>
      </c>
      <c r="CK113" t="str">
        <f t="shared" si="367"/>
        <v>A Super Bowl</v>
      </c>
      <c r="CL113" t="str">
        <f t="shared" si="260"/>
        <v>Super Bowl A</v>
      </c>
      <c r="CM113" t="str">
        <f t="shared" si="371"/>
        <v>Diff</v>
      </c>
    </row>
    <row r="114" spans="8:91">
      <c r="H114">
        <v>107</v>
      </c>
      <c r="I114">
        <v>1</v>
      </c>
      <c r="J114">
        <v>5</v>
      </c>
      <c r="K114">
        <v>9</v>
      </c>
      <c r="L114">
        <v>13</v>
      </c>
      <c r="M114">
        <v>17</v>
      </c>
      <c r="N114">
        <v>3</v>
      </c>
      <c r="O114">
        <v>7</v>
      </c>
      <c r="P114">
        <v>11</v>
      </c>
      <c r="Q114">
        <v>15</v>
      </c>
      <c r="R114">
        <v>19</v>
      </c>
      <c r="S114">
        <v>2</v>
      </c>
      <c r="T114">
        <v>6</v>
      </c>
      <c r="U114">
        <v>10</v>
      </c>
      <c r="V114">
        <v>14</v>
      </c>
      <c r="W114">
        <v>18</v>
      </c>
      <c r="X114">
        <v>4</v>
      </c>
      <c r="Y114">
        <v>8</v>
      </c>
      <c r="Z114">
        <v>12</v>
      </c>
      <c r="AA114">
        <v>16</v>
      </c>
      <c r="AB114">
        <v>20</v>
      </c>
      <c r="AD114">
        <f t="shared" ref="AD114:AH114" si="398">SUMIFS($I114:$AB114,$I$2:$AB$2,AD$7)</f>
        <v>10</v>
      </c>
      <c r="AE114">
        <f t="shared" si="398"/>
        <v>26</v>
      </c>
      <c r="AF114">
        <f t="shared" si="398"/>
        <v>42</v>
      </c>
      <c r="AG114">
        <f t="shared" si="398"/>
        <v>58</v>
      </c>
      <c r="AH114">
        <f t="shared" si="398"/>
        <v>74</v>
      </c>
      <c r="AI114">
        <f t="shared" si="379"/>
        <v>100</v>
      </c>
      <c r="AJ114">
        <f t="shared" si="379"/>
        <v>110</v>
      </c>
      <c r="AK114">
        <f t="shared" si="380"/>
        <v>115</v>
      </c>
      <c r="AL114">
        <f t="shared" si="380"/>
        <v>95</v>
      </c>
      <c r="AN114" s="67">
        <f t="shared" ref="AN114:AV114" si="399">((AD114-MIN($AD114:$AL114))/(MAX($AD114:$AL114)-MIN($AD114:$AL114)))</f>
        <v>0</v>
      </c>
      <c r="AO114" s="67">
        <f t="shared" si="399"/>
        <v>0.15238095238095239</v>
      </c>
      <c r="AP114" s="67">
        <f t="shared" si="399"/>
        <v>0.30476190476190479</v>
      </c>
      <c r="AQ114" s="67">
        <f t="shared" si="399"/>
        <v>0.45714285714285713</v>
      </c>
      <c r="AR114" s="67">
        <f t="shared" si="399"/>
        <v>0.60952380952380958</v>
      </c>
      <c r="AS114" s="67">
        <f t="shared" si="399"/>
        <v>0.8571428571428571</v>
      </c>
      <c r="AT114" s="67">
        <f t="shared" si="399"/>
        <v>0.95238095238095233</v>
      </c>
      <c r="AU114" s="67">
        <f t="shared" si="399"/>
        <v>1</v>
      </c>
      <c r="AV114" s="67">
        <f t="shared" si="399"/>
        <v>0.80952380952380953</v>
      </c>
      <c r="AX114">
        <f t="shared" si="238"/>
        <v>0.60952380952380958</v>
      </c>
      <c r="AY114">
        <f t="shared" si="239"/>
        <v>9.5238095238095233E-2</v>
      </c>
      <c r="AZ114">
        <f t="shared" si="240"/>
        <v>0.19047619047619047</v>
      </c>
      <c r="BB114">
        <f t="shared" ref="BB114:BD114" si="400">AX114/SUM($AX114:$AZ114)</f>
        <v>0.68085106382978722</v>
      </c>
      <c r="BC114">
        <f t="shared" si="400"/>
        <v>0.10638297872340424</v>
      </c>
      <c r="BD114">
        <f t="shared" si="400"/>
        <v>0.21276595744680848</v>
      </c>
      <c r="BF114" t="str">
        <f t="shared" si="242"/>
        <v>Price</v>
      </c>
      <c r="BG114">
        <f t="shared" si="243"/>
        <v>3.5</v>
      </c>
      <c r="BI114">
        <f t="shared" si="244"/>
        <v>3.5</v>
      </c>
      <c r="BJ114" t="str">
        <f t="shared" si="245"/>
        <v>Super Bowl</v>
      </c>
      <c r="BK114" t="str">
        <f t="shared" si="246"/>
        <v>A</v>
      </c>
      <c r="BS114">
        <f t="shared" si="247"/>
        <v>0.60952380952380958</v>
      </c>
      <c r="BT114">
        <f t="shared" si="248"/>
        <v>-9.5238095238095233E-2</v>
      </c>
      <c r="BU114">
        <f t="shared" si="249"/>
        <v>-0.19047619047619047</v>
      </c>
      <c r="BW114">
        <f t="shared" si="360"/>
        <v>1.8178197010872597</v>
      </c>
      <c r="BX114">
        <f t="shared" si="361"/>
        <v>-0.2002829690454716</v>
      </c>
      <c r="BY114">
        <f t="shared" si="362"/>
        <v>-0.41924239047412343</v>
      </c>
      <c r="CB114">
        <f t="shared" si="363"/>
        <v>3.0224477483232417</v>
      </c>
      <c r="CC114">
        <f t="shared" si="364"/>
        <v>0.60442594737100175</v>
      </c>
      <c r="CD114">
        <f t="shared" si="365"/>
        <v>2.6248192102674079</v>
      </c>
      <c r="CE114">
        <f t="shared" si="366"/>
        <v>2.5686392195910996</v>
      </c>
      <c r="CF114">
        <f t="shared" si="257"/>
        <v>0.60442594737100175</v>
      </c>
      <c r="CJ114" t="str">
        <f t="shared" si="258"/>
        <v>Cluster 2</v>
      </c>
      <c r="CK114" t="str">
        <f t="shared" si="367"/>
        <v>Price Only</v>
      </c>
      <c r="CL114" t="str">
        <f t="shared" si="260"/>
        <v>Price Only</v>
      </c>
      <c r="CM114" t="str">
        <f t="shared" si="371"/>
        <v/>
      </c>
    </row>
    <row r="115" spans="8:91">
      <c r="H115">
        <v>108</v>
      </c>
      <c r="I115">
        <v>1</v>
      </c>
      <c r="J115">
        <v>2</v>
      </c>
      <c r="K115">
        <v>4</v>
      </c>
      <c r="L115">
        <v>7</v>
      </c>
      <c r="M115">
        <v>11</v>
      </c>
      <c r="N115">
        <v>3</v>
      </c>
      <c r="O115">
        <v>6</v>
      </c>
      <c r="P115">
        <v>9</v>
      </c>
      <c r="Q115">
        <v>13</v>
      </c>
      <c r="R115">
        <v>16</v>
      </c>
      <c r="S115">
        <v>5</v>
      </c>
      <c r="T115">
        <v>8</v>
      </c>
      <c r="U115">
        <v>12</v>
      </c>
      <c r="V115">
        <v>15</v>
      </c>
      <c r="W115">
        <v>18</v>
      </c>
      <c r="X115">
        <v>10</v>
      </c>
      <c r="Y115">
        <v>14</v>
      </c>
      <c r="Z115">
        <v>17</v>
      </c>
      <c r="AA115">
        <v>19</v>
      </c>
      <c r="AB115">
        <v>20</v>
      </c>
      <c r="AD115">
        <f t="shared" ref="AD115:AH115" si="401">SUMIFS($I115:$AB115,$I$2:$AB$2,AD$7)</f>
        <v>19</v>
      </c>
      <c r="AE115">
        <f t="shared" si="401"/>
        <v>30</v>
      </c>
      <c r="AF115">
        <f t="shared" si="401"/>
        <v>42</v>
      </c>
      <c r="AG115">
        <f t="shared" si="401"/>
        <v>54</v>
      </c>
      <c r="AH115">
        <f t="shared" si="401"/>
        <v>65</v>
      </c>
      <c r="AI115">
        <f t="shared" si="379"/>
        <v>72</v>
      </c>
      <c r="AJ115">
        <f t="shared" si="379"/>
        <v>138</v>
      </c>
      <c r="AK115">
        <f t="shared" si="380"/>
        <v>127</v>
      </c>
      <c r="AL115">
        <f t="shared" si="380"/>
        <v>83</v>
      </c>
      <c r="AN115" s="67">
        <f t="shared" ref="AN115:AV115" si="402">((AD115-MIN($AD115:$AL115))/(MAX($AD115:$AL115)-MIN($AD115:$AL115)))</f>
        <v>0</v>
      </c>
      <c r="AO115" s="67">
        <f t="shared" si="402"/>
        <v>9.2436974789915971E-2</v>
      </c>
      <c r="AP115" s="67">
        <f t="shared" si="402"/>
        <v>0.19327731092436976</v>
      </c>
      <c r="AQ115" s="67">
        <f t="shared" si="402"/>
        <v>0.29411764705882354</v>
      </c>
      <c r="AR115" s="67">
        <f t="shared" si="402"/>
        <v>0.38655462184873951</v>
      </c>
      <c r="AS115" s="67">
        <f t="shared" si="402"/>
        <v>0.44537815126050423</v>
      </c>
      <c r="AT115" s="67">
        <f t="shared" si="402"/>
        <v>1</v>
      </c>
      <c r="AU115" s="67">
        <f t="shared" si="402"/>
        <v>0.90756302521008403</v>
      </c>
      <c r="AV115" s="67">
        <f t="shared" si="402"/>
        <v>0.53781512605042014</v>
      </c>
      <c r="AX115">
        <f t="shared" si="238"/>
        <v>0.38655462184873951</v>
      </c>
      <c r="AY115">
        <f t="shared" si="239"/>
        <v>0.55462184873949583</v>
      </c>
      <c r="AZ115">
        <f t="shared" si="240"/>
        <v>0.36974789915966388</v>
      </c>
      <c r="BB115">
        <f t="shared" ref="BB115:BD115" si="403">AX115/SUM($AX115:$AZ115)</f>
        <v>0.29487179487179488</v>
      </c>
      <c r="BC115">
        <f t="shared" si="403"/>
        <v>0.42307692307692307</v>
      </c>
      <c r="BD115">
        <f t="shared" si="403"/>
        <v>0.28205128205128205</v>
      </c>
      <c r="BF115" t="str">
        <f t="shared" si="242"/>
        <v xml:space="preserve">Brand </v>
      </c>
      <c r="BG115" t="str">
        <f t="shared" si="243"/>
        <v>Super Bowl</v>
      </c>
      <c r="BI115">
        <f t="shared" si="244"/>
        <v>3.5</v>
      </c>
      <c r="BJ115" t="str">
        <f t="shared" si="245"/>
        <v>Super Bowl</v>
      </c>
      <c r="BK115" t="str">
        <f t="shared" si="246"/>
        <v>A</v>
      </c>
      <c r="BS115">
        <f t="shared" si="247"/>
        <v>0.38655462184873951</v>
      </c>
      <c r="BT115">
        <f t="shared" si="248"/>
        <v>-0.55462184873949583</v>
      </c>
      <c r="BU115">
        <f t="shared" si="249"/>
        <v>-0.36974789915966388</v>
      </c>
      <c r="BW115">
        <f t="shared" si="360"/>
        <v>-0.14632959973098972</v>
      </c>
      <c r="BX115">
        <f t="shared" si="361"/>
        <v>-1.2047551237996681</v>
      </c>
      <c r="BY115">
        <f t="shared" si="362"/>
        <v>-0.79799286618595677</v>
      </c>
      <c r="CB115">
        <f t="shared" si="363"/>
        <v>1.9635604361611971</v>
      </c>
      <c r="CC115">
        <f t="shared" si="364"/>
        <v>2.5408708705522862</v>
      </c>
      <c r="CD115">
        <f t="shared" si="365"/>
        <v>2.4103466677981369</v>
      </c>
      <c r="CE115">
        <f t="shared" si="366"/>
        <v>0.41283329288168424</v>
      </c>
      <c r="CF115">
        <f t="shared" si="257"/>
        <v>0.41283329288168424</v>
      </c>
      <c r="CJ115" t="str">
        <f t="shared" si="258"/>
        <v>Cluster 4</v>
      </c>
      <c r="CK115" t="str">
        <f t="shared" si="367"/>
        <v>A Super Bowl</v>
      </c>
      <c r="CL115" t="str">
        <f t="shared" si="260"/>
        <v>Super Bowl A</v>
      </c>
      <c r="CM115" t="str">
        <f t="shared" si="371"/>
        <v>Diff</v>
      </c>
    </row>
    <row r="116" spans="8:91">
      <c r="H116">
        <v>109</v>
      </c>
      <c r="I116">
        <v>5</v>
      </c>
      <c r="J116">
        <v>8</v>
      </c>
      <c r="K116">
        <v>12</v>
      </c>
      <c r="L116">
        <v>15</v>
      </c>
      <c r="M116">
        <v>18</v>
      </c>
      <c r="N116">
        <v>1</v>
      </c>
      <c r="O116">
        <v>2</v>
      </c>
      <c r="P116">
        <v>4</v>
      </c>
      <c r="Q116">
        <v>7</v>
      </c>
      <c r="R116">
        <v>10</v>
      </c>
      <c r="S116">
        <v>11</v>
      </c>
      <c r="T116">
        <v>14</v>
      </c>
      <c r="U116">
        <v>17</v>
      </c>
      <c r="V116">
        <v>19</v>
      </c>
      <c r="W116">
        <v>20</v>
      </c>
      <c r="X116">
        <v>3</v>
      </c>
      <c r="Y116">
        <v>6</v>
      </c>
      <c r="Z116">
        <v>9</v>
      </c>
      <c r="AA116">
        <v>13</v>
      </c>
      <c r="AB116">
        <v>16</v>
      </c>
      <c r="AD116">
        <f t="shared" ref="AD116:AH116" si="404">SUMIFS($I116:$AB116,$I$2:$AB$2,AD$7)</f>
        <v>20</v>
      </c>
      <c r="AE116">
        <f t="shared" si="404"/>
        <v>30</v>
      </c>
      <c r="AF116">
        <f t="shared" si="404"/>
        <v>42</v>
      </c>
      <c r="AG116">
        <f t="shared" si="404"/>
        <v>54</v>
      </c>
      <c r="AH116">
        <f t="shared" si="404"/>
        <v>64</v>
      </c>
      <c r="AI116">
        <f t="shared" si="379"/>
        <v>82</v>
      </c>
      <c r="AJ116">
        <f t="shared" si="379"/>
        <v>128</v>
      </c>
      <c r="AK116">
        <f t="shared" si="380"/>
        <v>71</v>
      </c>
      <c r="AL116">
        <f t="shared" si="380"/>
        <v>139</v>
      </c>
      <c r="AN116" s="67">
        <f t="shared" ref="AN116:AV116" si="405">((AD116-MIN($AD116:$AL116))/(MAX($AD116:$AL116)-MIN($AD116:$AL116)))</f>
        <v>0</v>
      </c>
      <c r="AO116" s="67">
        <f t="shared" si="405"/>
        <v>8.4033613445378158E-2</v>
      </c>
      <c r="AP116" s="67">
        <f t="shared" si="405"/>
        <v>0.18487394957983194</v>
      </c>
      <c r="AQ116" s="67">
        <f t="shared" si="405"/>
        <v>0.2857142857142857</v>
      </c>
      <c r="AR116" s="67">
        <f t="shared" si="405"/>
        <v>0.36974789915966388</v>
      </c>
      <c r="AS116" s="67">
        <f t="shared" si="405"/>
        <v>0.52100840336134457</v>
      </c>
      <c r="AT116" s="67">
        <f t="shared" si="405"/>
        <v>0.90756302521008403</v>
      </c>
      <c r="AU116" s="67">
        <f t="shared" si="405"/>
        <v>0.42857142857142855</v>
      </c>
      <c r="AV116" s="67">
        <f t="shared" si="405"/>
        <v>1</v>
      </c>
      <c r="AX116">
        <f t="shared" si="238"/>
        <v>0.36974789915966388</v>
      </c>
      <c r="AY116">
        <f t="shared" si="239"/>
        <v>0.38655462184873945</v>
      </c>
      <c r="AZ116">
        <f t="shared" si="240"/>
        <v>0.5714285714285714</v>
      </c>
      <c r="BB116">
        <f t="shared" ref="BB116:BD116" si="406">AX116/SUM($AX116:$AZ116)</f>
        <v>0.27848101265822789</v>
      </c>
      <c r="BC116">
        <f t="shared" si="406"/>
        <v>0.29113924050632911</v>
      </c>
      <c r="BD116">
        <f t="shared" si="406"/>
        <v>0.43037974683544306</v>
      </c>
      <c r="BF116" t="str">
        <f t="shared" si="242"/>
        <v>Sugar</v>
      </c>
      <c r="BG116" t="str">
        <f t="shared" si="243"/>
        <v>B</v>
      </c>
      <c r="BI116">
        <f t="shared" si="244"/>
        <v>3.5</v>
      </c>
      <c r="BJ116" t="str">
        <f t="shared" si="245"/>
        <v>Super Bowl</v>
      </c>
      <c r="BK116" t="str">
        <f t="shared" si="246"/>
        <v>B</v>
      </c>
      <c r="BS116">
        <f t="shared" si="247"/>
        <v>0.36974789915966388</v>
      </c>
      <c r="BT116">
        <f t="shared" si="248"/>
        <v>-0.38655462184873945</v>
      </c>
      <c r="BU116">
        <f t="shared" si="249"/>
        <v>0.5714285714285714</v>
      </c>
      <c r="BW116">
        <f t="shared" si="360"/>
        <v>-0.29438105456653607</v>
      </c>
      <c r="BX116">
        <f t="shared" si="361"/>
        <v>-0.83726531108471813</v>
      </c>
      <c r="BY116">
        <f t="shared" si="362"/>
        <v>1.190447131301168</v>
      </c>
      <c r="CB116">
        <f t="shared" si="363"/>
        <v>0.45039295009274533</v>
      </c>
      <c r="CC116">
        <f t="shared" si="364"/>
        <v>2.6144232029826449</v>
      </c>
      <c r="CD116">
        <f t="shared" si="365"/>
        <v>2.3495882066906972</v>
      </c>
      <c r="CE116">
        <f t="shared" si="366"/>
        <v>2.2648089131891211</v>
      </c>
      <c r="CF116">
        <f t="shared" si="257"/>
        <v>0.45039295009274533</v>
      </c>
      <c r="CJ116" t="str">
        <f t="shared" si="258"/>
        <v>Cluster 1</v>
      </c>
      <c r="CK116" t="str">
        <f t="shared" si="367"/>
        <v>B Super Bowl</v>
      </c>
      <c r="CL116" t="str">
        <f t="shared" si="260"/>
        <v>Super Bowl B</v>
      </c>
      <c r="CM116" t="str">
        <f t="shared" si="371"/>
        <v>Diff</v>
      </c>
    </row>
    <row r="117" spans="8:91">
      <c r="H117">
        <v>110</v>
      </c>
      <c r="I117">
        <v>1</v>
      </c>
      <c r="J117">
        <v>2</v>
      </c>
      <c r="K117">
        <v>4</v>
      </c>
      <c r="L117">
        <v>7</v>
      </c>
      <c r="M117">
        <v>10</v>
      </c>
      <c r="N117">
        <v>5</v>
      </c>
      <c r="O117">
        <v>8</v>
      </c>
      <c r="P117">
        <v>12</v>
      </c>
      <c r="Q117">
        <v>15</v>
      </c>
      <c r="R117">
        <v>18</v>
      </c>
      <c r="S117">
        <v>3</v>
      </c>
      <c r="T117">
        <v>6</v>
      </c>
      <c r="U117">
        <v>9</v>
      </c>
      <c r="V117">
        <v>13</v>
      </c>
      <c r="W117">
        <v>16</v>
      </c>
      <c r="X117">
        <v>11</v>
      </c>
      <c r="Y117">
        <v>14</v>
      </c>
      <c r="Z117">
        <v>17</v>
      </c>
      <c r="AA117">
        <v>19</v>
      </c>
      <c r="AB117">
        <v>20</v>
      </c>
      <c r="AD117">
        <f t="shared" ref="AD117:AH117" si="407">SUMIFS($I117:$AB117,$I$2:$AB$2,AD$7)</f>
        <v>20</v>
      </c>
      <c r="AE117">
        <f t="shared" si="407"/>
        <v>30</v>
      </c>
      <c r="AF117">
        <f t="shared" si="407"/>
        <v>42</v>
      </c>
      <c r="AG117">
        <f t="shared" si="407"/>
        <v>54</v>
      </c>
      <c r="AH117">
        <f t="shared" si="407"/>
        <v>64</v>
      </c>
      <c r="AI117">
        <f t="shared" si="379"/>
        <v>82</v>
      </c>
      <c r="AJ117">
        <f t="shared" si="379"/>
        <v>128</v>
      </c>
      <c r="AK117">
        <f t="shared" si="380"/>
        <v>139</v>
      </c>
      <c r="AL117">
        <f t="shared" si="380"/>
        <v>71</v>
      </c>
      <c r="AN117" s="67">
        <f t="shared" ref="AN117:AV117" si="408">((AD117-MIN($AD117:$AL117))/(MAX($AD117:$AL117)-MIN($AD117:$AL117)))</f>
        <v>0</v>
      </c>
      <c r="AO117" s="67">
        <f t="shared" si="408"/>
        <v>8.4033613445378158E-2</v>
      </c>
      <c r="AP117" s="67">
        <f t="shared" si="408"/>
        <v>0.18487394957983194</v>
      </c>
      <c r="AQ117" s="67">
        <f t="shared" si="408"/>
        <v>0.2857142857142857</v>
      </c>
      <c r="AR117" s="67">
        <f t="shared" si="408"/>
        <v>0.36974789915966388</v>
      </c>
      <c r="AS117" s="67">
        <f t="shared" si="408"/>
        <v>0.52100840336134457</v>
      </c>
      <c r="AT117" s="67">
        <f t="shared" si="408"/>
        <v>0.90756302521008403</v>
      </c>
      <c r="AU117" s="67">
        <f t="shared" si="408"/>
        <v>1</v>
      </c>
      <c r="AV117" s="67">
        <f t="shared" si="408"/>
        <v>0.42857142857142855</v>
      </c>
      <c r="AX117">
        <f t="shared" si="238"/>
        <v>0.36974789915966388</v>
      </c>
      <c r="AY117">
        <f t="shared" si="239"/>
        <v>0.38655462184873945</v>
      </c>
      <c r="AZ117">
        <f t="shared" si="240"/>
        <v>0.5714285714285714</v>
      </c>
      <c r="BB117">
        <f t="shared" ref="BB117:BD117" si="409">AX117/SUM($AX117:$AZ117)</f>
        <v>0.27848101265822789</v>
      </c>
      <c r="BC117">
        <f t="shared" si="409"/>
        <v>0.29113924050632911</v>
      </c>
      <c r="BD117">
        <f t="shared" si="409"/>
        <v>0.43037974683544306</v>
      </c>
      <c r="BF117" t="str">
        <f t="shared" si="242"/>
        <v>Sugar</v>
      </c>
      <c r="BG117" t="str">
        <f t="shared" si="243"/>
        <v>A</v>
      </c>
      <c r="BI117">
        <f t="shared" si="244"/>
        <v>3.5</v>
      </c>
      <c r="BJ117" t="str">
        <f t="shared" si="245"/>
        <v>Super Bowl</v>
      </c>
      <c r="BK117" t="str">
        <f t="shared" si="246"/>
        <v>A</v>
      </c>
      <c r="BS117">
        <f t="shared" si="247"/>
        <v>0.36974789915966388</v>
      </c>
      <c r="BT117">
        <f t="shared" si="248"/>
        <v>-0.38655462184873945</v>
      </c>
      <c r="BU117">
        <f t="shared" si="249"/>
        <v>-0.5714285714285714</v>
      </c>
      <c r="BW117">
        <f t="shared" si="360"/>
        <v>-0.29438105456653607</v>
      </c>
      <c r="BX117">
        <f t="shared" si="361"/>
        <v>-0.83726531108471813</v>
      </c>
      <c r="BY117">
        <f t="shared" si="362"/>
        <v>-1.2240871513617693</v>
      </c>
      <c r="CB117">
        <f t="shared" si="363"/>
        <v>2.3740382557567234</v>
      </c>
      <c r="CC117">
        <f t="shared" si="364"/>
        <v>2.6513698547172786</v>
      </c>
      <c r="CD117">
        <f t="shared" si="365"/>
        <v>2.2205827379287304</v>
      </c>
      <c r="CE117">
        <f t="shared" si="366"/>
        <v>0.42159691902168522</v>
      </c>
      <c r="CF117">
        <f t="shared" si="257"/>
        <v>0.42159691902168522</v>
      </c>
      <c r="CJ117" t="str">
        <f t="shared" si="258"/>
        <v>Cluster 4</v>
      </c>
      <c r="CK117" t="str">
        <f t="shared" si="367"/>
        <v>A Super Bowl</v>
      </c>
      <c r="CL117" t="str">
        <f t="shared" si="260"/>
        <v>Super Bowl A</v>
      </c>
      <c r="CM117" t="str">
        <f t="shared" si="371"/>
        <v>Diff</v>
      </c>
    </row>
    <row r="118" spans="8:91">
      <c r="H118">
        <v>111</v>
      </c>
      <c r="I118">
        <v>4</v>
      </c>
      <c r="J118">
        <v>8</v>
      </c>
      <c r="K118">
        <v>12</v>
      </c>
      <c r="L118">
        <v>16</v>
      </c>
      <c r="M118">
        <v>20</v>
      </c>
      <c r="N118">
        <v>3</v>
      </c>
      <c r="O118">
        <v>7</v>
      </c>
      <c r="P118">
        <v>11</v>
      </c>
      <c r="Q118">
        <v>15</v>
      </c>
      <c r="R118">
        <v>19</v>
      </c>
      <c r="S118">
        <v>2</v>
      </c>
      <c r="T118">
        <v>6</v>
      </c>
      <c r="U118">
        <v>10</v>
      </c>
      <c r="V118">
        <v>14</v>
      </c>
      <c r="W118">
        <v>18</v>
      </c>
      <c r="X118">
        <v>1</v>
      </c>
      <c r="Y118">
        <v>5</v>
      </c>
      <c r="Z118">
        <v>9</v>
      </c>
      <c r="AA118">
        <v>13</v>
      </c>
      <c r="AB118">
        <v>17</v>
      </c>
      <c r="AD118">
        <f t="shared" ref="AD118:AH118" si="410">SUMIFS($I118:$AB118,$I$2:$AB$2,AD$7)</f>
        <v>10</v>
      </c>
      <c r="AE118">
        <f t="shared" si="410"/>
        <v>26</v>
      </c>
      <c r="AF118">
        <f t="shared" si="410"/>
        <v>42</v>
      </c>
      <c r="AG118">
        <f t="shared" si="410"/>
        <v>58</v>
      </c>
      <c r="AH118">
        <f t="shared" si="410"/>
        <v>74</v>
      </c>
      <c r="AI118">
        <f t="shared" si="379"/>
        <v>115</v>
      </c>
      <c r="AJ118">
        <f t="shared" si="379"/>
        <v>95</v>
      </c>
      <c r="AK118">
        <f t="shared" si="380"/>
        <v>100</v>
      </c>
      <c r="AL118">
        <f t="shared" si="380"/>
        <v>110</v>
      </c>
      <c r="AN118" s="67">
        <f t="shared" ref="AN118:AV118" si="411">((AD118-MIN($AD118:$AL118))/(MAX($AD118:$AL118)-MIN($AD118:$AL118)))</f>
        <v>0</v>
      </c>
      <c r="AO118" s="67">
        <f t="shared" si="411"/>
        <v>0.15238095238095239</v>
      </c>
      <c r="AP118" s="67">
        <f t="shared" si="411"/>
        <v>0.30476190476190479</v>
      </c>
      <c r="AQ118" s="67">
        <f t="shared" si="411"/>
        <v>0.45714285714285713</v>
      </c>
      <c r="AR118" s="67">
        <f t="shared" si="411"/>
        <v>0.60952380952380958</v>
      </c>
      <c r="AS118" s="67">
        <f t="shared" si="411"/>
        <v>1</v>
      </c>
      <c r="AT118" s="67">
        <f t="shared" si="411"/>
        <v>0.80952380952380953</v>
      </c>
      <c r="AU118" s="67">
        <f t="shared" si="411"/>
        <v>0.8571428571428571</v>
      </c>
      <c r="AV118" s="67">
        <f t="shared" si="411"/>
        <v>0.95238095238095233</v>
      </c>
      <c r="AX118">
        <f t="shared" si="238"/>
        <v>0.60952380952380958</v>
      </c>
      <c r="AY118">
        <f t="shared" si="239"/>
        <v>0.19047619047619047</v>
      </c>
      <c r="AZ118">
        <f t="shared" si="240"/>
        <v>9.5238095238095233E-2</v>
      </c>
      <c r="BB118">
        <f t="shared" ref="BB118:BD118" si="412">AX118/SUM($AX118:$AZ118)</f>
        <v>0.68085106382978722</v>
      </c>
      <c r="BC118">
        <f t="shared" si="412"/>
        <v>0.21276595744680848</v>
      </c>
      <c r="BD118">
        <f t="shared" si="412"/>
        <v>0.10638297872340424</v>
      </c>
      <c r="BF118" t="str">
        <f t="shared" si="242"/>
        <v>Price</v>
      </c>
      <c r="BG118">
        <f t="shared" si="243"/>
        <v>3.5</v>
      </c>
      <c r="BI118">
        <f t="shared" si="244"/>
        <v>3.5</v>
      </c>
      <c r="BJ118" t="str">
        <f t="shared" si="245"/>
        <v>Tennis</v>
      </c>
      <c r="BK118" t="str">
        <f t="shared" si="246"/>
        <v>B</v>
      </c>
      <c r="BS118">
        <f t="shared" si="247"/>
        <v>0.60952380952380958</v>
      </c>
      <c r="BT118">
        <f t="shared" si="248"/>
        <v>0.19047619047619047</v>
      </c>
      <c r="BU118">
        <f t="shared" si="249"/>
        <v>9.5238095238095233E-2</v>
      </c>
      <c r="BW118">
        <f t="shared" si="360"/>
        <v>1.8178197010872597</v>
      </c>
      <c r="BX118">
        <f t="shared" si="361"/>
        <v>0.42444971256994318</v>
      </c>
      <c r="BY118">
        <f t="shared" si="362"/>
        <v>0.18439118019161094</v>
      </c>
      <c r="CB118">
        <f t="shared" si="363"/>
        <v>3.0373518932461994</v>
      </c>
      <c r="CC118">
        <f t="shared" si="364"/>
        <v>0.26833047118697734</v>
      </c>
      <c r="CD118">
        <f t="shared" si="365"/>
        <v>2.3851184056843331</v>
      </c>
      <c r="CE118">
        <f t="shared" si="366"/>
        <v>3.0523913537765708</v>
      </c>
      <c r="CF118">
        <f t="shared" si="257"/>
        <v>0.26833047118697734</v>
      </c>
      <c r="CJ118" t="str">
        <f t="shared" si="258"/>
        <v>Cluster 2</v>
      </c>
      <c r="CK118" t="str">
        <f t="shared" si="367"/>
        <v>Price Only</v>
      </c>
      <c r="CL118" t="str">
        <f t="shared" si="260"/>
        <v>Price Only</v>
      </c>
      <c r="CM118" t="str">
        <f t="shared" si="371"/>
        <v/>
      </c>
    </row>
    <row r="119" spans="8:91">
      <c r="H119">
        <v>112</v>
      </c>
      <c r="I119">
        <v>5</v>
      </c>
      <c r="J119">
        <v>8</v>
      </c>
      <c r="K119">
        <v>11</v>
      </c>
      <c r="L119">
        <v>14</v>
      </c>
      <c r="M119">
        <v>17</v>
      </c>
      <c r="N119">
        <v>12</v>
      </c>
      <c r="O119">
        <v>15</v>
      </c>
      <c r="P119">
        <v>18</v>
      </c>
      <c r="Q119">
        <v>19</v>
      </c>
      <c r="R119">
        <v>20</v>
      </c>
      <c r="S119">
        <v>1</v>
      </c>
      <c r="T119">
        <v>2</v>
      </c>
      <c r="U119">
        <v>3</v>
      </c>
      <c r="V119">
        <v>6</v>
      </c>
      <c r="W119">
        <v>9</v>
      </c>
      <c r="X119">
        <v>5</v>
      </c>
      <c r="Y119">
        <v>8</v>
      </c>
      <c r="Z119">
        <v>11</v>
      </c>
      <c r="AA119">
        <v>14</v>
      </c>
      <c r="AB119">
        <v>17</v>
      </c>
      <c r="AD119">
        <f t="shared" ref="AD119:AH119" si="413">SUMIFS($I119:$AB119,$I$2:$AB$2,AD$7)</f>
        <v>23</v>
      </c>
      <c r="AE119">
        <f t="shared" si="413"/>
        <v>33</v>
      </c>
      <c r="AF119">
        <f t="shared" si="413"/>
        <v>43</v>
      </c>
      <c r="AG119">
        <f t="shared" si="413"/>
        <v>53</v>
      </c>
      <c r="AH119">
        <f t="shared" si="413"/>
        <v>63</v>
      </c>
      <c r="AI119">
        <f t="shared" si="379"/>
        <v>139</v>
      </c>
      <c r="AJ119">
        <f t="shared" si="379"/>
        <v>76</v>
      </c>
      <c r="AK119">
        <f t="shared" si="380"/>
        <v>139</v>
      </c>
      <c r="AL119">
        <f t="shared" si="380"/>
        <v>76</v>
      </c>
      <c r="AN119" s="67">
        <f t="shared" ref="AN119:AV119" si="414">((AD119-MIN($AD119:$AL119))/(MAX($AD119:$AL119)-MIN($AD119:$AL119)))</f>
        <v>0</v>
      </c>
      <c r="AO119" s="67">
        <f t="shared" si="414"/>
        <v>8.6206896551724144E-2</v>
      </c>
      <c r="AP119" s="67">
        <f t="shared" si="414"/>
        <v>0.17241379310344829</v>
      </c>
      <c r="AQ119" s="67">
        <f t="shared" si="414"/>
        <v>0.25862068965517243</v>
      </c>
      <c r="AR119" s="67">
        <f t="shared" si="414"/>
        <v>0.34482758620689657</v>
      </c>
      <c r="AS119" s="67">
        <f t="shared" si="414"/>
        <v>1</v>
      </c>
      <c r="AT119" s="67">
        <f t="shared" si="414"/>
        <v>0.45689655172413796</v>
      </c>
      <c r="AU119" s="67">
        <f t="shared" si="414"/>
        <v>1</v>
      </c>
      <c r="AV119" s="67">
        <f t="shared" si="414"/>
        <v>0.45689655172413796</v>
      </c>
      <c r="AX119">
        <f t="shared" si="238"/>
        <v>0.34482758620689657</v>
      </c>
      <c r="AY119">
        <f t="shared" si="239"/>
        <v>0.5431034482758621</v>
      </c>
      <c r="AZ119">
        <f t="shared" si="240"/>
        <v>0.5431034482758621</v>
      </c>
      <c r="BB119">
        <f t="shared" ref="BB119:BD119" si="415">AX119/SUM($AX119:$AZ119)</f>
        <v>0.24096385542168675</v>
      </c>
      <c r="BC119">
        <f t="shared" si="415"/>
        <v>0.37951807228915663</v>
      </c>
      <c r="BD119">
        <f t="shared" si="415"/>
        <v>0.37951807228915663</v>
      </c>
      <c r="BF119" t="str">
        <f t="shared" si="242"/>
        <v xml:space="preserve">Brand </v>
      </c>
      <c r="BG119" t="str">
        <f t="shared" si="243"/>
        <v>Tennis</v>
      </c>
      <c r="BI119">
        <f t="shared" si="244"/>
        <v>3.5</v>
      </c>
      <c r="BJ119" t="str">
        <f t="shared" si="245"/>
        <v>Tennis</v>
      </c>
      <c r="BK119" t="str">
        <f t="shared" si="246"/>
        <v>A</v>
      </c>
      <c r="BS119">
        <f t="shared" si="247"/>
        <v>0.34482758620689657</v>
      </c>
      <c r="BT119">
        <f t="shared" si="248"/>
        <v>0.5431034482758621</v>
      </c>
      <c r="BU119">
        <f t="shared" si="249"/>
        <v>-0.5431034482758621</v>
      </c>
      <c r="BW119">
        <f t="shared" si="360"/>
        <v>-0.51390562552958763</v>
      </c>
      <c r="BX119">
        <f t="shared" si="361"/>
        <v>1.19549191588552</v>
      </c>
      <c r="BY119">
        <f t="shared" si="362"/>
        <v>-1.1642441680630111</v>
      </c>
      <c r="CB119">
        <f t="shared" si="363"/>
        <v>3.2634166530743807</v>
      </c>
      <c r="CC119">
        <f t="shared" si="364"/>
        <v>2.7788671422015097</v>
      </c>
      <c r="CD119">
        <f t="shared" si="365"/>
        <v>1.0324260151787477</v>
      </c>
      <c r="CE119">
        <f t="shared" si="366"/>
        <v>2.369574955258809</v>
      </c>
      <c r="CF119">
        <f t="shared" si="257"/>
        <v>1.0324260151787477</v>
      </c>
      <c r="CJ119" t="str">
        <f t="shared" si="258"/>
        <v>Cluster 3</v>
      </c>
      <c r="CK119" t="str">
        <f t="shared" si="367"/>
        <v>Tennis Only</v>
      </c>
      <c r="CL119" t="str">
        <f t="shared" si="260"/>
        <v>Tennis A</v>
      </c>
      <c r="CM119" t="str">
        <f t="shared" si="371"/>
        <v>Diff</v>
      </c>
    </row>
    <row r="120" spans="8:91">
      <c r="H120">
        <v>113</v>
      </c>
      <c r="I120">
        <v>3</v>
      </c>
      <c r="J120">
        <v>5</v>
      </c>
      <c r="K120">
        <v>8</v>
      </c>
      <c r="L120">
        <v>11</v>
      </c>
      <c r="M120">
        <v>14</v>
      </c>
      <c r="N120">
        <v>12</v>
      </c>
      <c r="O120">
        <v>15</v>
      </c>
      <c r="P120">
        <v>17</v>
      </c>
      <c r="Q120">
        <v>19</v>
      </c>
      <c r="R120">
        <v>20</v>
      </c>
      <c r="S120">
        <v>1</v>
      </c>
      <c r="T120">
        <v>2</v>
      </c>
      <c r="U120">
        <v>4</v>
      </c>
      <c r="V120">
        <v>6</v>
      </c>
      <c r="W120">
        <v>9</v>
      </c>
      <c r="X120">
        <v>7</v>
      </c>
      <c r="Y120">
        <v>10</v>
      </c>
      <c r="Z120">
        <v>13</v>
      </c>
      <c r="AA120">
        <v>16</v>
      </c>
      <c r="AB120">
        <v>18</v>
      </c>
      <c r="AD120">
        <f t="shared" ref="AD120:AH120" si="416">SUMIFS($I120:$AB120,$I$2:$AB$2,AD$7)</f>
        <v>23</v>
      </c>
      <c r="AE120">
        <f t="shared" si="416"/>
        <v>32</v>
      </c>
      <c r="AF120">
        <f t="shared" si="416"/>
        <v>42</v>
      </c>
      <c r="AG120">
        <f t="shared" si="416"/>
        <v>52</v>
      </c>
      <c r="AH120">
        <f t="shared" si="416"/>
        <v>61</v>
      </c>
      <c r="AI120">
        <f t="shared" si="379"/>
        <v>124</v>
      </c>
      <c r="AJ120">
        <f t="shared" si="379"/>
        <v>86</v>
      </c>
      <c r="AK120">
        <f t="shared" si="380"/>
        <v>147</v>
      </c>
      <c r="AL120">
        <f t="shared" si="380"/>
        <v>63</v>
      </c>
      <c r="AN120" s="67">
        <f t="shared" ref="AN120:AV120" si="417">((AD120-MIN($AD120:$AL120))/(MAX($AD120:$AL120)-MIN($AD120:$AL120)))</f>
        <v>0</v>
      </c>
      <c r="AO120" s="67">
        <f t="shared" si="417"/>
        <v>7.2580645161290328E-2</v>
      </c>
      <c r="AP120" s="67">
        <f t="shared" si="417"/>
        <v>0.15322580645161291</v>
      </c>
      <c r="AQ120" s="67">
        <f t="shared" si="417"/>
        <v>0.23387096774193547</v>
      </c>
      <c r="AR120" s="67">
        <f t="shared" si="417"/>
        <v>0.30645161290322581</v>
      </c>
      <c r="AS120" s="67">
        <f t="shared" si="417"/>
        <v>0.81451612903225812</v>
      </c>
      <c r="AT120" s="67">
        <f t="shared" si="417"/>
        <v>0.50806451612903225</v>
      </c>
      <c r="AU120" s="67">
        <f t="shared" si="417"/>
        <v>1</v>
      </c>
      <c r="AV120" s="67">
        <f t="shared" si="417"/>
        <v>0.32258064516129031</v>
      </c>
      <c r="AX120">
        <f t="shared" si="238"/>
        <v>0.30645161290322581</v>
      </c>
      <c r="AY120">
        <f t="shared" si="239"/>
        <v>0.30645161290322587</v>
      </c>
      <c r="AZ120">
        <f t="shared" si="240"/>
        <v>0.67741935483870974</v>
      </c>
      <c r="BB120">
        <f t="shared" ref="BB120:BD120" si="418">AX120/SUM($AX120:$AZ120)</f>
        <v>0.23749999999999996</v>
      </c>
      <c r="BC120">
        <f t="shared" si="418"/>
        <v>0.23750000000000002</v>
      </c>
      <c r="BD120">
        <f t="shared" si="418"/>
        <v>0.52500000000000002</v>
      </c>
      <c r="BF120" t="str">
        <f t="shared" si="242"/>
        <v>Sugar</v>
      </c>
      <c r="BG120" t="str">
        <f t="shared" si="243"/>
        <v>A</v>
      </c>
      <c r="BI120">
        <f t="shared" si="244"/>
        <v>3.5</v>
      </c>
      <c r="BJ120" t="str">
        <f t="shared" si="245"/>
        <v>Tennis</v>
      </c>
      <c r="BK120" t="str">
        <f t="shared" si="246"/>
        <v>A</v>
      </c>
      <c r="BS120">
        <f t="shared" si="247"/>
        <v>0.30645161290322581</v>
      </c>
      <c r="BT120">
        <f t="shared" si="248"/>
        <v>0.30645161290322587</v>
      </c>
      <c r="BU120">
        <f t="shared" si="249"/>
        <v>-0.67741935483870974</v>
      </c>
      <c r="BW120">
        <f t="shared" si="360"/>
        <v>-0.85196193689073108</v>
      </c>
      <c r="BX120">
        <f t="shared" si="361"/>
        <v>0.67803744086007134</v>
      </c>
      <c r="BY120">
        <f t="shared" si="362"/>
        <v>-1.4480157340280904</v>
      </c>
      <c r="CB120">
        <f t="shared" si="363"/>
        <v>3.1485436476420774</v>
      </c>
      <c r="CC120">
        <f t="shared" si="364"/>
        <v>3.0663044501829213</v>
      </c>
      <c r="CD120">
        <f t="shared" si="365"/>
        <v>1.4316308653025587</v>
      </c>
      <c r="CE120">
        <f t="shared" si="366"/>
        <v>1.9294111710243405</v>
      </c>
      <c r="CF120">
        <f t="shared" si="257"/>
        <v>1.4316308653025587</v>
      </c>
      <c r="CJ120" t="str">
        <f t="shared" si="258"/>
        <v>Cluster 3</v>
      </c>
      <c r="CK120" t="str">
        <f t="shared" si="367"/>
        <v>Tennis Only</v>
      </c>
      <c r="CL120" t="str">
        <f t="shared" si="260"/>
        <v>Tennis A</v>
      </c>
      <c r="CM120" t="str">
        <f t="shared" si="371"/>
        <v>Diff</v>
      </c>
    </row>
    <row r="121" spans="8:91">
      <c r="H121">
        <v>114</v>
      </c>
      <c r="I121">
        <v>2</v>
      </c>
      <c r="J121">
        <v>6</v>
      </c>
      <c r="K121">
        <v>10</v>
      </c>
      <c r="L121">
        <v>14</v>
      </c>
      <c r="M121">
        <v>18</v>
      </c>
      <c r="N121">
        <v>4</v>
      </c>
      <c r="O121">
        <v>8</v>
      </c>
      <c r="P121">
        <v>12</v>
      </c>
      <c r="Q121">
        <v>16</v>
      </c>
      <c r="R121">
        <v>20</v>
      </c>
      <c r="S121">
        <v>1</v>
      </c>
      <c r="T121">
        <v>5</v>
      </c>
      <c r="U121">
        <v>9</v>
      </c>
      <c r="V121">
        <v>13</v>
      </c>
      <c r="W121">
        <v>17</v>
      </c>
      <c r="X121">
        <v>3</v>
      </c>
      <c r="Y121">
        <v>7</v>
      </c>
      <c r="Z121">
        <v>11</v>
      </c>
      <c r="AA121">
        <v>15</v>
      </c>
      <c r="AB121">
        <v>19</v>
      </c>
      <c r="AD121">
        <f t="shared" ref="AD121:AH121" si="419">SUMIFS($I121:$AB121,$I$2:$AB$2,AD$7)</f>
        <v>10</v>
      </c>
      <c r="AE121">
        <f t="shared" si="419"/>
        <v>26</v>
      </c>
      <c r="AF121">
        <f t="shared" si="419"/>
        <v>42</v>
      </c>
      <c r="AG121">
        <f t="shared" si="419"/>
        <v>58</v>
      </c>
      <c r="AH121">
        <f t="shared" si="419"/>
        <v>74</v>
      </c>
      <c r="AI121">
        <f t="shared" si="379"/>
        <v>110</v>
      </c>
      <c r="AJ121">
        <f t="shared" si="379"/>
        <v>100</v>
      </c>
      <c r="AK121">
        <f t="shared" si="380"/>
        <v>115</v>
      </c>
      <c r="AL121">
        <f t="shared" si="380"/>
        <v>95</v>
      </c>
      <c r="AN121" s="67">
        <f t="shared" ref="AN121:AV121" si="420">((AD121-MIN($AD121:$AL121))/(MAX($AD121:$AL121)-MIN($AD121:$AL121)))</f>
        <v>0</v>
      </c>
      <c r="AO121" s="67">
        <f t="shared" si="420"/>
        <v>0.15238095238095239</v>
      </c>
      <c r="AP121" s="67">
        <f t="shared" si="420"/>
        <v>0.30476190476190479</v>
      </c>
      <c r="AQ121" s="67">
        <f t="shared" si="420"/>
        <v>0.45714285714285713</v>
      </c>
      <c r="AR121" s="67">
        <f t="shared" si="420"/>
        <v>0.60952380952380958</v>
      </c>
      <c r="AS121" s="67">
        <f t="shared" si="420"/>
        <v>0.95238095238095233</v>
      </c>
      <c r="AT121" s="67">
        <f t="shared" si="420"/>
        <v>0.8571428571428571</v>
      </c>
      <c r="AU121" s="67">
        <f t="shared" si="420"/>
        <v>1</v>
      </c>
      <c r="AV121" s="67">
        <f t="shared" si="420"/>
        <v>0.80952380952380953</v>
      </c>
      <c r="AX121">
        <f t="shared" si="238"/>
        <v>0.60952380952380958</v>
      </c>
      <c r="AY121">
        <f t="shared" si="239"/>
        <v>9.5238095238095233E-2</v>
      </c>
      <c r="AZ121">
        <f t="shared" si="240"/>
        <v>0.19047619047619047</v>
      </c>
      <c r="BB121">
        <f t="shared" ref="BB121:BD121" si="421">AX121/SUM($AX121:$AZ121)</f>
        <v>0.68085106382978722</v>
      </c>
      <c r="BC121">
        <f t="shared" si="421"/>
        <v>0.10638297872340424</v>
      </c>
      <c r="BD121">
        <f t="shared" si="421"/>
        <v>0.21276595744680848</v>
      </c>
      <c r="BF121" t="str">
        <f t="shared" si="242"/>
        <v>Price</v>
      </c>
      <c r="BG121">
        <f t="shared" si="243"/>
        <v>3.5</v>
      </c>
      <c r="BI121">
        <f t="shared" si="244"/>
        <v>3.5</v>
      </c>
      <c r="BJ121" t="str">
        <f t="shared" si="245"/>
        <v>Tennis</v>
      </c>
      <c r="BK121" t="str">
        <f t="shared" si="246"/>
        <v>A</v>
      </c>
      <c r="BS121">
        <f t="shared" si="247"/>
        <v>0.60952380952380958</v>
      </c>
      <c r="BT121">
        <f t="shared" si="248"/>
        <v>9.5238095238095233E-2</v>
      </c>
      <c r="BU121">
        <f t="shared" si="249"/>
        <v>-0.19047619047619047</v>
      </c>
      <c r="BW121">
        <f t="shared" si="360"/>
        <v>1.8178197010872597</v>
      </c>
      <c r="BX121">
        <f t="shared" si="361"/>
        <v>0.21620548536480494</v>
      </c>
      <c r="BY121">
        <f t="shared" si="362"/>
        <v>-0.41924239047412343</v>
      </c>
      <c r="CB121">
        <f t="shared" si="363"/>
        <v>3.1772906205731264</v>
      </c>
      <c r="CC121">
        <f t="shared" si="364"/>
        <v>0.44321989648948401</v>
      </c>
      <c r="CD121">
        <f t="shared" si="365"/>
        <v>2.4464388194392686</v>
      </c>
      <c r="CE121">
        <f t="shared" si="366"/>
        <v>2.7531198894776856</v>
      </c>
      <c r="CF121">
        <f t="shared" si="257"/>
        <v>0.44321989648948401</v>
      </c>
      <c r="CJ121" t="str">
        <f t="shared" si="258"/>
        <v>Cluster 2</v>
      </c>
      <c r="CK121" t="str">
        <f t="shared" si="367"/>
        <v>Price Only</v>
      </c>
      <c r="CL121" t="str">
        <f t="shared" si="260"/>
        <v>Price Only</v>
      </c>
      <c r="CM121" t="str">
        <f t="shared" si="371"/>
        <v/>
      </c>
    </row>
    <row r="122" spans="8:91">
      <c r="H122">
        <v>115</v>
      </c>
      <c r="I122">
        <v>5</v>
      </c>
      <c r="J122">
        <v>8</v>
      </c>
      <c r="K122">
        <v>10</v>
      </c>
      <c r="L122">
        <v>12</v>
      </c>
      <c r="M122">
        <v>15</v>
      </c>
      <c r="N122">
        <v>1</v>
      </c>
      <c r="O122">
        <v>2</v>
      </c>
      <c r="P122">
        <v>3</v>
      </c>
      <c r="Q122">
        <v>5</v>
      </c>
      <c r="R122">
        <v>8</v>
      </c>
      <c r="S122">
        <v>14</v>
      </c>
      <c r="T122">
        <v>17</v>
      </c>
      <c r="U122">
        <v>18</v>
      </c>
      <c r="V122">
        <v>19</v>
      </c>
      <c r="W122">
        <v>20</v>
      </c>
      <c r="X122">
        <v>6</v>
      </c>
      <c r="Y122">
        <v>9</v>
      </c>
      <c r="Z122">
        <v>11</v>
      </c>
      <c r="AA122">
        <v>14</v>
      </c>
      <c r="AB122">
        <v>17</v>
      </c>
      <c r="AD122">
        <f t="shared" ref="AD122:AH122" si="422">SUMIFS($I122:$AB122,$I$2:$AB$2,AD$7)</f>
        <v>26</v>
      </c>
      <c r="AE122">
        <f t="shared" si="422"/>
        <v>36</v>
      </c>
      <c r="AF122">
        <f t="shared" si="422"/>
        <v>42</v>
      </c>
      <c r="AG122">
        <f t="shared" si="422"/>
        <v>50</v>
      </c>
      <c r="AH122">
        <f t="shared" si="422"/>
        <v>60</v>
      </c>
      <c r="AI122">
        <f t="shared" si="379"/>
        <v>69</v>
      </c>
      <c r="AJ122">
        <f t="shared" si="379"/>
        <v>145</v>
      </c>
      <c r="AK122">
        <f t="shared" si="380"/>
        <v>76</v>
      </c>
      <c r="AL122">
        <f t="shared" si="380"/>
        <v>138</v>
      </c>
      <c r="AN122" s="67">
        <f t="shared" ref="AN122:AV122" si="423">((AD122-MIN($AD122:$AL122))/(MAX($AD122:$AL122)-MIN($AD122:$AL122)))</f>
        <v>0</v>
      </c>
      <c r="AO122" s="67">
        <f t="shared" si="423"/>
        <v>8.4033613445378158E-2</v>
      </c>
      <c r="AP122" s="67">
        <f t="shared" si="423"/>
        <v>0.13445378151260504</v>
      </c>
      <c r="AQ122" s="67">
        <f t="shared" si="423"/>
        <v>0.20168067226890757</v>
      </c>
      <c r="AR122" s="67">
        <f t="shared" si="423"/>
        <v>0.2857142857142857</v>
      </c>
      <c r="AS122" s="67">
        <f t="shared" si="423"/>
        <v>0.36134453781512604</v>
      </c>
      <c r="AT122" s="67">
        <f t="shared" si="423"/>
        <v>1</v>
      </c>
      <c r="AU122" s="67">
        <f t="shared" si="423"/>
        <v>0.42016806722689076</v>
      </c>
      <c r="AV122" s="67">
        <f t="shared" si="423"/>
        <v>0.94117647058823528</v>
      </c>
      <c r="AX122">
        <f t="shared" si="238"/>
        <v>0.2857142857142857</v>
      </c>
      <c r="AY122">
        <f t="shared" si="239"/>
        <v>0.6386554621848739</v>
      </c>
      <c r="AZ122">
        <f t="shared" si="240"/>
        <v>0.52100840336134446</v>
      </c>
      <c r="BB122">
        <f t="shared" ref="BB122:BD122" si="424">AX122/SUM($AX122:$AZ122)</f>
        <v>0.19767441860465118</v>
      </c>
      <c r="BC122">
        <f t="shared" si="424"/>
        <v>0.44186046511627913</v>
      </c>
      <c r="BD122">
        <f t="shared" si="424"/>
        <v>0.3604651162790698</v>
      </c>
      <c r="BF122" t="str">
        <f t="shared" si="242"/>
        <v xml:space="preserve">Brand </v>
      </c>
      <c r="BG122" t="str">
        <f t="shared" si="243"/>
        <v>Super Bowl</v>
      </c>
      <c r="BI122">
        <f t="shared" si="244"/>
        <v>3.5</v>
      </c>
      <c r="BJ122" t="str">
        <f t="shared" si="245"/>
        <v>Super Bowl</v>
      </c>
      <c r="BK122" t="str">
        <f t="shared" si="246"/>
        <v>B</v>
      </c>
      <c r="BS122">
        <f t="shared" si="247"/>
        <v>0.2857142857142857</v>
      </c>
      <c r="BT122">
        <f t="shared" si="248"/>
        <v>-0.6386554621848739</v>
      </c>
      <c r="BU122">
        <f t="shared" si="249"/>
        <v>0.52100840336134446</v>
      </c>
      <c r="BW122">
        <f t="shared" si="360"/>
        <v>-1.0346383287442684</v>
      </c>
      <c r="BX122">
        <f t="shared" si="361"/>
        <v>-1.3885000301571429</v>
      </c>
      <c r="BY122">
        <f t="shared" si="362"/>
        <v>1.0839235600072148</v>
      </c>
      <c r="CB122">
        <f t="shared" si="363"/>
        <v>0.48750305232821228</v>
      </c>
      <c r="CC122">
        <f t="shared" si="364"/>
        <v>3.420803400302975</v>
      </c>
      <c r="CD122">
        <f t="shared" si="365"/>
        <v>2.8286993748718925</v>
      </c>
      <c r="CE122">
        <f t="shared" si="366"/>
        <v>2.2086909659711247</v>
      </c>
      <c r="CF122">
        <f t="shared" si="257"/>
        <v>0.48750305232821228</v>
      </c>
      <c r="CJ122" t="str">
        <f t="shared" si="258"/>
        <v>Cluster 1</v>
      </c>
      <c r="CK122" t="str">
        <f t="shared" si="367"/>
        <v>B Super Bowl</v>
      </c>
      <c r="CL122" t="str">
        <f t="shared" si="260"/>
        <v>Super Bowl B</v>
      </c>
      <c r="CM122" t="str">
        <f t="shared" si="371"/>
        <v>Diff</v>
      </c>
    </row>
    <row r="123" spans="8:91">
      <c r="H123">
        <v>116</v>
      </c>
      <c r="I123">
        <v>5</v>
      </c>
      <c r="J123">
        <v>8</v>
      </c>
      <c r="K123">
        <v>11</v>
      </c>
      <c r="L123">
        <v>14</v>
      </c>
      <c r="M123">
        <v>17</v>
      </c>
      <c r="N123">
        <v>1</v>
      </c>
      <c r="O123">
        <v>2</v>
      </c>
      <c r="P123">
        <v>3</v>
      </c>
      <c r="Q123">
        <v>6</v>
      </c>
      <c r="R123">
        <v>9</v>
      </c>
      <c r="S123">
        <v>12</v>
      </c>
      <c r="T123">
        <v>15</v>
      </c>
      <c r="U123">
        <v>18</v>
      </c>
      <c r="V123">
        <v>19</v>
      </c>
      <c r="W123">
        <v>20</v>
      </c>
      <c r="X123">
        <v>4</v>
      </c>
      <c r="Y123">
        <v>7</v>
      </c>
      <c r="Z123">
        <v>10</v>
      </c>
      <c r="AA123">
        <v>13</v>
      </c>
      <c r="AB123">
        <v>16</v>
      </c>
      <c r="AD123">
        <f t="shared" ref="AD123:AH123" si="425">SUMIFS($I123:$AB123,$I$2:$AB$2,AD$7)</f>
        <v>22</v>
      </c>
      <c r="AE123">
        <f t="shared" si="425"/>
        <v>32</v>
      </c>
      <c r="AF123">
        <f t="shared" si="425"/>
        <v>42</v>
      </c>
      <c r="AG123">
        <f t="shared" si="425"/>
        <v>52</v>
      </c>
      <c r="AH123">
        <f t="shared" si="425"/>
        <v>62</v>
      </c>
      <c r="AI123">
        <f t="shared" si="379"/>
        <v>76</v>
      </c>
      <c r="AJ123">
        <f t="shared" si="379"/>
        <v>134</v>
      </c>
      <c r="AK123">
        <f t="shared" si="380"/>
        <v>71</v>
      </c>
      <c r="AL123">
        <f t="shared" si="380"/>
        <v>139</v>
      </c>
      <c r="AN123" s="67">
        <f t="shared" ref="AN123:AV123" si="426">((AD123-MIN($AD123:$AL123))/(MAX($AD123:$AL123)-MIN($AD123:$AL123)))</f>
        <v>0</v>
      </c>
      <c r="AO123" s="67">
        <f t="shared" si="426"/>
        <v>8.5470085470085472E-2</v>
      </c>
      <c r="AP123" s="67">
        <f t="shared" si="426"/>
        <v>0.17094017094017094</v>
      </c>
      <c r="AQ123" s="67">
        <f t="shared" si="426"/>
        <v>0.25641025641025639</v>
      </c>
      <c r="AR123" s="67">
        <f t="shared" si="426"/>
        <v>0.34188034188034189</v>
      </c>
      <c r="AS123" s="67">
        <f t="shared" si="426"/>
        <v>0.46153846153846156</v>
      </c>
      <c r="AT123" s="67">
        <f t="shared" si="426"/>
        <v>0.95726495726495731</v>
      </c>
      <c r="AU123" s="67">
        <f t="shared" si="426"/>
        <v>0.41880341880341881</v>
      </c>
      <c r="AV123" s="67">
        <f t="shared" si="426"/>
        <v>1</v>
      </c>
      <c r="AX123">
        <f t="shared" si="238"/>
        <v>0.34188034188034189</v>
      </c>
      <c r="AY123">
        <f t="shared" si="239"/>
        <v>0.49572649572649574</v>
      </c>
      <c r="AZ123">
        <f t="shared" si="240"/>
        <v>0.58119658119658113</v>
      </c>
      <c r="BB123">
        <f t="shared" ref="BB123:BD123" si="427">AX123/SUM($AX123:$AZ123)</f>
        <v>0.24096385542168677</v>
      </c>
      <c r="BC123">
        <f t="shared" si="427"/>
        <v>0.34939759036144585</v>
      </c>
      <c r="BD123">
        <f t="shared" si="427"/>
        <v>0.40963855421686746</v>
      </c>
      <c r="BF123" t="str">
        <f t="shared" si="242"/>
        <v>Sugar</v>
      </c>
      <c r="BG123" t="str">
        <f t="shared" si="243"/>
        <v>B</v>
      </c>
      <c r="BI123">
        <f t="shared" si="244"/>
        <v>3.5</v>
      </c>
      <c r="BJ123" t="str">
        <f t="shared" si="245"/>
        <v>Super Bowl</v>
      </c>
      <c r="BK123" t="str">
        <f t="shared" si="246"/>
        <v>B</v>
      </c>
      <c r="BS123">
        <f t="shared" si="247"/>
        <v>0.34188034188034189</v>
      </c>
      <c r="BT123">
        <f t="shared" si="248"/>
        <v>-0.49572649572649574</v>
      </c>
      <c r="BU123">
        <f t="shared" si="249"/>
        <v>0.58119658119658113</v>
      </c>
      <c r="BW123">
        <f t="shared" si="360"/>
        <v>-0.53986808224257044</v>
      </c>
      <c r="BX123">
        <f t="shared" si="361"/>
        <v>-1.0759766424209249</v>
      </c>
      <c r="BY123">
        <f t="shared" si="362"/>
        <v>1.2110841764521332</v>
      </c>
      <c r="CB123">
        <f t="shared" si="363"/>
        <v>0.14372078964114243</v>
      </c>
      <c r="CC123">
        <f t="shared" si="364"/>
        <v>2.9203312766305167</v>
      </c>
      <c r="CD123">
        <f t="shared" si="365"/>
        <v>2.5572384504100363</v>
      </c>
      <c r="CE123">
        <f t="shared" si="366"/>
        <v>2.2561333204494329</v>
      </c>
      <c r="CF123">
        <f t="shared" si="257"/>
        <v>0.14372078964114243</v>
      </c>
      <c r="CJ123" t="str">
        <f t="shared" si="258"/>
        <v>Cluster 1</v>
      </c>
      <c r="CK123" t="str">
        <f t="shared" si="367"/>
        <v>B Super Bowl</v>
      </c>
      <c r="CL123" t="str">
        <f t="shared" si="260"/>
        <v>Super Bowl B</v>
      </c>
      <c r="CM123" t="str">
        <f t="shared" si="371"/>
        <v>Diff</v>
      </c>
    </row>
    <row r="124" spans="8:91">
      <c r="H124">
        <v>117</v>
      </c>
      <c r="I124">
        <v>4</v>
      </c>
      <c r="J124">
        <v>7</v>
      </c>
      <c r="K124">
        <v>10</v>
      </c>
      <c r="L124">
        <v>13</v>
      </c>
      <c r="M124">
        <v>16</v>
      </c>
      <c r="N124">
        <v>12</v>
      </c>
      <c r="O124">
        <v>15</v>
      </c>
      <c r="P124">
        <v>18</v>
      </c>
      <c r="Q124">
        <v>19</v>
      </c>
      <c r="R124">
        <v>20</v>
      </c>
      <c r="S124">
        <v>1</v>
      </c>
      <c r="T124">
        <v>2</v>
      </c>
      <c r="U124">
        <v>4</v>
      </c>
      <c r="V124">
        <v>7</v>
      </c>
      <c r="W124">
        <v>10</v>
      </c>
      <c r="X124">
        <v>5</v>
      </c>
      <c r="Y124">
        <v>8</v>
      </c>
      <c r="Z124">
        <v>12</v>
      </c>
      <c r="AA124">
        <v>15</v>
      </c>
      <c r="AB124">
        <v>18</v>
      </c>
      <c r="AD124">
        <f t="shared" ref="AD124:AH124" si="428">SUMIFS($I124:$AB124,$I$2:$AB$2,AD$7)</f>
        <v>22</v>
      </c>
      <c r="AE124">
        <f t="shared" si="428"/>
        <v>32</v>
      </c>
      <c r="AF124">
        <f t="shared" si="428"/>
        <v>44</v>
      </c>
      <c r="AG124">
        <f t="shared" si="428"/>
        <v>54</v>
      </c>
      <c r="AH124">
        <f t="shared" si="428"/>
        <v>64</v>
      </c>
      <c r="AI124">
        <f t="shared" si="379"/>
        <v>134</v>
      </c>
      <c r="AJ124">
        <f t="shared" si="379"/>
        <v>82</v>
      </c>
      <c r="AK124">
        <f t="shared" si="380"/>
        <v>142</v>
      </c>
      <c r="AL124">
        <f t="shared" si="380"/>
        <v>74</v>
      </c>
      <c r="AN124" s="67">
        <f t="shared" ref="AN124:AV124" si="429">((AD124-MIN($AD124:$AL124))/(MAX($AD124:$AL124)-MIN($AD124:$AL124)))</f>
        <v>0</v>
      </c>
      <c r="AO124" s="67">
        <f t="shared" si="429"/>
        <v>8.3333333333333329E-2</v>
      </c>
      <c r="AP124" s="67">
        <f t="shared" si="429"/>
        <v>0.18333333333333332</v>
      </c>
      <c r="AQ124" s="67">
        <f t="shared" si="429"/>
        <v>0.26666666666666666</v>
      </c>
      <c r="AR124" s="67">
        <f t="shared" si="429"/>
        <v>0.35</v>
      </c>
      <c r="AS124" s="67">
        <f t="shared" si="429"/>
        <v>0.93333333333333335</v>
      </c>
      <c r="AT124" s="67">
        <f t="shared" si="429"/>
        <v>0.5</v>
      </c>
      <c r="AU124" s="67">
        <f t="shared" si="429"/>
        <v>1</v>
      </c>
      <c r="AV124" s="67">
        <f t="shared" si="429"/>
        <v>0.43333333333333335</v>
      </c>
      <c r="AX124">
        <f t="shared" si="238"/>
        <v>0.35</v>
      </c>
      <c r="AY124">
        <f t="shared" si="239"/>
        <v>0.43333333333333335</v>
      </c>
      <c r="AZ124">
        <f t="shared" si="240"/>
        <v>0.56666666666666665</v>
      </c>
      <c r="BB124">
        <f t="shared" ref="BB124:BD124" si="430">AX124/SUM($AX124:$AZ124)</f>
        <v>0.25925925925925924</v>
      </c>
      <c r="BC124">
        <f t="shared" si="430"/>
        <v>0.32098765432098764</v>
      </c>
      <c r="BD124">
        <f t="shared" si="430"/>
        <v>0.41975308641975306</v>
      </c>
      <c r="BF124" t="str">
        <f t="shared" si="242"/>
        <v>Sugar</v>
      </c>
      <c r="BG124" t="str">
        <f t="shared" si="243"/>
        <v>A</v>
      </c>
      <c r="BI124">
        <f t="shared" si="244"/>
        <v>3.5</v>
      </c>
      <c r="BJ124" t="str">
        <f t="shared" si="245"/>
        <v>Tennis</v>
      </c>
      <c r="BK124" t="str">
        <f t="shared" si="246"/>
        <v>A</v>
      </c>
      <c r="BS124">
        <f t="shared" si="247"/>
        <v>0.35</v>
      </c>
      <c r="BT124">
        <f t="shared" si="248"/>
        <v>0.43333333333333335</v>
      </c>
      <c r="BU124">
        <f t="shared" si="249"/>
        <v>-0.56666666666666665</v>
      </c>
      <c r="BW124">
        <f t="shared" si="360"/>
        <v>-0.46834151399830348</v>
      </c>
      <c r="BX124">
        <f t="shared" si="361"/>
        <v>0.95547249194304584</v>
      </c>
      <c r="BY124">
        <f t="shared" si="362"/>
        <v>-1.2140265918506736</v>
      </c>
      <c r="CB124">
        <f t="shared" si="363"/>
        <v>3.1343386207869499</v>
      </c>
      <c r="CC124">
        <f t="shared" si="364"/>
        <v>2.6868517796020486</v>
      </c>
      <c r="CD124">
        <f t="shared" si="365"/>
        <v>1.0841825846829021</v>
      </c>
      <c r="CE124">
        <f t="shared" si="366"/>
        <v>2.1330809292750872</v>
      </c>
      <c r="CF124">
        <f t="shared" si="257"/>
        <v>1.0841825846829021</v>
      </c>
      <c r="CJ124" t="str">
        <f t="shared" si="258"/>
        <v>Cluster 3</v>
      </c>
      <c r="CK124" t="str">
        <f t="shared" si="367"/>
        <v>Tennis Only</v>
      </c>
      <c r="CL124" t="str">
        <f t="shared" si="260"/>
        <v>Tennis A</v>
      </c>
      <c r="CM124" t="str">
        <f t="shared" si="371"/>
        <v>Diff</v>
      </c>
    </row>
    <row r="125" spans="8:91">
      <c r="H125">
        <v>118</v>
      </c>
      <c r="I125">
        <v>5</v>
      </c>
      <c r="J125">
        <v>8</v>
      </c>
      <c r="K125">
        <v>12</v>
      </c>
      <c r="L125">
        <v>15</v>
      </c>
      <c r="M125">
        <v>18</v>
      </c>
      <c r="N125">
        <v>1</v>
      </c>
      <c r="O125">
        <v>2</v>
      </c>
      <c r="P125">
        <v>4</v>
      </c>
      <c r="Q125">
        <v>7</v>
      </c>
      <c r="R125">
        <v>11</v>
      </c>
      <c r="S125">
        <v>10</v>
      </c>
      <c r="T125">
        <v>14</v>
      </c>
      <c r="U125">
        <v>17</v>
      </c>
      <c r="V125">
        <v>19</v>
      </c>
      <c r="W125">
        <v>20</v>
      </c>
      <c r="X125">
        <v>3</v>
      </c>
      <c r="Y125">
        <v>6</v>
      </c>
      <c r="Z125">
        <v>9</v>
      </c>
      <c r="AA125">
        <v>13</v>
      </c>
      <c r="AB125">
        <v>16</v>
      </c>
      <c r="AD125">
        <f t="shared" ref="AD125:AH125" si="431">SUMIFS($I125:$AB125,$I$2:$AB$2,AD$7)</f>
        <v>19</v>
      </c>
      <c r="AE125">
        <f t="shared" si="431"/>
        <v>30</v>
      </c>
      <c r="AF125">
        <f t="shared" si="431"/>
        <v>42</v>
      </c>
      <c r="AG125">
        <f t="shared" si="431"/>
        <v>54</v>
      </c>
      <c r="AH125">
        <f t="shared" si="431"/>
        <v>65</v>
      </c>
      <c r="AI125">
        <f t="shared" si="379"/>
        <v>83</v>
      </c>
      <c r="AJ125">
        <f t="shared" si="379"/>
        <v>127</v>
      </c>
      <c r="AK125">
        <f t="shared" si="380"/>
        <v>72</v>
      </c>
      <c r="AL125">
        <f t="shared" si="380"/>
        <v>138</v>
      </c>
      <c r="AN125" s="67">
        <f t="shared" ref="AN125:AV125" si="432">((AD125-MIN($AD125:$AL125))/(MAX($AD125:$AL125)-MIN($AD125:$AL125)))</f>
        <v>0</v>
      </c>
      <c r="AO125" s="67">
        <f t="shared" si="432"/>
        <v>9.2436974789915971E-2</v>
      </c>
      <c r="AP125" s="67">
        <f t="shared" si="432"/>
        <v>0.19327731092436976</v>
      </c>
      <c r="AQ125" s="67">
        <f t="shared" si="432"/>
        <v>0.29411764705882354</v>
      </c>
      <c r="AR125" s="67">
        <f t="shared" si="432"/>
        <v>0.38655462184873951</v>
      </c>
      <c r="AS125" s="67">
        <f t="shared" si="432"/>
        <v>0.53781512605042014</v>
      </c>
      <c r="AT125" s="67">
        <f t="shared" si="432"/>
        <v>0.90756302521008403</v>
      </c>
      <c r="AU125" s="67">
        <f t="shared" si="432"/>
        <v>0.44537815126050423</v>
      </c>
      <c r="AV125" s="67">
        <f t="shared" si="432"/>
        <v>1</v>
      </c>
      <c r="AX125">
        <f t="shared" si="238"/>
        <v>0.38655462184873951</v>
      </c>
      <c r="AY125">
        <f t="shared" si="239"/>
        <v>0.36974789915966388</v>
      </c>
      <c r="AZ125">
        <f t="shared" si="240"/>
        <v>0.55462184873949583</v>
      </c>
      <c r="BB125">
        <f t="shared" ref="BB125:BD125" si="433">AX125/SUM($AX125:$AZ125)</f>
        <v>0.29487179487179488</v>
      </c>
      <c r="BC125">
        <f t="shared" si="433"/>
        <v>0.28205128205128205</v>
      </c>
      <c r="BD125">
        <f t="shared" si="433"/>
        <v>0.42307692307692307</v>
      </c>
      <c r="BF125" t="str">
        <f t="shared" si="242"/>
        <v>Sugar</v>
      </c>
      <c r="BG125" t="str">
        <f t="shared" si="243"/>
        <v>B</v>
      </c>
      <c r="BI125">
        <f t="shared" si="244"/>
        <v>3.5</v>
      </c>
      <c r="BJ125" t="str">
        <f t="shared" si="245"/>
        <v>Super Bowl</v>
      </c>
      <c r="BK125" t="str">
        <f t="shared" si="246"/>
        <v>B</v>
      </c>
      <c r="BS125">
        <f t="shared" si="247"/>
        <v>0.38655462184873951</v>
      </c>
      <c r="BT125">
        <f t="shared" si="248"/>
        <v>-0.36974789915966388</v>
      </c>
      <c r="BU125">
        <f t="shared" si="249"/>
        <v>0.55462184873949583</v>
      </c>
      <c r="BW125">
        <f t="shared" si="360"/>
        <v>-0.14632959973098972</v>
      </c>
      <c r="BX125">
        <f t="shared" si="361"/>
        <v>-0.80051632981322318</v>
      </c>
      <c r="BY125">
        <f t="shared" si="362"/>
        <v>1.1549392742031839</v>
      </c>
      <c r="CB125">
        <f t="shared" si="363"/>
        <v>0.58185969028348716</v>
      </c>
      <c r="CC125">
        <f t="shared" si="364"/>
        <v>2.4658648751391778</v>
      </c>
      <c r="CD125">
        <f t="shared" si="365"/>
        <v>2.3139515761196949</v>
      </c>
      <c r="CE125">
        <f t="shared" si="366"/>
        <v>2.2525639904536443</v>
      </c>
      <c r="CF125">
        <f t="shared" si="257"/>
        <v>0.58185969028348716</v>
      </c>
      <c r="CJ125" t="str">
        <f t="shared" si="258"/>
        <v>Cluster 1</v>
      </c>
      <c r="CK125" t="str">
        <f t="shared" si="367"/>
        <v>B Super Bowl</v>
      </c>
      <c r="CL125" t="str">
        <f t="shared" si="260"/>
        <v>Super Bowl B</v>
      </c>
      <c r="CM125" t="str">
        <f t="shared" si="371"/>
        <v>Diff</v>
      </c>
    </row>
    <row r="126" spans="8:91">
      <c r="H126">
        <v>119</v>
      </c>
      <c r="I126">
        <v>6</v>
      </c>
      <c r="J126">
        <v>9</v>
      </c>
      <c r="K126">
        <v>13</v>
      </c>
      <c r="L126">
        <v>16</v>
      </c>
      <c r="M126">
        <v>18</v>
      </c>
      <c r="N126">
        <v>1</v>
      </c>
      <c r="O126">
        <v>2</v>
      </c>
      <c r="P126">
        <v>4</v>
      </c>
      <c r="Q126">
        <v>7</v>
      </c>
      <c r="R126">
        <v>10</v>
      </c>
      <c r="S126">
        <v>11</v>
      </c>
      <c r="T126">
        <v>14</v>
      </c>
      <c r="U126">
        <v>17</v>
      </c>
      <c r="V126">
        <v>19</v>
      </c>
      <c r="W126">
        <v>20</v>
      </c>
      <c r="X126">
        <v>3</v>
      </c>
      <c r="Y126">
        <v>5</v>
      </c>
      <c r="Z126">
        <v>8</v>
      </c>
      <c r="AA126">
        <v>12</v>
      </c>
      <c r="AB126">
        <v>15</v>
      </c>
      <c r="AD126">
        <f t="shared" ref="AD126:AH126" si="434">SUMIFS($I126:$AB126,$I$2:$AB$2,AD$7)</f>
        <v>21</v>
      </c>
      <c r="AE126">
        <f t="shared" si="434"/>
        <v>30</v>
      </c>
      <c r="AF126">
        <f t="shared" si="434"/>
        <v>42</v>
      </c>
      <c r="AG126">
        <f t="shared" si="434"/>
        <v>54</v>
      </c>
      <c r="AH126">
        <f t="shared" si="434"/>
        <v>63</v>
      </c>
      <c r="AI126">
        <f t="shared" si="379"/>
        <v>86</v>
      </c>
      <c r="AJ126">
        <f t="shared" si="379"/>
        <v>124</v>
      </c>
      <c r="AK126">
        <f t="shared" si="380"/>
        <v>67</v>
      </c>
      <c r="AL126">
        <f t="shared" si="380"/>
        <v>143</v>
      </c>
      <c r="AN126" s="67">
        <f t="shared" ref="AN126:AV126" si="435">((AD126-MIN($AD126:$AL126))/(MAX($AD126:$AL126)-MIN($AD126:$AL126)))</f>
        <v>0</v>
      </c>
      <c r="AO126" s="67">
        <f t="shared" si="435"/>
        <v>7.3770491803278687E-2</v>
      </c>
      <c r="AP126" s="67">
        <f t="shared" si="435"/>
        <v>0.1721311475409836</v>
      </c>
      <c r="AQ126" s="67">
        <f t="shared" si="435"/>
        <v>0.27049180327868855</v>
      </c>
      <c r="AR126" s="67">
        <f t="shared" si="435"/>
        <v>0.34426229508196721</v>
      </c>
      <c r="AS126" s="67">
        <f t="shared" si="435"/>
        <v>0.53278688524590168</v>
      </c>
      <c r="AT126" s="67">
        <f t="shared" si="435"/>
        <v>0.84426229508196726</v>
      </c>
      <c r="AU126" s="67">
        <f t="shared" si="435"/>
        <v>0.37704918032786883</v>
      </c>
      <c r="AV126" s="67">
        <f t="shared" si="435"/>
        <v>1</v>
      </c>
      <c r="AX126">
        <f t="shared" si="238"/>
        <v>0.34426229508196721</v>
      </c>
      <c r="AY126">
        <f t="shared" si="239"/>
        <v>0.31147540983606559</v>
      </c>
      <c r="AZ126">
        <f t="shared" si="240"/>
        <v>0.62295081967213117</v>
      </c>
      <c r="BB126">
        <f t="shared" ref="BB126:BD126" si="436">AX126/SUM($AX126:$AZ126)</f>
        <v>0.26923076923076922</v>
      </c>
      <c r="BC126">
        <f t="shared" si="436"/>
        <v>0.24358974358974358</v>
      </c>
      <c r="BD126">
        <f t="shared" si="436"/>
        <v>0.48717948717948717</v>
      </c>
      <c r="BF126" t="str">
        <f t="shared" si="242"/>
        <v>Sugar</v>
      </c>
      <c r="BG126" t="str">
        <f t="shared" si="243"/>
        <v>B</v>
      </c>
      <c r="BI126">
        <f t="shared" si="244"/>
        <v>3.5</v>
      </c>
      <c r="BJ126" t="str">
        <f t="shared" si="245"/>
        <v>Super Bowl</v>
      </c>
      <c r="BK126" t="str">
        <f t="shared" si="246"/>
        <v>B</v>
      </c>
      <c r="BS126">
        <f t="shared" si="247"/>
        <v>0.34426229508196721</v>
      </c>
      <c r="BT126">
        <f t="shared" si="248"/>
        <v>-0.31147540983606559</v>
      </c>
      <c r="BU126">
        <f t="shared" si="249"/>
        <v>0.62295081967213117</v>
      </c>
      <c r="BW126">
        <f t="shared" si="360"/>
        <v>-0.51888530984994685</v>
      </c>
      <c r="BX126">
        <f t="shared" si="361"/>
        <v>-0.67309977999484305</v>
      </c>
      <c r="BY126">
        <f t="shared" si="362"/>
        <v>1.2992990866671204</v>
      </c>
      <c r="CB126">
        <f t="shared" si="363"/>
        <v>0.5173296297406369</v>
      </c>
      <c r="CC126">
        <f t="shared" si="364"/>
        <v>2.7881109947263139</v>
      </c>
      <c r="CD126">
        <f t="shared" si="365"/>
        <v>2.2794534141698271</v>
      </c>
      <c r="CE126">
        <f t="shared" si="366"/>
        <v>2.3941354395973651</v>
      </c>
      <c r="CF126">
        <f t="shared" si="257"/>
        <v>0.5173296297406369</v>
      </c>
      <c r="CJ126" t="str">
        <f t="shared" si="258"/>
        <v>Cluster 1</v>
      </c>
      <c r="CK126" t="str">
        <f t="shared" si="367"/>
        <v>B Super Bowl</v>
      </c>
      <c r="CL126" t="str">
        <f t="shared" si="260"/>
        <v>Super Bowl B</v>
      </c>
      <c r="CM126" t="str">
        <f t="shared" si="371"/>
        <v>Diff</v>
      </c>
    </row>
    <row r="127" spans="8:91">
      <c r="H127">
        <v>120</v>
      </c>
      <c r="I127">
        <v>4</v>
      </c>
      <c r="J127">
        <v>7</v>
      </c>
      <c r="K127">
        <v>10</v>
      </c>
      <c r="L127">
        <v>13</v>
      </c>
      <c r="M127">
        <v>16</v>
      </c>
      <c r="N127">
        <v>13</v>
      </c>
      <c r="O127">
        <v>16</v>
      </c>
      <c r="P127">
        <v>18</v>
      </c>
      <c r="Q127">
        <v>19</v>
      </c>
      <c r="R127">
        <v>20</v>
      </c>
      <c r="S127">
        <v>1</v>
      </c>
      <c r="T127">
        <v>2</v>
      </c>
      <c r="U127">
        <v>3</v>
      </c>
      <c r="V127">
        <v>6</v>
      </c>
      <c r="W127">
        <v>9</v>
      </c>
      <c r="X127">
        <v>6</v>
      </c>
      <c r="Y127">
        <v>9</v>
      </c>
      <c r="Z127">
        <v>11</v>
      </c>
      <c r="AA127">
        <v>14</v>
      </c>
      <c r="AB127">
        <v>17</v>
      </c>
      <c r="AD127">
        <f t="shared" ref="AD127:AH127" si="437">SUMIFS($I127:$AB127,$I$2:$AB$2,AD$7)</f>
        <v>24</v>
      </c>
      <c r="AE127">
        <f t="shared" si="437"/>
        <v>34</v>
      </c>
      <c r="AF127">
        <f t="shared" si="437"/>
        <v>42</v>
      </c>
      <c r="AG127">
        <f t="shared" si="437"/>
        <v>52</v>
      </c>
      <c r="AH127">
        <f t="shared" si="437"/>
        <v>62</v>
      </c>
      <c r="AI127">
        <f t="shared" si="379"/>
        <v>136</v>
      </c>
      <c r="AJ127">
        <f t="shared" si="379"/>
        <v>78</v>
      </c>
      <c r="AK127">
        <f t="shared" si="380"/>
        <v>143</v>
      </c>
      <c r="AL127">
        <f t="shared" si="380"/>
        <v>71</v>
      </c>
      <c r="AN127" s="67">
        <f t="shared" ref="AN127:AV127" si="438">((AD127-MIN($AD127:$AL127))/(MAX($AD127:$AL127)-MIN($AD127:$AL127)))</f>
        <v>0</v>
      </c>
      <c r="AO127" s="67">
        <f t="shared" si="438"/>
        <v>8.4033613445378158E-2</v>
      </c>
      <c r="AP127" s="67">
        <f t="shared" si="438"/>
        <v>0.15126050420168066</v>
      </c>
      <c r="AQ127" s="67">
        <f t="shared" si="438"/>
        <v>0.23529411764705882</v>
      </c>
      <c r="AR127" s="67">
        <f t="shared" si="438"/>
        <v>0.31932773109243695</v>
      </c>
      <c r="AS127" s="67">
        <f t="shared" si="438"/>
        <v>0.94117647058823528</v>
      </c>
      <c r="AT127" s="67">
        <f t="shared" si="438"/>
        <v>0.45378151260504201</v>
      </c>
      <c r="AU127" s="67">
        <f t="shared" si="438"/>
        <v>1</v>
      </c>
      <c r="AV127" s="67">
        <f t="shared" si="438"/>
        <v>0.3949579831932773</v>
      </c>
      <c r="AX127">
        <f t="shared" si="238"/>
        <v>0.31932773109243695</v>
      </c>
      <c r="AY127">
        <f t="shared" si="239"/>
        <v>0.48739495798319327</v>
      </c>
      <c r="AZ127">
        <f t="shared" si="240"/>
        <v>0.60504201680672276</v>
      </c>
      <c r="BB127">
        <f t="shared" ref="BB127:BD127" si="439">AX127/SUM($AX127:$AZ127)</f>
        <v>0.22619047619047616</v>
      </c>
      <c r="BC127">
        <f t="shared" si="439"/>
        <v>0.34523809523809523</v>
      </c>
      <c r="BD127">
        <f t="shared" si="439"/>
        <v>0.4285714285714286</v>
      </c>
      <c r="BF127" t="str">
        <f t="shared" si="242"/>
        <v>Sugar</v>
      </c>
      <c r="BG127" t="str">
        <f t="shared" si="243"/>
        <v>A</v>
      </c>
      <c r="BI127">
        <f t="shared" si="244"/>
        <v>3.5</v>
      </c>
      <c r="BJ127" t="str">
        <f t="shared" si="245"/>
        <v>Tennis</v>
      </c>
      <c r="BK127" t="str">
        <f t="shared" si="246"/>
        <v>A</v>
      </c>
      <c r="BS127">
        <f t="shared" si="247"/>
        <v>0.31932773109243695</v>
      </c>
      <c r="BT127">
        <f t="shared" si="248"/>
        <v>0.48739495798319327</v>
      </c>
      <c r="BU127">
        <f t="shared" si="249"/>
        <v>-0.60504201680672276</v>
      </c>
      <c r="BW127">
        <f t="shared" si="360"/>
        <v>-0.73853541907317566</v>
      </c>
      <c r="BX127">
        <f t="shared" si="361"/>
        <v>1.0736817150330213</v>
      </c>
      <c r="BY127">
        <f t="shared" si="362"/>
        <v>-1.2951028655577381</v>
      </c>
      <c r="CB127">
        <f t="shared" si="363"/>
        <v>3.272972235037936</v>
      </c>
      <c r="CC127">
        <f t="shared" si="364"/>
        <v>2.9855962037867467</v>
      </c>
      <c r="CD127">
        <f t="shared" si="365"/>
        <v>1.1921993026309068</v>
      </c>
      <c r="CE127">
        <f t="shared" si="366"/>
        <v>2.273585004327078</v>
      </c>
      <c r="CF127">
        <f t="shared" si="257"/>
        <v>1.1921993026309068</v>
      </c>
      <c r="CJ127" t="str">
        <f t="shared" si="258"/>
        <v>Cluster 3</v>
      </c>
      <c r="CK127" t="str">
        <f t="shared" si="367"/>
        <v>Tennis Only</v>
      </c>
      <c r="CL127" t="str">
        <f t="shared" si="260"/>
        <v>Tennis A</v>
      </c>
      <c r="CM127" t="str">
        <f t="shared" si="371"/>
        <v>Diff</v>
      </c>
    </row>
    <row r="128" spans="8:91">
      <c r="H128">
        <v>121</v>
      </c>
      <c r="I128">
        <v>12</v>
      </c>
      <c r="J128">
        <v>15</v>
      </c>
      <c r="K128">
        <v>18</v>
      </c>
      <c r="L128">
        <v>19</v>
      </c>
      <c r="M128">
        <v>20</v>
      </c>
      <c r="N128">
        <v>4</v>
      </c>
      <c r="O128">
        <v>7</v>
      </c>
      <c r="P128">
        <v>10</v>
      </c>
      <c r="Q128">
        <v>13</v>
      </c>
      <c r="R128">
        <v>16</v>
      </c>
      <c r="S128">
        <v>5</v>
      </c>
      <c r="T128">
        <v>8</v>
      </c>
      <c r="U128">
        <v>11</v>
      </c>
      <c r="V128">
        <v>14</v>
      </c>
      <c r="W128">
        <v>17</v>
      </c>
      <c r="X128">
        <v>1</v>
      </c>
      <c r="Y128">
        <v>2</v>
      </c>
      <c r="Z128">
        <v>3</v>
      </c>
      <c r="AA128">
        <v>6</v>
      </c>
      <c r="AB128">
        <v>9</v>
      </c>
      <c r="AD128">
        <f t="shared" ref="AD128:AH128" si="440">SUMIFS($I128:$AB128,$I$2:$AB$2,AD$7)</f>
        <v>22</v>
      </c>
      <c r="AE128">
        <f t="shared" si="440"/>
        <v>32</v>
      </c>
      <c r="AF128">
        <f t="shared" si="440"/>
        <v>42</v>
      </c>
      <c r="AG128">
        <f t="shared" si="440"/>
        <v>52</v>
      </c>
      <c r="AH128">
        <f t="shared" si="440"/>
        <v>62</v>
      </c>
      <c r="AI128">
        <f t="shared" ref="AI128:AJ139" si="441">SUMIFS($I128:$AB128,$I$3:$AB$3,AI$7)</f>
        <v>134</v>
      </c>
      <c r="AJ128">
        <f t="shared" si="441"/>
        <v>76</v>
      </c>
      <c r="AK128">
        <f t="shared" ref="AK128:AL139" si="442">SUMIFS($I128:$AB128,$I$4:$AB$4,AK$7)</f>
        <v>71</v>
      </c>
      <c r="AL128">
        <f t="shared" si="442"/>
        <v>139</v>
      </c>
      <c r="AN128" s="67">
        <f t="shared" ref="AN128:AV128" si="443">((AD128-MIN($AD128:$AL128))/(MAX($AD128:$AL128)-MIN($AD128:$AL128)))</f>
        <v>0</v>
      </c>
      <c r="AO128" s="67">
        <f t="shared" si="443"/>
        <v>8.5470085470085472E-2</v>
      </c>
      <c r="AP128" s="67">
        <f t="shared" si="443"/>
        <v>0.17094017094017094</v>
      </c>
      <c r="AQ128" s="67">
        <f t="shared" si="443"/>
        <v>0.25641025641025639</v>
      </c>
      <c r="AR128" s="67">
        <f t="shared" si="443"/>
        <v>0.34188034188034189</v>
      </c>
      <c r="AS128" s="67">
        <f t="shared" si="443"/>
        <v>0.95726495726495731</v>
      </c>
      <c r="AT128" s="67">
        <f t="shared" si="443"/>
        <v>0.46153846153846156</v>
      </c>
      <c r="AU128" s="67">
        <f t="shared" si="443"/>
        <v>0.41880341880341881</v>
      </c>
      <c r="AV128" s="67">
        <f t="shared" si="443"/>
        <v>1</v>
      </c>
      <c r="AX128">
        <f t="shared" si="238"/>
        <v>0.34188034188034189</v>
      </c>
      <c r="AY128">
        <f t="shared" si="239"/>
        <v>0.49572649572649574</v>
      </c>
      <c r="AZ128">
        <f t="shared" si="240"/>
        <v>0.58119658119658113</v>
      </c>
      <c r="BB128">
        <f t="shared" ref="BB128:BD128" si="444">AX128/SUM($AX128:$AZ128)</f>
        <v>0.24096385542168677</v>
      </c>
      <c r="BC128">
        <f t="shared" si="444"/>
        <v>0.34939759036144585</v>
      </c>
      <c r="BD128">
        <f t="shared" si="444"/>
        <v>0.40963855421686746</v>
      </c>
      <c r="BF128" t="str">
        <f t="shared" si="242"/>
        <v>Sugar</v>
      </c>
      <c r="BG128" t="str">
        <f t="shared" si="243"/>
        <v>B</v>
      </c>
      <c r="BI128">
        <f t="shared" si="244"/>
        <v>3.5</v>
      </c>
      <c r="BJ128" t="str">
        <f t="shared" si="245"/>
        <v>Tennis</v>
      </c>
      <c r="BK128" t="str">
        <f t="shared" si="246"/>
        <v>B</v>
      </c>
      <c r="BS128">
        <f t="shared" si="247"/>
        <v>0.34188034188034189</v>
      </c>
      <c r="BT128">
        <f t="shared" si="248"/>
        <v>0.49572649572649574</v>
      </c>
      <c r="BU128">
        <f t="shared" si="249"/>
        <v>0.58119658119658113</v>
      </c>
      <c r="BW128">
        <f t="shared" si="360"/>
        <v>-0.53986808224257044</v>
      </c>
      <c r="BX128">
        <f t="shared" si="361"/>
        <v>1.0918991587402582</v>
      </c>
      <c r="BY128">
        <f t="shared" si="362"/>
        <v>1.2110841764521332</v>
      </c>
      <c r="CB128">
        <f t="shared" si="363"/>
        <v>2.2399781711727513</v>
      </c>
      <c r="CC128">
        <f t="shared" si="364"/>
        <v>2.7657290292004486</v>
      </c>
      <c r="CD128">
        <f t="shared" si="365"/>
        <v>1.3530860677620034</v>
      </c>
      <c r="CE128">
        <f t="shared" si="366"/>
        <v>3.1937960171425281</v>
      </c>
      <c r="CF128">
        <f t="shared" si="257"/>
        <v>1.3530860677620034</v>
      </c>
      <c r="CJ128" t="str">
        <f t="shared" si="258"/>
        <v>Cluster 3</v>
      </c>
      <c r="CK128" t="str">
        <f t="shared" si="367"/>
        <v>Tennis Only</v>
      </c>
      <c r="CL128" t="str">
        <f t="shared" si="260"/>
        <v>Tennis B</v>
      </c>
      <c r="CM128" t="str">
        <f t="shared" si="371"/>
        <v>Diff</v>
      </c>
    </row>
    <row r="129" spans="8:91">
      <c r="H129">
        <v>122</v>
      </c>
      <c r="I129">
        <v>3</v>
      </c>
      <c r="J129">
        <v>6</v>
      </c>
      <c r="K129">
        <v>9</v>
      </c>
      <c r="L129">
        <v>13</v>
      </c>
      <c r="M129">
        <v>16</v>
      </c>
      <c r="N129">
        <v>11</v>
      </c>
      <c r="O129">
        <v>14</v>
      </c>
      <c r="P129">
        <v>17</v>
      </c>
      <c r="Q129">
        <v>19</v>
      </c>
      <c r="R129">
        <v>20</v>
      </c>
      <c r="S129">
        <v>1</v>
      </c>
      <c r="T129">
        <v>2</v>
      </c>
      <c r="U129">
        <v>4</v>
      </c>
      <c r="V129">
        <v>7</v>
      </c>
      <c r="W129">
        <v>10</v>
      </c>
      <c r="X129">
        <v>5</v>
      </c>
      <c r="Y129">
        <v>8</v>
      </c>
      <c r="Z129">
        <v>12</v>
      </c>
      <c r="AA129">
        <v>15</v>
      </c>
      <c r="AB129">
        <v>18</v>
      </c>
      <c r="AD129">
        <f t="shared" ref="AD129:AH129" si="445">SUMIFS($I129:$AB129,$I$2:$AB$2,AD$7)</f>
        <v>20</v>
      </c>
      <c r="AE129">
        <f t="shared" si="445"/>
        <v>30</v>
      </c>
      <c r="AF129">
        <f t="shared" si="445"/>
        <v>42</v>
      </c>
      <c r="AG129">
        <f t="shared" si="445"/>
        <v>54</v>
      </c>
      <c r="AH129">
        <f t="shared" si="445"/>
        <v>64</v>
      </c>
      <c r="AI129">
        <f t="shared" si="441"/>
        <v>128</v>
      </c>
      <c r="AJ129">
        <f t="shared" si="441"/>
        <v>82</v>
      </c>
      <c r="AK129">
        <f t="shared" si="442"/>
        <v>139</v>
      </c>
      <c r="AL129">
        <f t="shared" si="442"/>
        <v>71</v>
      </c>
      <c r="AN129" s="67">
        <f t="shared" ref="AN129:AV129" si="446">((AD129-MIN($AD129:$AL129))/(MAX($AD129:$AL129)-MIN($AD129:$AL129)))</f>
        <v>0</v>
      </c>
      <c r="AO129" s="67">
        <f t="shared" si="446"/>
        <v>8.4033613445378158E-2</v>
      </c>
      <c r="AP129" s="67">
        <f t="shared" si="446"/>
        <v>0.18487394957983194</v>
      </c>
      <c r="AQ129" s="67">
        <f t="shared" si="446"/>
        <v>0.2857142857142857</v>
      </c>
      <c r="AR129" s="67">
        <f t="shared" si="446"/>
        <v>0.36974789915966388</v>
      </c>
      <c r="AS129" s="67">
        <f t="shared" si="446"/>
        <v>0.90756302521008403</v>
      </c>
      <c r="AT129" s="67">
        <f t="shared" si="446"/>
        <v>0.52100840336134457</v>
      </c>
      <c r="AU129" s="67">
        <f t="shared" si="446"/>
        <v>1</v>
      </c>
      <c r="AV129" s="67">
        <f t="shared" si="446"/>
        <v>0.42857142857142855</v>
      </c>
      <c r="AX129">
        <f t="shared" si="238"/>
        <v>0.36974789915966388</v>
      </c>
      <c r="AY129">
        <f t="shared" si="239"/>
        <v>0.38655462184873945</v>
      </c>
      <c r="AZ129">
        <f t="shared" si="240"/>
        <v>0.5714285714285714</v>
      </c>
      <c r="BB129">
        <f t="shared" ref="BB129:BD129" si="447">AX129/SUM($AX129:$AZ129)</f>
        <v>0.27848101265822789</v>
      </c>
      <c r="BC129">
        <f t="shared" si="447"/>
        <v>0.29113924050632911</v>
      </c>
      <c r="BD129">
        <f t="shared" si="447"/>
        <v>0.43037974683544306</v>
      </c>
      <c r="BF129" t="str">
        <f t="shared" si="242"/>
        <v>Sugar</v>
      </c>
      <c r="BG129" t="str">
        <f t="shared" si="243"/>
        <v>A</v>
      </c>
      <c r="BI129">
        <f t="shared" si="244"/>
        <v>3.5</v>
      </c>
      <c r="BJ129" t="str">
        <f t="shared" si="245"/>
        <v>Tennis</v>
      </c>
      <c r="BK129" t="str">
        <f t="shared" si="246"/>
        <v>A</v>
      </c>
      <c r="BS129">
        <f t="shared" si="247"/>
        <v>0.36974789915966388</v>
      </c>
      <c r="BT129">
        <f t="shared" si="248"/>
        <v>0.38655462184873945</v>
      </c>
      <c r="BU129">
        <f t="shared" si="249"/>
        <v>-0.5714285714285714</v>
      </c>
      <c r="BW129">
        <f t="shared" si="360"/>
        <v>-0.29438105456653607</v>
      </c>
      <c r="BX129">
        <f t="shared" si="361"/>
        <v>0.8531878274040513</v>
      </c>
      <c r="BY129">
        <f t="shared" si="362"/>
        <v>-1.2240871513617693</v>
      </c>
      <c r="CB129">
        <f t="shared" si="363"/>
        <v>3.0874696027743229</v>
      </c>
      <c r="CC129">
        <f t="shared" si="364"/>
        <v>2.5187854591284573</v>
      </c>
      <c r="CD129">
        <f t="shared" si="365"/>
        <v>1.122195709261673</v>
      </c>
      <c r="CE129">
        <f t="shared" si="366"/>
        <v>2.0402307200829508</v>
      </c>
      <c r="CF129">
        <f t="shared" si="257"/>
        <v>1.122195709261673</v>
      </c>
      <c r="CJ129" t="str">
        <f t="shared" si="258"/>
        <v>Cluster 3</v>
      </c>
      <c r="CK129" t="str">
        <f t="shared" si="367"/>
        <v>Tennis Only</v>
      </c>
      <c r="CL129" t="str">
        <f t="shared" si="260"/>
        <v>Tennis A</v>
      </c>
      <c r="CM129" t="str">
        <f t="shared" si="371"/>
        <v>Diff</v>
      </c>
    </row>
    <row r="130" spans="8:91">
      <c r="H130">
        <v>123</v>
      </c>
      <c r="I130">
        <v>3</v>
      </c>
      <c r="J130">
        <v>6</v>
      </c>
      <c r="K130">
        <v>9</v>
      </c>
      <c r="L130">
        <v>13</v>
      </c>
      <c r="M130">
        <v>16</v>
      </c>
      <c r="N130">
        <v>11</v>
      </c>
      <c r="O130">
        <v>14</v>
      </c>
      <c r="P130">
        <v>17</v>
      </c>
      <c r="Q130">
        <v>19</v>
      </c>
      <c r="R130">
        <v>20</v>
      </c>
      <c r="S130">
        <v>1</v>
      </c>
      <c r="T130">
        <v>2</v>
      </c>
      <c r="U130">
        <v>4</v>
      </c>
      <c r="V130">
        <v>7</v>
      </c>
      <c r="W130">
        <v>10</v>
      </c>
      <c r="X130">
        <v>5</v>
      </c>
      <c r="Y130">
        <v>8</v>
      </c>
      <c r="Z130">
        <v>12</v>
      </c>
      <c r="AA130">
        <v>15</v>
      </c>
      <c r="AB130">
        <v>18</v>
      </c>
      <c r="AD130">
        <f t="shared" ref="AD130:AH130" si="448">SUMIFS($I130:$AB130,$I$2:$AB$2,AD$7)</f>
        <v>20</v>
      </c>
      <c r="AE130">
        <f t="shared" si="448"/>
        <v>30</v>
      </c>
      <c r="AF130">
        <f t="shared" si="448"/>
        <v>42</v>
      </c>
      <c r="AG130">
        <f t="shared" si="448"/>
        <v>54</v>
      </c>
      <c r="AH130">
        <f t="shared" si="448"/>
        <v>64</v>
      </c>
      <c r="AI130">
        <f t="shared" si="441"/>
        <v>128</v>
      </c>
      <c r="AJ130">
        <f t="shared" si="441"/>
        <v>82</v>
      </c>
      <c r="AK130">
        <f t="shared" si="442"/>
        <v>139</v>
      </c>
      <c r="AL130">
        <f t="shared" si="442"/>
        <v>71</v>
      </c>
      <c r="AN130" s="67">
        <f t="shared" ref="AN130:AV130" si="449">((AD130-MIN($AD130:$AL130))/(MAX($AD130:$AL130)-MIN($AD130:$AL130)))</f>
        <v>0</v>
      </c>
      <c r="AO130" s="67">
        <f t="shared" si="449"/>
        <v>8.4033613445378158E-2</v>
      </c>
      <c r="AP130" s="67">
        <f t="shared" si="449"/>
        <v>0.18487394957983194</v>
      </c>
      <c r="AQ130" s="67">
        <f t="shared" si="449"/>
        <v>0.2857142857142857</v>
      </c>
      <c r="AR130" s="67">
        <f t="shared" si="449"/>
        <v>0.36974789915966388</v>
      </c>
      <c r="AS130" s="67">
        <f t="shared" si="449"/>
        <v>0.90756302521008403</v>
      </c>
      <c r="AT130" s="67">
        <f t="shared" si="449"/>
        <v>0.52100840336134457</v>
      </c>
      <c r="AU130" s="67">
        <f t="shared" si="449"/>
        <v>1</v>
      </c>
      <c r="AV130" s="67">
        <f t="shared" si="449"/>
        <v>0.42857142857142855</v>
      </c>
      <c r="AX130">
        <f t="shared" si="238"/>
        <v>0.36974789915966388</v>
      </c>
      <c r="AY130">
        <f t="shared" si="239"/>
        <v>0.38655462184873945</v>
      </c>
      <c r="AZ130">
        <f t="shared" si="240"/>
        <v>0.5714285714285714</v>
      </c>
      <c r="BB130">
        <f t="shared" ref="BB130:BD130" si="450">AX130/SUM($AX130:$AZ130)</f>
        <v>0.27848101265822789</v>
      </c>
      <c r="BC130">
        <f t="shared" si="450"/>
        <v>0.29113924050632911</v>
      </c>
      <c r="BD130">
        <f t="shared" si="450"/>
        <v>0.43037974683544306</v>
      </c>
      <c r="BF130" t="str">
        <f t="shared" si="242"/>
        <v>Sugar</v>
      </c>
      <c r="BG130" t="str">
        <f t="shared" si="243"/>
        <v>A</v>
      </c>
      <c r="BI130">
        <f t="shared" si="244"/>
        <v>3.5</v>
      </c>
      <c r="BJ130" t="str">
        <f t="shared" si="245"/>
        <v>Tennis</v>
      </c>
      <c r="BK130" t="str">
        <f t="shared" si="246"/>
        <v>A</v>
      </c>
      <c r="BS130">
        <f t="shared" si="247"/>
        <v>0.36974789915966388</v>
      </c>
      <c r="BT130">
        <f t="shared" si="248"/>
        <v>0.38655462184873945</v>
      </c>
      <c r="BU130">
        <f t="shared" si="249"/>
        <v>-0.5714285714285714</v>
      </c>
      <c r="BW130">
        <f t="shared" si="360"/>
        <v>-0.29438105456653607</v>
      </c>
      <c r="BX130">
        <f t="shared" si="361"/>
        <v>0.8531878274040513</v>
      </c>
      <c r="BY130">
        <f t="shared" si="362"/>
        <v>-1.2240871513617693</v>
      </c>
      <c r="CB130">
        <f t="shared" si="363"/>
        <v>3.0874696027743229</v>
      </c>
      <c r="CC130">
        <f t="shared" si="364"/>
        <v>2.5187854591284573</v>
      </c>
      <c r="CD130">
        <f t="shared" si="365"/>
        <v>1.122195709261673</v>
      </c>
      <c r="CE130">
        <f t="shared" si="366"/>
        <v>2.0402307200829508</v>
      </c>
      <c r="CF130">
        <f t="shared" si="257"/>
        <v>1.122195709261673</v>
      </c>
      <c r="CJ130" t="str">
        <f t="shared" si="258"/>
        <v>Cluster 3</v>
      </c>
      <c r="CK130" t="str">
        <f t="shared" si="367"/>
        <v>Tennis Only</v>
      </c>
      <c r="CL130" t="str">
        <f t="shared" si="260"/>
        <v>Tennis A</v>
      </c>
      <c r="CM130" t="str">
        <f t="shared" si="371"/>
        <v>Diff</v>
      </c>
    </row>
    <row r="131" spans="8:91">
      <c r="H131">
        <v>124</v>
      </c>
      <c r="I131">
        <v>4</v>
      </c>
      <c r="J131">
        <v>7</v>
      </c>
      <c r="K131">
        <v>10</v>
      </c>
      <c r="L131">
        <v>13</v>
      </c>
      <c r="M131">
        <v>16</v>
      </c>
      <c r="N131">
        <v>12</v>
      </c>
      <c r="O131">
        <v>15</v>
      </c>
      <c r="P131">
        <v>18</v>
      </c>
      <c r="Q131">
        <v>19</v>
      </c>
      <c r="R131">
        <v>20</v>
      </c>
      <c r="S131">
        <v>1</v>
      </c>
      <c r="T131">
        <v>2</v>
      </c>
      <c r="U131">
        <v>3</v>
      </c>
      <c r="V131">
        <v>6</v>
      </c>
      <c r="W131">
        <v>9</v>
      </c>
      <c r="X131">
        <v>5</v>
      </c>
      <c r="Y131">
        <v>8</v>
      </c>
      <c r="Z131">
        <v>11</v>
      </c>
      <c r="AA131">
        <v>14</v>
      </c>
      <c r="AB131">
        <v>17</v>
      </c>
      <c r="AD131">
        <f t="shared" ref="AD131:AH131" si="451">SUMIFS($I131:$AB131,$I$2:$AB$2,AD$7)</f>
        <v>22</v>
      </c>
      <c r="AE131">
        <f t="shared" si="451"/>
        <v>32</v>
      </c>
      <c r="AF131">
        <f t="shared" si="451"/>
        <v>42</v>
      </c>
      <c r="AG131">
        <f t="shared" si="451"/>
        <v>52</v>
      </c>
      <c r="AH131">
        <f t="shared" si="451"/>
        <v>62</v>
      </c>
      <c r="AI131">
        <f t="shared" si="441"/>
        <v>134</v>
      </c>
      <c r="AJ131">
        <f t="shared" si="441"/>
        <v>76</v>
      </c>
      <c r="AK131">
        <f t="shared" si="442"/>
        <v>139</v>
      </c>
      <c r="AL131">
        <f t="shared" si="442"/>
        <v>71</v>
      </c>
      <c r="AN131" s="67">
        <f t="shared" ref="AN131:AV131" si="452">((AD131-MIN($AD131:$AL131))/(MAX($AD131:$AL131)-MIN($AD131:$AL131)))</f>
        <v>0</v>
      </c>
      <c r="AO131" s="67">
        <f t="shared" si="452"/>
        <v>8.5470085470085472E-2</v>
      </c>
      <c r="AP131" s="67">
        <f t="shared" si="452"/>
        <v>0.17094017094017094</v>
      </c>
      <c r="AQ131" s="67">
        <f t="shared" si="452"/>
        <v>0.25641025641025639</v>
      </c>
      <c r="AR131" s="67">
        <f t="shared" si="452"/>
        <v>0.34188034188034189</v>
      </c>
      <c r="AS131" s="67">
        <f t="shared" si="452"/>
        <v>0.95726495726495731</v>
      </c>
      <c r="AT131" s="67">
        <f t="shared" si="452"/>
        <v>0.46153846153846156</v>
      </c>
      <c r="AU131" s="67">
        <f t="shared" si="452"/>
        <v>1</v>
      </c>
      <c r="AV131" s="67">
        <f t="shared" si="452"/>
        <v>0.41880341880341881</v>
      </c>
      <c r="AX131">
        <f t="shared" si="238"/>
        <v>0.34188034188034189</v>
      </c>
      <c r="AY131">
        <f t="shared" si="239"/>
        <v>0.49572649572649574</v>
      </c>
      <c r="AZ131">
        <f t="shared" si="240"/>
        <v>0.58119658119658113</v>
      </c>
      <c r="BB131">
        <f t="shared" ref="BB131:BD131" si="453">AX131/SUM($AX131:$AZ131)</f>
        <v>0.24096385542168677</v>
      </c>
      <c r="BC131">
        <f t="shared" si="453"/>
        <v>0.34939759036144585</v>
      </c>
      <c r="BD131">
        <f t="shared" si="453"/>
        <v>0.40963855421686746</v>
      </c>
      <c r="BF131" t="str">
        <f t="shared" si="242"/>
        <v>Sugar</v>
      </c>
      <c r="BG131" t="str">
        <f t="shared" si="243"/>
        <v>A</v>
      </c>
      <c r="BI131">
        <f t="shared" si="244"/>
        <v>3.5</v>
      </c>
      <c r="BJ131" t="str">
        <f t="shared" si="245"/>
        <v>Tennis</v>
      </c>
      <c r="BK131" t="str">
        <f t="shared" si="246"/>
        <v>A</v>
      </c>
      <c r="BS131">
        <f t="shared" si="247"/>
        <v>0.34188034188034189</v>
      </c>
      <c r="BT131">
        <f t="shared" si="248"/>
        <v>0.49572649572649574</v>
      </c>
      <c r="BU131">
        <f t="shared" si="249"/>
        <v>-0.58119658119658113</v>
      </c>
      <c r="BW131">
        <f t="shared" si="360"/>
        <v>-0.53986808224257044</v>
      </c>
      <c r="BX131">
        <f t="shared" si="361"/>
        <v>1.0918991587402582</v>
      </c>
      <c r="BY131">
        <f t="shared" si="362"/>
        <v>-1.2447241965127345</v>
      </c>
      <c r="CB131">
        <f t="shared" si="363"/>
        <v>3.2470881288908813</v>
      </c>
      <c r="CC131">
        <f t="shared" si="364"/>
        <v>2.801274028847677</v>
      </c>
      <c r="CD131">
        <f t="shared" si="365"/>
        <v>1.1095884920332657</v>
      </c>
      <c r="CE131">
        <f t="shared" si="366"/>
        <v>2.2724600213905877</v>
      </c>
      <c r="CF131">
        <f t="shared" si="257"/>
        <v>1.1095884920332657</v>
      </c>
      <c r="CJ131" t="str">
        <f t="shared" si="258"/>
        <v>Cluster 3</v>
      </c>
      <c r="CK131" t="str">
        <f t="shared" si="367"/>
        <v>Tennis Only</v>
      </c>
      <c r="CL131" t="str">
        <f t="shared" si="260"/>
        <v>Tennis A</v>
      </c>
      <c r="CM131" t="str">
        <f t="shared" si="371"/>
        <v>Diff</v>
      </c>
    </row>
    <row r="132" spans="8:91">
      <c r="H132">
        <v>125</v>
      </c>
      <c r="I132">
        <v>7</v>
      </c>
      <c r="J132">
        <v>10</v>
      </c>
      <c r="K132">
        <v>13</v>
      </c>
      <c r="L132">
        <v>16</v>
      </c>
      <c r="M132">
        <v>18</v>
      </c>
      <c r="N132">
        <v>1</v>
      </c>
      <c r="O132">
        <v>2</v>
      </c>
      <c r="P132">
        <v>4</v>
      </c>
      <c r="Q132">
        <v>6</v>
      </c>
      <c r="R132">
        <v>9</v>
      </c>
      <c r="S132">
        <v>12</v>
      </c>
      <c r="T132">
        <v>15</v>
      </c>
      <c r="U132">
        <v>17</v>
      </c>
      <c r="V132">
        <v>19</v>
      </c>
      <c r="W132">
        <v>20</v>
      </c>
      <c r="X132">
        <v>3</v>
      </c>
      <c r="Y132">
        <v>5</v>
      </c>
      <c r="Z132">
        <v>8</v>
      </c>
      <c r="AA132">
        <v>11</v>
      </c>
      <c r="AB132">
        <v>14</v>
      </c>
      <c r="AD132">
        <f t="shared" ref="AD132:AH132" si="454">SUMIFS($I132:$AB132,$I$2:$AB$2,AD$7)</f>
        <v>23</v>
      </c>
      <c r="AE132">
        <f t="shared" si="454"/>
        <v>32</v>
      </c>
      <c r="AF132">
        <f t="shared" si="454"/>
        <v>42</v>
      </c>
      <c r="AG132">
        <f t="shared" si="454"/>
        <v>52</v>
      </c>
      <c r="AH132">
        <f t="shared" si="454"/>
        <v>61</v>
      </c>
      <c r="AI132">
        <f t="shared" si="441"/>
        <v>86</v>
      </c>
      <c r="AJ132">
        <f t="shared" si="441"/>
        <v>124</v>
      </c>
      <c r="AK132">
        <f t="shared" si="442"/>
        <v>63</v>
      </c>
      <c r="AL132">
        <f t="shared" si="442"/>
        <v>147</v>
      </c>
      <c r="AN132" s="67">
        <f t="shared" ref="AN132:AV132" si="455">((AD132-MIN($AD132:$AL132))/(MAX($AD132:$AL132)-MIN($AD132:$AL132)))</f>
        <v>0</v>
      </c>
      <c r="AO132" s="67">
        <f t="shared" si="455"/>
        <v>7.2580645161290328E-2</v>
      </c>
      <c r="AP132" s="67">
        <f t="shared" si="455"/>
        <v>0.15322580645161291</v>
      </c>
      <c r="AQ132" s="67">
        <f t="shared" si="455"/>
        <v>0.23387096774193547</v>
      </c>
      <c r="AR132" s="67">
        <f t="shared" si="455"/>
        <v>0.30645161290322581</v>
      </c>
      <c r="AS132" s="67">
        <f t="shared" si="455"/>
        <v>0.50806451612903225</v>
      </c>
      <c r="AT132" s="67">
        <f t="shared" si="455"/>
        <v>0.81451612903225812</v>
      </c>
      <c r="AU132" s="67">
        <f t="shared" si="455"/>
        <v>0.32258064516129031</v>
      </c>
      <c r="AV132" s="67">
        <f t="shared" si="455"/>
        <v>1</v>
      </c>
      <c r="AX132">
        <f t="shared" si="238"/>
        <v>0.30645161290322581</v>
      </c>
      <c r="AY132">
        <f t="shared" si="239"/>
        <v>0.30645161290322587</v>
      </c>
      <c r="AZ132">
        <f t="shared" si="240"/>
        <v>0.67741935483870974</v>
      </c>
      <c r="BB132">
        <f t="shared" ref="BB132:BD132" si="456">AX132/SUM($AX132:$AZ132)</f>
        <v>0.23749999999999996</v>
      </c>
      <c r="BC132">
        <f t="shared" si="456"/>
        <v>0.23750000000000002</v>
      </c>
      <c r="BD132">
        <f t="shared" si="456"/>
        <v>0.52500000000000002</v>
      </c>
      <c r="BF132" t="str">
        <f t="shared" si="242"/>
        <v>Sugar</v>
      </c>
      <c r="BG132" t="str">
        <f t="shared" si="243"/>
        <v>B</v>
      </c>
      <c r="BI132">
        <f t="shared" si="244"/>
        <v>3.5</v>
      </c>
      <c r="BJ132" t="str">
        <f t="shared" si="245"/>
        <v>Super Bowl</v>
      </c>
      <c r="BK132" t="str">
        <f t="shared" si="246"/>
        <v>B</v>
      </c>
      <c r="BS132">
        <f t="shared" si="247"/>
        <v>0.30645161290322581</v>
      </c>
      <c r="BT132">
        <f t="shared" si="248"/>
        <v>-0.30645161290322587</v>
      </c>
      <c r="BU132">
        <f t="shared" si="249"/>
        <v>0.67741935483870974</v>
      </c>
      <c r="BW132">
        <f t="shared" si="360"/>
        <v>-0.85196193689073108</v>
      </c>
      <c r="BX132">
        <f t="shared" si="361"/>
        <v>-0.66211492454073817</v>
      </c>
      <c r="BY132">
        <f t="shared" si="362"/>
        <v>1.4143757139674891</v>
      </c>
      <c r="CB132">
        <f t="shared" si="363"/>
        <v>0.61916609035916981</v>
      </c>
      <c r="CC132">
        <f t="shared" si="364"/>
        <v>3.1168922557892866</v>
      </c>
      <c r="CD132">
        <f t="shared" si="365"/>
        <v>2.3789308865990675</v>
      </c>
      <c r="CE132">
        <f t="shared" si="366"/>
        <v>2.5364605208066968</v>
      </c>
      <c r="CF132">
        <f t="shared" si="257"/>
        <v>0.61916609035916981</v>
      </c>
      <c r="CJ132" t="str">
        <f t="shared" si="258"/>
        <v>Cluster 1</v>
      </c>
      <c r="CK132" t="str">
        <f t="shared" si="367"/>
        <v>B Super Bowl</v>
      </c>
      <c r="CL132" t="str">
        <f t="shared" si="260"/>
        <v>Super Bowl B</v>
      </c>
      <c r="CM132" t="str">
        <f t="shared" si="371"/>
        <v>Diff</v>
      </c>
    </row>
    <row r="133" spans="8:91">
      <c r="H133">
        <v>126</v>
      </c>
      <c r="I133">
        <v>13</v>
      </c>
      <c r="J133">
        <v>16</v>
      </c>
      <c r="K133">
        <v>18</v>
      </c>
      <c r="L133">
        <v>19</v>
      </c>
      <c r="M133">
        <v>20</v>
      </c>
      <c r="N133">
        <v>4</v>
      </c>
      <c r="O133">
        <v>7</v>
      </c>
      <c r="P133">
        <v>10</v>
      </c>
      <c r="Q133">
        <v>12</v>
      </c>
      <c r="R133">
        <v>15</v>
      </c>
      <c r="S133">
        <v>6</v>
      </c>
      <c r="T133">
        <v>9</v>
      </c>
      <c r="U133">
        <v>11</v>
      </c>
      <c r="V133">
        <v>14</v>
      </c>
      <c r="W133">
        <v>17</v>
      </c>
      <c r="X133">
        <v>1</v>
      </c>
      <c r="Y133">
        <v>2</v>
      </c>
      <c r="Z133">
        <v>3</v>
      </c>
      <c r="AA133">
        <v>5</v>
      </c>
      <c r="AB133">
        <v>8</v>
      </c>
      <c r="AD133">
        <f t="shared" ref="AD133:AH133" si="457">SUMIFS($I133:$AB133,$I$2:$AB$2,AD$7)</f>
        <v>24</v>
      </c>
      <c r="AE133">
        <f t="shared" si="457"/>
        <v>34</v>
      </c>
      <c r="AF133">
        <f t="shared" si="457"/>
        <v>42</v>
      </c>
      <c r="AG133">
        <f t="shared" si="457"/>
        <v>50</v>
      </c>
      <c r="AH133">
        <f t="shared" si="457"/>
        <v>60</v>
      </c>
      <c r="AI133">
        <f t="shared" si="441"/>
        <v>134</v>
      </c>
      <c r="AJ133">
        <f t="shared" si="441"/>
        <v>76</v>
      </c>
      <c r="AK133">
        <f t="shared" si="442"/>
        <v>67</v>
      </c>
      <c r="AL133">
        <f t="shared" si="442"/>
        <v>143</v>
      </c>
      <c r="AN133" s="67">
        <f t="shared" ref="AN133:AV133" si="458">((AD133-MIN($AD133:$AL133))/(MAX($AD133:$AL133)-MIN($AD133:$AL133)))</f>
        <v>0</v>
      </c>
      <c r="AO133" s="67">
        <f t="shared" si="458"/>
        <v>8.4033613445378158E-2</v>
      </c>
      <c r="AP133" s="67">
        <f t="shared" si="458"/>
        <v>0.15126050420168066</v>
      </c>
      <c r="AQ133" s="67">
        <f t="shared" si="458"/>
        <v>0.21848739495798319</v>
      </c>
      <c r="AR133" s="67">
        <f t="shared" si="458"/>
        <v>0.30252100840336132</v>
      </c>
      <c r="AS133" s="67">
        <f t="shared" si="458"/>
        <v>0.92436974789915971</v>
      </c>
      <c r="AT133" s="67">
        <f t="shared" si="458"/>
        <v>0.43697478991596639</v>
      </c>
      <c r="AU133" s="67">
        <f t="shared" si="458"/>
        <v>0.36134453781512604</v>
      </c>
      <c r="AV133" s="67">
        <f t="shared" si="458"/>
        <v>1</v>
      </c>
      <c r="AX133">
        <f t="shared" si="238"/>
        <v>0.30252100840336132</v>
      </c>
      <c r="AY133">
        <f t="shared" si="239"/>
        <v>0.48739495798319332</v>
      </c>
      <c r="AZ133">
        <f t="shared" si="240"/>
        <v>0.6386554621848739</v>
      </c>
      <c r="BB133">
        <f t="shared" ref="BB133:BD133" si="459">AX133/SUM($AX133:$AZ133)</f>
        <v>0.21176470588235291</v>
      </c>
      <c r="BC133">
        <f t="shared" si="459"/>
        <v>0.3411764705882353</v>
      </c>
      <c r="BD133">
        <f t="shared" si="459"/>
        <v>0.44705882352941173</v>
      </c>
      <c r="BF133" t="str">
        <f t="shared" si="242"/>
        <v>Sugar</v>
      </c>
      <c r="BG133" t="str">
        <f t="shared" si="243"/>
        <v>B</v>
      </c>
      <c r="BI133">
        <f t="shared" si="244"/>
        <v>3.5</v>
      </c>
      <c r="BJ133" t="str">
        <f t="shared" si="245"/>
        <v>Tennis</v>
      </c>
      <c r="BK133" t="str">
        <f t="shared" si="246"/>
        <v>B</v>
      </c>
      <c r="BS133">
        <f t="shared" si="247"/>
        <v>0.30252100840336132</v>
      </c>
      <c r="BT133">
        <f t="shared" si="248"/>
        <v>0.48739495798319332</v>
      </c>
      <c r="BU133">
        <f t="shared" si="249"/>
        <v>0.6386554621848739</v>
      </c>
      <c r="BW133">
        <f t="shared" si="360"/>
        <v>-0.88658687390872204</v>
      </c>
      <c r="BX133">
        <f t="shared" si="361"/>
        <v>1.0736817150330213</v>
      </c>
      <c r="BY133">
        <f t="shared" si="362"/>
        <v>1.3324785596931055</v>
      </c>
      <c r="CB133">
        <f t="shared" si="363"/>
        <v>2.2461852548186831</v>
      </c>
      <c r="CC133">
        <f t="shared" si="364"/>
        <v>3.1082873992764504</v>
      </c>
      <c r="CD133">
        <f t="shared" si="365"/>
        <v>1.5353660446470228</v>
      </c>
      <c r="CE133">
        <f t="shared" si="366"/>
        <v>3.292953366201651</v>
      </c>
      <c r="CF133">
        <f t="shared" si="257"/>
        <v>1.5353660446470228</v>
      </c>
      <c r="CJ133" t="str">
        <f t="shared" si="258"/>
        <v>Cluster 3</v>
      </c>
      <c r="CK133" t="str">
        <f t="shared" si="367"/>
        <v>Tennis Only</v>
      </c>
      <c r="CL133" t="str">
        <f t="shared" si="260"/>
        <v>Tennis B</v>
      </c>
      <c r="CM133" t="str">
        <f t="shared" si="371"/>
        <v>Diff</v>
      </c>
    </row>
    <row r="134" spans="8:91">
      <c r="H134">
        <v>127</v>
      </c>
      <c r="I134">
        <v>1</v>
      </c>
      <c r="J134">
        <v>2</v>
      </c>
      <c r="K134">
        <v>3</v>
      </c>
      <c r="L134">
        <v>5</v>
      </c>
      <c r="M134">
        <v>8</v>
      </c>
      <c r="N134">
        <v>4</v>
      </c>
      <c r="O134">
        <v>7</v>
      </c>
      <c r="P134">
        <v>10</v>
      </c>
      <c r="Q134">
        <v>12</v>
      </c>
      <c r="R134">
        <v>15</v>
      </c>
      <c r="S134">
        <v>6</v>
      </c>
      <c r="T134">
        <v>9</v>
      </c>
      <c r="U134">
        <v>11</v>
      </c>
      <c r="V134">
        <v>14</v>
      </c>
      <c r="W134">
        <v>17</v>
      </c>
      <c r="X134">
        <v>13</v>
      </c>
      <c r="Y134">
        <v>16</v>
      </c>
      <c r="Z134">
        <v>18</v>
      </c>
      <c r="AA134">
        <v>19</v>
      </c>
      <c r="AB134">
        <v>20</v>
      </c>
      <c r="AD134">
        <f t="shared" ref="AD134:AH134" si="460">SUMIFS($I134:$AB134,$I$2:$AB$2,AD$7)</f>
        <v>24</v>
      </c>
      <c r="AE134">
        <f t="shared" si="460"/>
        <v>34</v>
      </c>
      <c r="AF134">
        <f t="shared" si="460"/>
        <v>42</v>
      </c>
      <c r="AG134">
        <f t="shared" si="460"/>
        <v>50</v>
      </c>
      <c r="AH134">
        <f t="shared" si="460"/>
        <v>60</v>
      </c>
      <c r="AI134">
        <f t="shared" si="441"/>
        <v>67</v>
      </c>
      <c r="AJ134">
        <f t="shared" si="441"/>
        <v>143</v>
      </c>
      <c r="AK134">
        <f t="shared" si="442"/>
        <v>134</v>
      </c>
      <c r="AL134">
        <f t="shared" si="442"/>
        <v>76</v>
      </c>
      <c r="AN134" s="67">
        <f t="shared" ref="AN134:AV134" si="461">((AD134-MIN($AD134:$AL134))/(MAX($AD134:$AL134)-MIN($AD134:$AL134)))</f>
        <v>0</v>
      </c>
      <c r="AO134" s="67">
        <f t="shared" si="461"/>
        <v>8.4033613445378158E-2</v>
      </c>
      <c r="AP134" s="67">
        <f t="shared" si="461"/>
        <v>0.15126050420168066</v>
      </c>
      <c r="AQ134" s="67">
        <f t="shared" si="461"/>
        <v>0.21848739495798319</v>
      </c>
      <c r="AR134" s="67">
        <f t="shared" si="461"/>
        <v>0.30252100840336132</v>
      </c>
      <c r="AS134" s="67">
        <f t="shared" si="461"/>
        <v>0.36134453781512604</v>
      </c>
      <c r="AT134" s="67">
        <f t="shared" si="461"/>
        <v>1</v>
      </c>
      <c r="AU134" s="67">
        <f t="shared" si="461"/>
        <v>0.92436974789915971</v>
      </c>
      <c r="AV134" s="67">
        <f t="shared" si="461"/>
        <v>0.43697478991596639</v>
      </c>
      <c r="AX134">
        <f t="shared" si="238"/>
        <v>0.30252100840336132</v>
      </c>
      <c r="AY134">
        <f t="shared" si="239"/>
        <v>0.6386554621848739</v>
      </c>
      <c r="AZ134">
        <f t="shared" si="240"/>
        <v>0.48739495798319332</v>
      </c>
      <c r="BB134">
        <f t="shared" ref="BB134:BD134" si="462">AX134/SUM($AX134:$AZ134)</f>
        <v>0.21176470588235291</v>
      </c>
      <c r="BC134">
        <f t="shared" si="462"/>
        <v>0.44705882352941173</v>
      </c>
      <c r="BD134">
        <f t="shared" si="462"/>
        <v>0.3411764705882353</v>
      </c>
      <c r="BF134" t="str">
        <f t="shared" si="242"/>
        <v xml:space="preserve">Brand </v>
      </c>
      <c r="BG134" t="str">
        <f t="shared" si="243"/>
        <v>Super Bowl</v>
      </c>
      <c r="BI134">
        <f t="shared" si="244"/>
        <v>3.5</v>
      </c>
      <c r="BJ134" t="str">
        <f t="shared" si="245"/>
        <v>Super Bowl</v>
      </c>
      <c r="BK134" t="str">
        <f t="shared" si="246"/>
        <v>A</v>
      </c>
      <c r="BS134">
        <f t="shared" si="247"/>
        <v>0.30252100840336132</v>
      </c>
      <c r="BT134">
        <f t="shared" si="248"/>
        <v>-0.6386554621848739</v>
      </c>
      <c r="BU134">
        <f t="shared" si="249"/>
        <v>-0.48739495798319332</v>
      </c>
      <c r="BW134">
        <f t="shared" si="360"/>
        <v>-0.88658687390872204</v>
      </c>
      <c r="BX134">
        <f t="shared" si="361"/>
        <v>-1.3885000301571429</v>
      </c>
      <c r="BY134">
        <f t="shared" si="362"/>
        <v>-1.0465478658718474</v>
      </c>
      <c r="CB134">
        <f t="shared" si="363"/>
        <v>2.1857542507984165</v>
      </c>
      <c r="CC134">
        <f t="shared" si="364"/>
        <v>3.3023687071303409</v>
      </c>
      <c r="CD134">
        <f t="shared" si="365"/>
        <v>2.6792495411760742</v>
      </c>
      <c r="CE134">
        <f t="shared" si="366"/>
        <v>0.46354835573555969</v>
      </c>
      <c r="CF134">
        <f t="shared" si="257"/>
        <v>0.46354835573555969</v>
      </c>
      <c r="CJ134" t="str">
        <f t="shared" si="258"/>
        <v>Cluster 4</v>
      </c>
      <c r="CK134" t="str">
        <f t="shared" si="367"/>
        <v>A Super Bowl</v>
      </c>
      <c r="CL134" t="str">
        <f t="shared" si="260"/>
        <v>Super Bowl A</v>
      </c>
      <c r="CM134" t="str">
        <f t="shared" si="371"/>
        <v>Diff</v>
      </c>
    </row>
    <row r="135" spans="8:91">
      <c r="H135">
        <v>128</v>
      </c>
      <c r="I135">
        <v>11</v>
      </c>
      <c r="J135">
        <v>14</v>
      </c>
      <c r="K135">
        <v>17</v>
      </c>
      <c r="L135">
        <v>19</v>
      </c>
      <c r="M135">
        <v>20</v>
      </c>
      <c r="N135">
        <v>6</v>
      </c>
      <c r="O135">
        <v>9</v>
      </c>
      <c r="P135">
        <v>13</v>
      </c>
      <c r="Q135">
        <v>16</v>
      </c>
      <c r="R135">
        <v>18</v>
      </c>
      <c r="S135">
        <v>3</v>
      </c>
      <c r="T135">
        <v>5</v>
      </c>
      <c r="U135">
        <v>8</v>
      </c>
      <c r="V135">
        <v>12</v>
      </c>
      <c r="W135">
        <v>15</v>
      </c>
      <c r="X135">
        <v>1</v>
      </c>
      <c r="Y135">
        <v>2</v>
      </c>
      <c r="Z135">
        <v>4</v>
      </c>
      <c r="AA135">
        <v>7</v>
      </c>
      <c r="AB135">
        <v>10</v>
      </c>
      <c r="AD135">
        <f t="shared" ref="AD135:AH135" si="463">SUMIFS($I135:$AB135,$I$2:$AB$2,AD$7)</f>
        <v>21</v>
      </c>
      <c r="AE135">
        <f t="shared" si="463"/>
        <v>30</v>
      </c>
      <c r="AF135">
        <f t="shared" si="463"/>
        <v>42</v>
      </c>
      <c r="AG135">
        <f t="shared" si="463"/>
        <v>54</v>
      </c>
      <c r="AH135">
        <f t="shared" si="463"/>
        <v>63</v>
      </c>
      <c r="AI135">
        <f t="shared" si="441"/>
        <v>143</v>
      </c>
      <c r="AJ135">
        <f t="shared" si="441"/>
        <v>67</v>
      </c>
      <c r="AK135">
        <f t="shared" si="442"/>
        <v>86</v>
      </c>
      <c r="AL135">
        <f t="shared" si="442"/>
        <v>124</v>
      </c>
      <c r="AN135" s="67">
        <f t="shared" ref="AN135:AV135" si="464">((AD135-MIN($AD135:$AL135))/(MAX($AD135:$AL135)-MIN($AD135:$AL135)))</f>
        <v>0</v>
      </c>
      <c r="AO135" s="67">
        <f t="shared" si="464"/>
        <v>7.3770491803278687E-2</v>
      </c>
      <c r="AP135" s="67">
        <f t="shared" si="464"/>
        <v>0.1721311475409836</v>
      </c>
      <c r="AQ135" s="67">
        <f t="shared" si="464"/>
        <v>0.27049180327868855</v>
      </c>
      <c r="AR135" s="67">
        <f t="shared" si="464"/>
        <v>0.34426229508196721</v>
      </c>
      <c r="AS135" s="67">
        <f t="shared" si="464"/>
        <v>1</v>
      </c>
      <c r="AT135" s="67">
        <f t="shared" si="464"/>
        <v>0.37704918032786883</v>
      </c>
      <c r="AU135" s="67">
        <f t="shared" si="464"/>
        <v>0.53278688524590168</v>
      </c>
      <c r="AV135" s="67">
        <f t="shared" si="464"/>
        <v>0.84426229508196726</v>
      </c>
      <c r="AX135">
        <f t="shared" si="238"/>
        <v>0.34426229508196721</v>
      </c>
      <c r="AY135">
        <f t="shared" si="239"/>
        <v>0.62295081967213117</v>
      </c>
      <c r="AZ135">
        <f t="shared" si="240"/>
        <v>0.31147540983606559</v>
      </c>
      <c r="BB135">
        <f t="shared" ref="BB135:BD135" si="465">AX135/SUM($AX135:$AZ135)</f>
        <v>0.26923076923076922</v>
      </c>
      <c r="BC135">
        <f t="shared" si="465"/>
        <v>0.48717948717948717</v>
      </c>
      <c r="BD135">
        <f t="shared" si="465"/>
        <v>0.24358974358974358</v>
      </c>
      <c r="BF135" t="str">
        <f t="shared" si="242"/>
        <v xml:space="preserve">Brand </v>
      </c>
      <c r="BG135" t="str">
        <f t="shared" si="243"/>
        <v>Tennis</v>
      </c>
      <c r="BI135">
        <f t="shared" si="244"/>
        <v>3.5</v>
      </c>
      <c r="BJ135" t="str">
        <f t="shared" si="245"/>
        <v>Tennis</v>
      </c>
      <c r="BK135" t="str">
        <f t="shared" si="246"/>
        <v>B</v>
      </c>
      <c r="BS135">
        <f t="shared" si="247"/>
        <v>0.34426229508196721</v>
      </c>
      <c r="BT135">
        <f t="shared" si="248"/>
        <v>0.62295081967213117</v>
      </c>
      <c r="BU135">
        <f t="shared" si="249"/>
        <v>0.31147540983606559</v>
      </c>
      <c r="BW135">
        <f t="shared" si="360"/>
        <v>-0.51888530984994685</v>
      </c>
      <c r="BX135">
        <f t="shared" si="361"/>
        <v>1.370083334468686</v>
      </c>
      <c r="BY135">
        <f t="shared" si="362"/>
        <v>0.64123953831840996</v>
      </c>
      <c r="CB135">
        <f t="shared" si="363"/>
        <v>2.5593440627104487</v>
      </c>
      <c r="CC135">
        <f t="shared" si="364"/>
        <v>2.6627950393307045</v>
      </c>
      <c r="CD135">
        <f t="shared" si="365"/>
        <v>0.83056319148574798</v>
      </c>
      <c r="CE135">
        <f t="shared" si="366"/>
        <v>3.048120237226545</v>
      </c>
      <c r="CF135">
        <f t="shared" si="257"/>
        <v>0.83056319148574798</v>
      </c>
      <c r="CJ135" t="str">
        <f t="shared" si="258"/>
        <v>Cluster 3</v>
      </c>
      <c r="CK135" t="str">
        <f t="shared" si="367"/>
        <v>Tennis Only</v>
      </c>
      <c r="CL135" t="str">
        <f t="shared" si="260"/>
        <v>Tennis B</v>
      </c>
      <c r="CM135" t="str">
        <f t="shared" si="371"/>
        <v>Diff</v>
      </c>
    </row>
    <row r="136" spans="8:91">
      <c r="H136">
        <v>129</v>
      </c>
      <c r="I136">
        <v>4</v>
      </c>
      <c r="J136">
        <v>6</v>
      </c>
      <c r="K136">
        <v>9</v>
      </c>
      <c r="L136">
        <v>11</v>
      </c>
      <c r="M136">
        <v>14</v>
      </c>
      <c r="N136">
        <v>13</v>
      </c>
      <c r="O136">
        <v>16</v>
      </c>
      <c r="P136">
        <v>18</v>
      </c>
      <c r="Q136">
        <v>19</v>
      </c>
      <c r="R136">
        <v>20</v>
      </c>
      <c r="S136">
        <v>1</v>
      </c>
      <c r="T136">
        <v>2</v>
      </c>
      <c r="U136">
        <v>3</v>
      </c>
      <c r="V136">
        <v>5</v>
      </c>
      <c r="W136">
        <v>8</v>
      </c>
      <c r="X136">
        <v>7</v>
      </c>
      <c r="Y136">
        <v>10</v>
      </c>
      <c r="Z136">
        <v>12</v>
      </c>
      <c r="AA136">
        <v>15</v>
      </c>
      <c r="AB136">
        <v>17</v>
      </c>
      <c r="AD136">
        <f t="shared" ref="AD136:AH136" si="466">SUMIFS($I136:$AB136,$I$2:$AB$2,AD$7)</f>
        <v>25</v>
      </c>
      <c r="AE136">
        <f t="shared" si="466"/>
        <v>34</v>
      </c>
      <c r="AF136">
        <f t="shared" si="466"/>
        <v>42</v>
      </c>
      <c r="AG136">
        <f t="shared" si="466"/>
        <v>50</v>
      </c>
      <c r="AH136">
        <f t="shared" si="466"/>
        <v>59</v>
      </c>
      <c r="AI136">
        <f t="shared" si="441"/>
        <v>130</v>
      </c>
      <c r="AJ136">
        <f t="shared" si="441"/>
        <v>80</v>
      </c>
      <c r="AK136">
        <f t="shared" si="442"/>
        <v>147</v>
      </c>
      <c r="AL136">
        <f t="shared" si="442"/>
        <v>63</v>
      </c>
      <c r="AN136" s="67">
        <f t="shared" ref="AN136:AV136" si="467">((AD136-MIN($AD136:$AL136))/(MAX($AD136:$AL136)-MIN($AD136:$AL136)))</f>
        <v>0</v>
      </c>
      <c r="AO136" s="67">
        <f t="shared" si="467"/>
        <v>7.3770491803278687E-2</v>
      </c>
      <c r="AP136" s="67">
        <f t="shared" si="467"/>
        <v>0.13934426229508196</v>
      </c>
      <c r="AQ136" s="67">
        <f t="shared" si="467"/>
        <v>0.20491803278688525</v>
      </c>
      <c r="AR136" s="67">
        <f t="shared" si="467"/>
        <v>0.27868852459016391</v>
      </c>
      <c r="AS136" s="67">
        <f t="shared" si="467"/>
        <v>0.86065573770491799</v>
      </c>
      <c r="AT136" s="67">
        <f t="shared" si="467"/>
        <v>0.45081967213114754</v>
      </c>
      <c r="AU136" s="67">
        <f t="shared" si="467"/>
        <v>1</v>
      </c>
      <c r="AV136" s="67">
        <f t="shared" si="467"/>
        <v>0.31147540983606559</v>
      </c>
      <c r="AX136">
        <f t="shared" ref="AX136:AX139" si="468">MAX($AN136:$AR136)-MIN($AN136:$AR136)</f>
        <v>0.27868852459016391</v>
      </c>
      <c r="AY136">
        <f t="shared" ref="AY136:AY139" si="469">MAX($AS136:$AT136)-MIN($AS136:$AT136)</f>
        <v>0.40983606557377045</v>
      </c>
      <c r="AZ136">
        <f t="shared" ref="AZ136:AZ139" si="470">MAX($AU136:$AV136)-MIN($AU136:$AV136)</f>
        <v>0.68852459016393441</v>
      </c>
      <c r="BB136">
        <f t="shared" ref="BB136:BD136" si="471">AX136/SUM($AX136:$AZ136)</f>
        <v>0.20238095238095241</v>
      </c>
      <c r="BC136">
        <f t="shared" si="471"/>
        <v>0.29761904761904762</v>
      </c>
      <c r="BD136">
        <f t="shared" si="471"/>
        <v>0.50000000000000011</v>
      </c>
      <c r="BF136" t="str">
        <f t="shared" ref="BF136:BF139" si="472">INDEX($BB$7:$BD$7,,MATCH(MAX(BB136:BD136),BB136:BD136,0))</f>
        <v>Sugar</v>
      </c>
      <c r="BG136" t="str">
        <f t="shared" ref="BG136:BG139" si="473">INDEX(BI136:BK136,,MATCH(BF136,$BI$7:$BK$7,0))</f>
        <v>A</v>
      </c>
      <c r="BI136">
        <f t="shared" ref="BI136:BI139" si="474">INDEX($AN$7:$AR$7,,MATCH(MIN(AN136:AR136),AN136:AR136,0))</f>
        <v>3.5</v>
      </c>
      <c r="BJ136" t="str">
        <f t="shared" ref="BJ136:BJ139" si="475">INDEX($AS$7:$AT$7,,MATCH(MIN(AS136:AT136),AS136:AT136,0))</f>
        <v>Tennis</v>
      </c>
      <c r="BK136" t="str">
        <f t="shared" ref="BK136:BK139" si="476">INDEX($AU$7:$AV$7,,MATCH(MIN(AU136:AV136),AU136:AV136,0))</f>
        <v>A</v>
      </c>
      <c r="BS136">
        <f t="shared" ref="BS136:BS139" si="477">AR136-AN136</f>
        <v>0.27868852459016391</v>
      </c>
      <c r="BT136">
        <f t="shared" ref="BT136:BT139" si="478">AS136-AT136</f>
        <v>0.40983606557377045</v>
      </c>
      <c r="BU136">
        <f t="shared" ref="BU136:BU139" si="479">AV136-AU136</f>
        <v>-0.68852459016393441</v>
      </c>
      <c r="BW136">
        <f t="shared" si="360"/>
        <v>-1.096528691011587</v>
      </c>
      <c r="BX136">
        <f t="shared" si="361"/>
        <v>0.9040942030998107</v>
      </c>
      <c r="BY136">
        <f t="shared" si="362"/>
        <v>-1.4714779590116605</v>
      </c>
      <c r="CB136">
        <f t="shared" si="363"/>
        <v>3.3294877954343494</v>
      </c>
      <c r="CC136">
        <f t="shared" si="364"/>
        <v>3.3301443366368568</v>
      </c>
      <c r="CD136">
        <f t="shared" si="365"/>
        <v>1.4939152838919139</v>
      </c>
      <c r="CE136">
        <f t="shared" si="366"/>
        <v>2.2072940572406221</v>
      </c>
      <c r="CF136">
        <f>MIN(CB136:CE136)</f>
        <v>1.4939152838919139</v>
      </c>
      <c r="CJ136" t="str">
        <f>INDEX($CB$7:$CE$7,,MATCH(MIN(CB136:CE136),CB136:CE136,0))</f>
        <v>Cluster 3</v>
      </c>
      <c r="CK136" t="str">
        <f t="shared" ref="CK136:CK139" si="480">INDEX($CB$2:$CE$2,,MATCH(CJ136,$CB$7:$CE$7,0))</f>
        <v>Tennis Only</v>
      </c>
      <c r="CL136" t="str">
        <f t="shared" ref="CL136:CL139" si="481">IF(BG136=3.5,"Price Only",BJ136&amp;" "&amp;BK136)</f>
        <v>Tennis A</v>
      </c>
      <c r="CM136" t="str">
        <f t="shared" si="371"/>
        <v>Diff</v>
      </c>
    </row>
    <row r="137" spans="8:91">
      <c r="H137">
        <v>130</v>
      </c>
      <c r="I137">
        <v>4</v>
      </c>
      <c r="J137">
        <v>7</v>
      </c>
      <c r="K137">
        <v>10</v>
      </c>
      <c r="L137">
        <v>12</v>
      </c>
      <c r="M137">
        <v>15</v>
      </c>
      <c r="N137">
        <v>13</v>
      </c>
      <c r="O137">
        <v>16</v>
      </c>
      <c r="P137">
        <v>18</v>
      </c>
      <c r="Q137">
        <v>19</v>
      </c>
      <c r="R137">
        <v>20</v>
      </c>
      <c r="S137">
        <v>1</v>
      </c>
      <c r="T137">
        <v>2</v>
      </c>
      <c r="U137">
        <v>3</v>
      </c>
      <c r="V137">
        <v>5</v>
      </c>
      <c r="W137">
        <v>8</v>
      </c>
      <c r="X137">
        <v>6</v>
      </c>
      <c r="Y137">
        <v>9</v>
      </c>
      <c r="Z137">
        <v>11</v>
      </c>
      <c r="AA137">
        <v>14</v>
      </c>
      <c r="AB137">
        <v>17</v>
      </c>
      <c r="AD137">
        <f t="shared" ref="AD137:AH137" si="482">SUMIFS($I137:$AB137,$I$2:$AB$2,AD$7)</f>
        <v>24</v>
      </c>
      <c r="AE137">
        <f t="shared" si="482"/>
        <v>34</v>
      </c>
      <c r="AF137">
        <f t="shared" si="482"/>
        <v>42</v>
      </c>
      <c r="AG137">
        <f t="shared" si="482"/>
        <v>50</v>
      </c>
      <c r="AH137">
        <f t="shared" si="482"/>
        <v>60</v>
      </c>
      <c r="AI137">
        <f t="shared" si="441"/>
        <v>134</v>
      </c>
      <c r="AJ137">
        <f t="shared" si="441"/>
        <v>76</v>
      </c>
      <c r="AK137">
        <f t="shared" si="442"/>
        <v>143</v>
      </c>
      <c r="AL137">
        <f t="shared" si="442"/>
        <v>67</v>
      </c>
      <c r="AN137" s="67">
        <f t="shared" ref="AN137:AV137" si="483">((AD137-MIN($AD137:$AL137))/(MAX($AD137:$AL137)-MIN($AD137:$AL137)))</f>
        <v>0</v>
      </c>
      <c r="AO137" s="67">
        <f t="shared" si="483"/>
        <v>8.4033613445378158E-2</v>
      </c>
      <c r="AP137" s="67">
        <f t="shared" si="483"/>
        <v>0.15126050420168066</v>
      </c>
      <c r="AQ137" s="67">
        <f t="shared" si="483"/>
        <v>0.21848739495798319</v>
      </c>
      <c r="AR137" s="67">
        <f t="shared" si="483"/>
        <v>0.30252100840336132</v>
      </c>
      <c r="AS137" s="67">
        <f t="shared" si="483"/>
        <v>0.92436974789915971</v>
      </c>
      <c r="AT137" s="67">
        <f t="shared" si="483"/>
        <v>0.43697478991596639</v>
      </c>
      <c r="AU137" s="67">
        <f t="shared" si="483"/>
        <v>1</v>
      </c>
      <c r="AV137" s="67">
        <f t="shared" si="483"/>
        <v>0.36134453781512604</v>
      </c>
      <c r="AX137">
        <f t="shared" si="468"/>
        <v>0.30252100840336132</v>
      </c>
      <c r="AY137">
        <f t="shared" si="469"/>
        <v>0.48739495798319332</v>
      </c>
      <c r="AZ137">
        <f t="shared" si="470"/>
        <v>0.6386554621848739</v>
      </c>
      <c r="BB137">
        <f t="shared" ref="BB137:BD137" si="484">AX137/SUM($AX137:$AZ137)</f>
        <v>0.21176470588235291</v>
      </c>
      <c r="BC137">
        <f t="shared" si="484"/>
        <v>0.3411764705882353</v>
      </c>
      <c r="BD137">
        <f t="shared" si="484"/>
        <v>0.44705882352941173</v>
      </c>
      <c r="BF137" t="str">
        <f t="shared" si="472"/>
        <v>Sugar</v>
      </c>
      <c r="BG137" t="str">
        <f t="shared" si="473"/>
        <v>A</v>
      </c>
      <c r="BI137">
        <f t="shared" si="474"/>
        <v>3.5</v>
      </c>
      <c r="BJ137" t="str">
        <f t="shared" si="475"/>
        <v>Tennis</v>
      </c>
      <c r="BK137" t="str">
        <f t="shared" si="476"/>
        <v>A</v>
      </c>
      <c r="BS137">
        <f t="shared" si="477"/>
        <v>0.30252100840336132</v>
      </c>
      <c r="BT137">
        <f t="shared" si="478"/>
        <v>0.48739495798319332</v>
      </c>
      <c r="BU137">
        <f t="shared" si="479"/>
        <v>-0.6386554621848739</v>
      </c>
      <c r="BW137">
        <f t="shared" si="360"/>
        <v>-0.88658687390872204</v>
      </c>
      <c r="BX137">
        <f t="shared" si="361"/>
        <v>1.0736817150330213</v>
      </c>
      <c r="BY137">
        <f t="shared" si="362"/>
        <v>-1.3661185797537068</v>
      </c>
      <c r="CB137">
        <f t="shared" si="363"/>
        <v>3.3343293898311779</v>
      </c>
      <c r="CC137">
        <f t="shared" si="364"/>
        <v>3.1430705713708131</v>
      </c>
      <c r="CD137">
        <f t="shared" si="365"/>
        <v>1.3032305401286828</v>
      </c>
      <c r="CE137">
        <f t="shared" si="366"/>
        <v>2.3042099354432994</v>
      </c>
      <c r="CF137">
        <f>MIN(CB137:CE137)</f>
        <v>1.3032305401286828</v>
      </c>
      <c r="CJ137" t="str">
        <f>INDEX($CB$7:$CE$7,,MATCH(MIN(CB137:CE137),CB137:CE137,0))</f>
        <v>Cluster 3</v>
      </c>
      <c r="CK137" t="str">
        <f t="shared" si="480"/>
        <v>Tennis Only</v>
      </c>
      <c r="CL137" t="str">
        <f t="shared" si="481"/>
        <v>Tennis A</v>
      </c>
      <c r="CM137" t="str">
        <f t="shared" si="371"/>
        <v>Diff</v>
      </c>
    </row>
    <row r="138" spans="8:91">
      <c r="H138">
        <v>131</v>
      </c>
      <c r="I138">
        <v>1</v>
      </c>
      <c r="J138">
        <v>5</v>
      </c>
      <c r="K138">
        <v>9</v>
      </c>
      <c r="L138">
        <v>13</v>
      </c>
      <c r="M138">
        <v>17</v>
      </c>
      <c r="N138">
        <v>3</v>
      </c>
      <c r="O138">
        <v>7</v>
      </c>
      <c r="P138">
        <v>11</v>
      </c>
      <c r="Q138">
        <v>15</v>
      </c>
      <c r="R138">
        <v>19</v>
      </c>
      <c r="S138">
        <v>2</v>
      </c>
      <c r="T138">
        <v>6</v>
      </c>
      <c r="U138">
        <v>10</v>
      </c>
      <c r="V138">
        <v>14</v>
      </c>
      <c r="W138">
        <v>18</v>
      </c>
      <c r="X138">
        <v>4</v>
      </c>
      <c r="Y138">
        <v>8</v>
      </c>
      <c r="Z138">
        <v>12</v>
      </c>
      <c r="AA138">
        <v>16</v>
      </c>
      <c r="AB138">
        <v>20</v>
      </c>
      <c r="AD138">
        <f t="shared" ref="AD138:AH138" si="485">SUMIFS($I138:$AB138,$I$2:$AB$2,AD$7)</f>
        <v>10</v>
      </c>
      <c r="AE138">
        <f t="shared" si="485"/>
        <v>26</v>
      </c>
      <c r="AF138">
        <f t="shared" si="485"/>
        <v>42</v>
      </c>
      <c r="AG138">
        <f t="shared" si="485"/>
        <v>58</v>
      </c>
      <c r="AH138">
        <f t="shared" si="485"/>
        <v>74</v>
      </c>
      <c r="AI138">
        <f t="shared" si="441"/>
        <v>100</v>
      </c>
      <c r="AJ138">
        <f t="shared" si="441"/>
        <v>110</v>
      </c>
      <c r="AK138">
        <f t="shared" si="442"/>
        <v>115</v>
      </c>
      <c r="AL138">
        <f t="shared" si="442"/>
        <v>95</v>
      </c>
      <c r="AN138" s="67">
        <f t="shared" ref="AN138:AV138" si="486">((AD138-MIN($AD138:$AL138))/(MAX($AD138:$AL138)-MIN($AD138:$AL138)))</f>
        <v>0</v>
      </c>
      <c r="AO138" s="67">
        <f t="shared" si="486"/>
        <v>0.15238095238095239</v>
      </c>
      <c r="AP138" s="67">
        <f t="shared" si="486"/>
        <v>0.30476190476190479</v>
      </c>
      <c r="AQ138" s="67">
        <f t="shared" si="486"/>
        <v>0.45714285714285713</v>
      </c>
      <c r="AR138" s="67">
        <f t="shared" si="486"/>
        <v>0.60952380952380958</v>
      </c>
      <c r="AS138" s="67">
        <f t="shared" si="486"/>
        <v>0.8571428571428571</v>
      </c>
      <c r="AT138" s="67">
        <f t="shared" si="486"/>
        <v>0.95238095238095233</v>
      </c>
      <c r="AU138" s="67">
        <f t="shared" si="486"/>
        <v>1</v>
      </c>
      <c r="AV138" s="67">
        <f t="shared" si="486"/>
        <v>0.80952380952380953</v>
      </c>
      <c r="AX138">
        <f t="shared" si="468"/>
        <v>0.60952380952380958</v>
      </c>
      <c r="AY138">
        <f t="shared" si="469"/>
        <v>9.5238095238095233E-2</v>
      </c>
      <c r="AZ138">
        <f t="shared" si="470"/>
        <v>0.19047619047619047</v>
      </c>
      <c r="BB138">
        <f t="shared" ref="BB138:BD138" si="487">AX138/SUM($AX138:$AZ138)</f>
        <v>0.68085106382978722</v>
      </c>
      <c r="BC138">
        <f t="shared" si="487"/>
        <v>0.10638297872340424</v>
      </c>
      <c r="BD138">
        <f t="shared" si="487"/>
        <v>0.21276595744680848</v>
      </c>
      <c r="BF138" t="str">
        <f t="shared" si="472"/>
        <v>Price</v>
      </c>
      <c r="BG138">
        <f t="shared" si="473"/>
        <v>3.5</v>
      </c>
      <c r="BI138">
        <f t="shared" si="474"/>
        <v>3.5</v>
      </c>
      <c r="BJ138" t="str">
        <f t="shared" si="475"/>
        <v>Super Bowl</v>
      </c>
      <c r="BK138" t="str">
        <f t="shared" si="476"/>
        <v>A</v>
      </c>
      <c r="BS138">
        <f t="shared" si="477"/>
        <v>0.60952380952380958</v>
      </c>
      <c r="BT138">
        <f t="shared" si="478"/>
        <v>-9.5238095238095233E-2</v>
      </c>
      <c r="BU138">
        <f t="shared" si="479"/>
        <v>-0.19047619047619047</v>
      </c>
      <c r="BW138">
        <f t="shared" si="360"/>
        <v>1.8178197010872597</v>
      </c>
      <c r="BX138">
        <f t="shared" si="361"/>
        <v>-0.2002829690454716</v>
      </c>
      <c r="BY138">
        <f t="shared" si="362"/>
        <v>-0.41924239047412343</v>
      </c>
      <c r="CB138">
        <f t="shared" si="363"/>
        <v>3.0224477483232417</v>
      </c>
      <c r="CC138">
        <f t="shared" si="364"/>
        <v>0.60442594737100175</v>
      </c>
      <c r="CD138">
        <f t="shared" si="365"/>
        <v>2.6248192102674079</v>
      </c>
      <c r="CE138">
        <f t="shared" si="366"/>
        <v>2.5686392195910996</v>
      </c>
      <c r="CF138">
        <f>MIN(CB138:CE138)</f>
        <v>0.60442594737100175</v>
      </c>
      <c r="CJ138" t="str">
        <f>INDEX($CB$7:$CE$7,,MATCH(MIN(CB138:CE138),CB138:CE138,0))</f>
        <v>Cluster 2</v>
      </c>
      <c r="CK138" t="str">
        <f t="shared" si="480"/>
        <v>Price Only</v>
      </c>
      <c r="CL138" t="str">
        <f t="shared" si="481"/>
        <v>Price Only</v>
      </c>
      <c r="CM138" t="str">
        <f t="shared" si="371"/>
        <v/>
      </c>
    </row>
    <row r="139" spans="8:91">
      <c r="H139">
        <v>132</v>
      </c>
      <c r="I139">
        <v>2</v>
      </c>
      <c r="J139">
        <v>6</v>
      </c>
      <c r="K139">
        <v>10</v>
      </c>
      <c r="L139">
        <v>14</v>
      </c>
      <c r="M139">
        <v>18</v>
      </c>
      <c r="N139">
        <v>1</v>
      </c>
      <c r="O139">
        <v>5</v>
      </c>
      <c r="P139">
        <v>9</v>
      </c>
      <c r="Q139">
        <v>13</v>
      </c>
      <c r="R139">
        <v>17</v>
      </c>
      <c r="S139">
        <v>4</v>
      </c>
      <c r="T139">
        <v>8</v>
      </c>
      <c r="U139">
        <v>12</v>
      </c>
      <c r="V139">
        <v>16</v>
      </c>
      <c r="W139">
        <v>20</v>
      </c>
      <c r="X139">
        <v>3</v>
      </c>
      <c r="Y139">
        <v>7</v>
      </c>
      <c r="Z139">
        <v>11</v>
      </c>
      <c r="AA139">
        <v>15</v>
      </c>
      <c r="AB139">
        <v>19</v>
      </c>
      <c r="AD139">
        <f t="shared" ref="AD139:AH139" si="488">SUMIFS($I139:$AB139,$I$2:$AB$2,AD$7)</f>
        <v>10</v>
      </c>
      <c r="AE139">
        <f t="shared" si="488"/>
        <v>26</v>
      </c>
      <c r="AF139">
        <f t="shared" si="488"/>
        <v>42</v>
      </c>
      <c r="AG139">
        <f t="shared" si="488"/>
        <v>58</v>
      </c>
      <c r="AH139">
        <f t="shared" si="488"/>
        <v>74</v>
      </c>
      <c r="AI139">
        <f t="shared" si="441"/>
        <v>95</v>
      </c>
      <c r="AJ139">
        <f t="shared" si="441"/>
        <v>115</v>
      </c>
      <c r="AK139">
        <f t="shared" si="442"/>
        <v>100</v>
      </c>
      <c r="AL139">
        <f t="shared" si="442"/>
        <v>110</v>
      </c>
      <c r="AN139" s="67">
        <f t="shared" ref="AN139:AV139" si="489">((AD139-MIN($AD139:$AL139))/(MAX($AD139:$AL139)-MIN($AD139:$AL139)))</f>
        <v>0</v>
      </c>
      <c r="AO139" s="67">
        <f t="shared" si="489"/>
        <v>0.15238095238095239</v>
      </c>
      <c r="AP139" s="67">
        <f t="shared" si="489"/>
        <v>0.30476190476190479</v>
      </c>
      <c r="AQ139" s="67">
        <f t="shared" si="489"/>
        <v>0.45714285714285713</v>
      </c>
      <c r="AR139" s="67">
        <f t="shared" si="489"/>
        <v>0.60952380952380958</v>
      </c>
      <c r="AS139" s="67">
        <f t="shared" si="489"/>
        <v>0.80952380952380953</v>
      </c>
      <c r="AT139" s="67">
        <f t="shared" si="489"/>
        <v>1</v>
      </c>
      <c r="AU139" s="67">
        <f t="shared" si="489"/>
        <v>0.8571428571428571</v>
      </c>
      <c r="AV139" s="67">
        <f t="shared" si="489"/>
        <v>0.95238095238095233</v>
      </c>
      <c r="AX139">
        <f t="shared" si="468"/>
        <v>0.60952380952380958</v>
      </c>
      <c r="AY139">
        <f t="shared" si="469"/>
        <v>0.19047619047619047</v>
      </c>
      <c r="AZ139">
        <f t="shared" si="470"/>
        <v>9.5238095238095233E-2</v>
      </c>
      <c r="BB139">
        <f t="shared" ref="BB139:BD139" si="490">AX139/SUM($AX139:$AZ139)</f>
        <v>0.68085106382978722</v>
      </c>
      <c r="BC139">
        <f t="shared" si="490"/>
        <v>0.21276595744680848</v>
      </c>
      <c r="BD139">
        <f t="shared" si="490"/>
        <v>0.10638297872340424</v>
      </c>
      <c r="BF139" t="str">
        <f t="shared" si="472"/>
        <v>Price</v>
      </c>
      <c r="BG139">
        <f t="shared" si="473"/>
        <v>3.5</v>
      </c>
      <c r="BI139">
        <f t="shared" si="474"/>
        <v>3.5</v>
      </c>
      <c r="BJ139" t="str">
        <f t="shared" si="475"/>
        <v>Super Bowl</v>
      </c>
      <c r="BK139" t="str">
        <f t="shared" si="476"/>
        <v>B</v>
      </c>
      <c r="BS139">
        <f t="shared" si="477"/>
        <v>0.60952380952380958</v>
      </c>
      <c r="BT139">
        <f t="shared" si="478"/>
        <v>-0.19047619047619047</v>
      </c>
      <c r="BU139">
        <f t="shared" si="479"/>
        <v>9.5238095238095233E-2</v>
      </c>
      <c r="BW139">
        <f t="shared" si="360"/>
        <v>1.8178197010872597</v>
      </c>
      <c r="BX139">
        <f t="shared" si="361"/>
        <v>-0.40852719625060985</v>
      </c>
      <c r="BY139">
        <f t="shared" si="362"/>
        <v>0.18439118019161094</v>
      </c>
      <c r="CB139">
        <f t="shared" si="363"/>
        <v>2.7028754930500996</v>
      </c>
      <c r="CC139">
        <f t="shared" si="364"/>
        <v>0.64013665743323389</v>
      </c>
      <c r="CD139">
        <f t="shared" si="365"/>
        <v>2.7382504976340289</v>
      </c>
      <c r="CE139">
        <f t="shared" si="366"/>
        <v>2.7117465968961527</v>
      </c>
      <c r="CF139">
        <f>MIN(CB139:CE139)</f>
        <v>0.64013665743323389</v>
      </c>
      <c r="CJ139" t="str">
        <f>INDEX($CB$7:$CE$7,,MATCH(MIN(CB139:CE139),CB139:CE139,0))</f>
        <v>Cluster 2</v>
      </c>
      <c r="CK139" t="str">
        <f t="shared" si="480"/>
        <v>Price Only</v>
      </c>
      <c r="CL139" t="str">
        <f t="shared" si="481"/>
        <v>Price Only</v>
      </c>
      <c r="CM139" t="str">
        <f t="shared" si="371"/>
        <v/>
      </c>
    </row>
  </sheetData>
  <autoFilter ref="B7:AB139" xr:uid="{00000000-0009-0000-0000-000005000000}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U138"/>
  <sheetViews>
    <sheetView topLeftCell="CL1" workbookViewId="0">
      <pane ySplit="6" topLeftCell="A7" activePane="bottomLeft" state="frozen"/>
      <selection pane="bottomLeft" activeCell="M16" sqref="M16"/>
    </sheetView>
  </sheetViews>
  <sheetFormatPr defaultColWidth="9" defaultRowHeight="14.5"/>
  <cols>
    <col min="1" max="1" width="3.6328125" customWidth="1"/>
    <col min="2" max="2" width="11.6328125" customWidth="1"/>
    <col min="3" max="3" width="8.90625" style="5"/>
    <col min="8" max="8" width="11.6328125" customWidth="1"/>
    <col min="9" max="28" width="7.36328125" customWidth="1"/>
    <col min="29" max="29" width="3.6328125" customWidth="1"/>
    <col min="30" max="38" width="7.36328125" style="2" customWidth="1"/>
    <col min="39" max="39" width="3.6328125" customWidth="1"/>
    <col min="40" max="48" width="7.36328125" style="2" customWidth="1"/>
    <col min="49" max="49" width="3.6328125" customWidth="1"/>
    <col min="50" max="52" width="7.36328125" style="2" customWidth="1"/>
    <col min="53" max="53" width="3.6328125" customWidth="1"/>
    <col min="54" max="56" width="7.36328125" style="2" customWidth="1"/>
    <col min="57" max="57" width="3.6328125" customWidth="1"/>
    <col min="58" max="59" width="9" style="2" customWidth="1"/>
    <col min="60" max="62" width="9" style="6" customWidth="1"/>
    <col min="63" max="63" width="9.08984375" customWidth="1"/>
    <col min="64" max="64" width="7.36328125" style="7" customWidth="1"/>
    <col min="65" max="66" width="9.08984375" style="2" customWidth="1"/>
    <col min="67" max="68" width="9.08984375" customWidth="1"/>
    <col min="69" max="71" width="7.36328125" customWidth="1"/>
    <col min="72" max="73" width="9.08984375" customWidth="1"/>
    <col min="74" max="76" width="7.36328125" style="8" customWidth="1"/>
    <col min="78" max="78" width="8.90625" style="2"/>
    <col min="79" max="83" width="7.6328125" style="9" customWidth="1"/>
    <col min="84" max="86" width="8.90625" style="9"/>
    <col min="87" max="87" width="8.90625" style="2"/>
    <col min="88" max="88" width="13.08984375" style="10" customWidth="1"/>
    <col min="89" max="89" width="13.08984375" style="2" customWidth="1"/>
    <col min="90" max="92" width="8.90625" style="2"/>
    <col min="93" max="93" width="13.08984375" style="2" customWidth="1"/>
    <col min="94" max="94" width="8.90625" style="2"/>
    <col min="96" max="96" width="9.08984375" customWidth="1"/>
    <col min="97" max="97" width="12.54296875" hidden="1" customWidth="1"/>
    <col min="98" max="98" width="13.08984375" hidden="1" customWidth="1"/>
    <col min="99" max="99" width="9.08984375" hidden="1" customWidth="1"/>
  </cols>
  <sheetData>
    <row r="1" spans="2:99" s="1" customFormat="1" ht="29">
      <c r="B1" s="11" t="s">
        <v>35</v>
      </c>
      <c r="C1" s="12"/>
      <c r="H1" s="11" t="s">
        <v>36</v>
      </c>
      <c r="AD1" s="21"/>
      <c r="AE1" s="21"/>
      <c r="AF1" s="21"/>
      <c r="AG1" s="21"/>
      <c r="AH1" s="21"/>
      <c r="AI1" s="21"/>
      <c r="AJ1" s="21"/>
      <c r="AK1" s="21"/>
      <c r="AL1" s="21"/>
      <c r="AN1" s="21"/>
      <c r="AO1" s="21"/>
      <c r="AP1" s="21"/>
      <c r="AQ1" s="21"/>
      <c r="AR1" s="21"/>
      <c r="AS1" s="21"/>
      <c r="AT1" s="21"/>
      <c r="AU1" s="21"/>
      <c r="AV1" s="21"/>
      <c r="AX1" s="21"/>
      <c r="AY1" s="21"/>
      <c r="AZ1" s="21"/>
      <c r="BB1" s="21"/>
      <c r="BC1" s="21"/>
      <c r="BD1" s="21"/>
      <c r="BF1" s="21"/>
      <c r="BG1" s="21"/>
      <c r="BH1" s="27"/>
      <c r="BI1" s="27"/>
      <c r="BJ1" s="27"/>
      <c r="BL1" s="21"/>
      <c r="BM1" s="21"/>
      <c r="BN1" s="21"/>
      <c r="BU1" s="36" t="s">
        <v>82</v>
      </c>
      <c r="BV1" s="37">
        <f>MAX(BQ:BQ)</f>
        <v>0.60952380952380958</v>
      </c>
      <c r="BW1" s="37">
        <f>MAX(BR:BR)</f>
        <v>0.62295081967213117</v>
      </c>
      <c r="BX1" s="37">
        <f>MAX(BS:BS)</f>
        <v>0.67741935483870974</v>
      </c>
      <c r="BZ1" s="38" t="s">
        <v>83</v>
      </c>
      <c r="CA1" s="38" t="s">
        <v>87</v>
      </c>
      <c r="CB1" s="38" t="s">
        <v>84</v>
      </c>
      <c r="CC1" s="38" t="s">
        <v>88</v>
      </c>
      <c r="CD1" s="38" t="s">
        <v>85</v>
      </c>
      <c r="CE1" s="38" t="s">
        <v>86</v>
      </c>
      <c r="CF1" s="43"/>
      <c r="CG1" s="43"/>
      <c r="CH1" s="43"/>
      <c r="CI1" s="44"/>
      <c r="CJ1" s="38"/>
      <c r="CK1" s="44"/>
      <c r="CL1" s="44"/>
      <c r="CM1" s="44"/>
      <c r="CN1" s="44"/>
      <c r="CO1" s="44"/>
      <c r="CP1" s="21"/>
    </row>
    <row r="2" spans="2:99" s="2" customFormat="1">
      <c r="B2" s="13"/>
      <c r="C2" s="14"/>
      <c r="H2" s="13"/>
      <c r="BH2" s="6"/>
      <c r="BI2" s="6"/>
      <c r="BJ2" s="6"/>
      <c r="BL2" s="7"/>
      <c r="BR2" s="32" t="s">
        <v>109</v>
      </c>
      <c r="BS2" s="33" t="s">
        <v>110</v>
      </c>
      <c r="BU2" s="39" t="s">
        <v>89</v>
      </c>
      <c r="BV2" s="24">
        <f>MIN(BQ:BQ)</f>
        <v>0.30252100840336132</v>
      </c>
      <c r="BW2" s="24">
        <f>MIN(BR:BR)</f>
        <v>-0.67741935483870974</v>
      </c>
      <c r="BX2" s="24">
        <f>MIN(BS:BS)</f>
        <v>-0.67741935483870974</v>
      </c>
      <c r="BZ2" s="39" t="s">
        <v>37</v>
      </c>
      <c r="CA2" s="24">
        <v>-0.48045486371770002</v>
      </c>
      <c r="CB2" s="24">
        <v>-0.62251576721278501</v>
      </c>
      <c r="CC2" s="24">
        <v>-0.51317459589882997</v>
      </c>
      <c r="CD2" s="24">
        <v>1.79650307002023</v>
      </c>
      <c r="CE2" s="24">
        <v>-0.48442267974831599</v>
      </c>
      <c r="CF2" s="9"/>
      <c r="CG2" s="9"/>
      <c r="CH2" s="9"/>
      <c r="CJ2" s="10"/>
    </row>
    <row r="3" spans="2:99" s="2" customFormat="1">
      <c r="B3" s="13"/>
      <c r="C3" s="14"/>
      <c r="H3" s="15" t="s">
        <v>37</v>
      </c>
      <c r="I3" s="2">
        <f t="shared" ref="I3:AB3" si="0">VLOOKUP(I$6,$B:$E,2,FALSE)</f>
        <v>3.5</v>
      </c>
      <c r="J3" s="2">
        <f t="shared" si="0"/>
        <v>3.75</v>
      </c>
      <c r="K3" s="2">
        <f t="shared" si="0"/>
        <v>4</v>
      </c>
      <c r="L3" s="2">
        <f t="shared" si="0"/>
        <v>4.25</v>
      </c>
      <c r="M3" s="2">
        <f t="shared" si="0"/>
        <v>4.5</v>
      </c>
      <c r="N3" s="2">
        <f t="shared" si="0"/>
        <v>3.5</v>
      </c>
      <c r="O3" s="2">
        <f t="shared" si="0"/>
        <v>3.75</v>
      </c>
      <c r="P3" s="2">
        <f t="shared" si="0"/>
        <v>4</v>
      </c>
      <c r="Q3" s="2">
        <f t="shared" si="0"/>
        <v>4.25</v>
      </c>
      <c r="R3" s="2">
        <f t="shared" si="0"/>
        <v>4.5</v>
      </c>
      <c r="S3" s="2">
        <f t="shared" si="0"/>
        <v>3.5</v>
      </c>
      <c r="T3" s="2">
        <f t="shared" si="0"/>
        <v>3.75</v>
      </c>
      <c r="U3" s="2">
        <f t="shared" si="0"/>
        <v>4</v>
      </c>
      <c r="V3" s="2">
        <f t="shared" si="0"/>
        <v>4.25</v>
      </c>
      <c r="W3" s="2">
        <f t="shared" si="0"/>
        <v>4.5</v>
      </c>
      <c r="X3" s="2">
        <f t="shared" si="0"/>
        <v>3.5</v>
      </c>
      <c r="Y3" s="2">
        <f t="shared" si="0"/>
        <v>3.75</v>
      </c>
      <c r="Z3" s="2">
        <f t="shared" si="0"/>
        <v>4</v>
      </c>
      <c r="AA3" s="2">
        <f t="shared" si="0"/>
        <v>4.25</v>
      </c>
      <c r="AB3" s="2">
        <f t="shared" si="0"/>
        <v>4.5</v>
      </c>
      <c r="BC3" s="3"/>
      <c r="BH3" s="6"/>
      <c r="BI3" s="6"/>
      <c r="BJ3" s="6"/>
      <c r="BL3" s="7"/>
      <c r="BR3" s="32" t="s">
        <v>111</v>
      </c>
      <c r="BS3" s="33" t="s">
        <v>112</v>
      </c>
      <c r="BU3" s="39" t="s">
        <v>90</v>
      </c>
      <c r="BV3" s="24">
        <f>AVERAGE(BQ:BQ)</f>
        <v>0.40140115112471053</v>
      </c>
      <c r="BW3" s="24">
        <f>AVERAGE(BR:BR)</f>
        <v>3.1082745283137231E-2</v>
      </c>
      <c r="BX3" s="24">
        <f>AVERAGE(BS:BS)</f>
        <v>-0.13997726087706083</v>
      </c>
      <c r="BZ3" s="39" t="s">
        <v>38</v>
      </c>
      <c r="CA3" s="24">
        <v>-1.1700791679582001</v>
      </c>
      <c r="CB3" s="24">
        <v>-1.1537005210762601</v>
      </c>
      <c r="CC3" s="24">
        <v>1.1257969189169399</v>
      </c>
      <c r="CD3" s="24">
        <v>0.20841013090545901</v>
      </c>
      <c r="CE3" s="24">
        <v>1.0345708400776601</v>
      </c>
      <c r="CF3" s="9"/>
      <c r="CG3" s="9"/>
      <c r="CH3" s="9"/>
      <c r="CJ3" s="10"/>
    </row>
    <row r="4" spans="2:99" s="2" customFormat="1">
      <c r="B4" s="13"/>
      <c r="C4" s="14"/>
      <c r="H4" s="15" t="s">
        <v>38</v>
      </c>
      <c r="I4" s="20" t="str">
        <f t="shared" ref="I4:AB4" si="1">VLOOKUP(I$6,$B:$E,3,FALSE)</f>
        <v>Coke</v>
      </c>
      <c r="J4" s="20" t="str">
        <f t="shared" si="1"/>
        <v>Coke</v>
      </c>
      <c r="K4" s="20" t="str">
        <f t="shared" si="1"/>
        <v>Coke</v>
      </c>
      <c r="L4" s="20" t="str">
        <f t="shared" si="1"/>
        <v>Coke</v>
      </c>
      <c r="M4" s="20" t="str">
        <f t="shared" si="1"/>
        <v>Coke</v>
      </c>
      <c r="N4" s="20" t="str">
        <f t="shared" si="1"/>
        <v>Coke</v>
      </c>
      <c r="O4" s="20" t="str">
        <f t="shared" si="1"/>
        <v>Coke</v>
      </c>
      <c r="P4" s="20" t="str">
        <f t="shared" si="1"/>
        <v>Coke</v>
      </c>
      <c r="Q4" s="20" t="str">
        <f t="shared" si="1"/>
        <v>Coke</v>
      </c>
      <c r="R4" s="20" t="str">
        <f t="shared" si="1"/>
        <v>Coke</v>
      </c>
      <c r="S4" s="20" t="str">
        <f t="shared" si="1"/>
        <v>Pepsi</v>
      </c>
      <c r="T4" s="20" t="str">
        <f t="shared" si="1"/>
        <v>Pepsi</v>
      </c>
      <c r="U4" s="20" t="str">
        <f t="shared" si="1"/>
        <v>Pepsi</v>
      </c>
      <c r="V4" s="20" t="str">
        <f t="shared" si="1"/>
        <v>Pepsi</v>
      </c>
      <c r="W4" s="20" t="str">
        <f t="shared" si="1"/>
        <v>Pepsi</v>
      </c>
      <c r="X4" s="20" t="str">
        <f t="shared" si="1"/>
        <v>Pepsi</v>
      </c>
      <c r="Y4" s="20" t="str">
        <f t="shared" si="1"/>
        <v>Pepsi</v>
      </c>
      <c r="Z4" s="20" t="str">
        <f t="shared" si="1"/>
        <v>Pepsi</v>
      </c>
      <c r="AA4" s="20" t="str">
        <f t="shared" si="1"/>
        <v>Pepsi</v>
      </c>
      <c r="AB4" s="20" t="str">
        <f t="shared" si="1"/>
        <v>Pepsi</v>
      </c>
      <c r="BB4" s="3" t="s">
        <v>44</v>
      </c>
      <c r="BC4" s="3"/>
      <c r="BH4" s="6"/>
      <c r="BI4" s="6"/>
      <c r="BJ4" s="6"/>
      <c r="BL4" s="7"/>
      <c r="BU4" s="39" t="s">
        <v>91</v>
      </c>
      <c r="BV4" s="24">
        <f>STDEV(BQ:BQ)</f>
        <v>0.11160155268795578</v>
      </c>
      <c r="BW4" s="24">
        <f>STDEV(BR:BR)</f>
        <v>0.49371063561478806</v>
      </c>
      <c r="BX4" s="24">
        <f>STDEV(BS:BS)</f>
        <v>0.42394642101585822</v>
      </c>
      <c r="BZ4" s="39" t="s">
        <v>41</v>
      </c>
      <c r="CA4" s="24">
        <v>-1.03934212851831</v>
      </c>
      <c r="CB4" s="24">
        <v>1.1028015103684501</v>
      </c>
      <c r="CC4" s="24">
        <v>1.11518296784805</v>
      </c>
      <c r="CD4" s="24">
        <v>2.1156751907485699E-2</v>
      </c>
      <c r="CE4" s="24">
        <v>-1.1821507354429299</v>
      </c>
      <c r="CF4" s="9"/>
      <c r="CG4" s="9"/>
      <c r="CH4" s="9"/>
      <c r="CJ4" s="10"/>
    </row>
    <row r="5" spans="2:99" s="3" customFormat="1">
      <c r="C5" s="16"/>
      <c r="H5" s="15" t="s">
        <v>41</v>
      </c>
      <c r="I5" s="20" t="str">
        <f t="shared" ref="I5:AB5" si="2">VLOOKUP(I$6,$B:$E,4,FALSE)</f>
        <v>Diet</v>
      </c>
      <c r="J5" s="20" t="str">
        <f t="shared" si="2"/>
        <v>Diet</v>
      </c>
      <c r="K5" s="20" t="str">
        <f t="shared" si="2"/>
        <v>Diet</v>
      </c>
      <c r="L5" s="20" t="str">
        <f t="shared" si="2"/>
        <v>Diet</v>
      </c>
      <c r="M5" s="20" t="str">
        <f t="shared" si="2"/>
        <v>Diet</v>
      </c>
      <c r="N5" s="20" t="str">
        <f t="shared" si="2"/>
        <v>Regular</v>
      </c>
      <c r="O5" s="20" t="str">
        <f t="shared" si="2"/>
        <v>Regular</v>
      </c>
      <c r="P5" s="20" t="str">
        <f t="shared" si="2"/>
        <v>Regular</v>
      </c>
      <c r="Q5" s="20" t="str">
        <f t="shared" si="2"/>
        <v>Regular</v>
      </c>
      <c r="R5" s="20" t="str">
        <f t="shared" si="2"/>
        <v>Regular</v>
      </c>
      <c r="S5" s="20" t="str">
        <f t="shared" si="2"/>
        <v>Diet</v>
      </c>
      <c r="T5" s="20" t="str">
        <f t="shared" si="2"/>
        <v>Diet</v>
      </c>
      <c r="U5" s="20" t="str">
        <f t="shared" si="2"/>
        <v>Diet</v>
      </c>
      <c r="V5" s="20" t="str">
        <f t="shared" si="2"/>
        <v>Diet</v>
      </c>
      <c r="W5" s="20" t="str">
        <f t="shared" si="2"/>
        <v>Diet</v>
      </c>
      <c r="X5" s="20" t="str">
        <f t="shared" si="2"/>
        <v>Regular</v>
      </c>
      <c r="Y5" s="20" t="str">
        <f t="shared" si="2"/>
        <v>Regular</v>
      </c>
      <c r="Z5" s="20" t="str">
        <f t="shared" si="2"/>
        <v>Regular</v>
      </c>
      <c r="AA5" s="20" t="str">
        <f t="shared" si="2"/>
        <v>Regular</v>
      </c>
      <c r="AB5" s="20" t="str">
        <f t="shared" si="2"/>
        <v>Regular</v>
      </c>
      <c r="AD5" s="3" t="s">
        <v>45</v>
      </c>
      <c r="AN5" s="3" t="s">
        <v>46</v>
      </c>
      <c r="AX5" s="3" t="s">
        <v>47</v>
      </c>
      <c r="BB5" s="3" t="s">
        <v>47</v>
      </c>
      <c r="BF5" s="3" t="s">
        <v>48</v>
      </c>
      <c r="BL5" s="3" t="s">
        <v>49</v>
      </c>
      <c r="BQ5" s="3" t="s">
        <v>92</v>
      </c>
      <c r="BV5" s="3" t="s">
        <v>93</v>
      </c>
      <c r="CA5" s="3" t="s">
        <v>94</v>
      </c>
      <c r="CB5" s="40"/>
      <c r="CC5" s="40"/>
      <c r="CD5" s="40"/>
      <c r="CE5" s="40"/>
      <c r="CF5" s="40" t="s">
        <v>95</v>
      </c>
      <c r="CG5" s="40"/>
      <c r="CH5" s="40"/>
      <c r="CI5" s="3" t="s">
        <v>96</v>
      </c>
      <c r="CJ5" s="33"/>
      <c r="CN5" s="3" t="s">
        <v>97</v>
      </c>
    </row>
    <row r="6" spans="2:99" s="4" customFormat="1" ht="43.5">
      <c r="B6" s="4" t="s">
        <v>50</v>
      </c>
      <c r="C6" s="17" t="s">
        <v>37</v>
      </c>
      <c r="D6" s="4" t="s">
        <v>38</v>
      </c>
      <c r="E6" s="4" t="s">
        <v>41</v>
      </c>
      <c r="H6" s="4" t="s">
        <v>51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58</v>
      </c>
      <c r="P6" s="4" t="s">
        <v>59</v>
      </c>
      <c r="Q6" s="4" t="s">
        <v>60</v>
      </c>
      <c r="R6" s="4" t="s">
        <v>61</v>
      </c>
      <c r="S6" s="4" t="s">
        <v>62</v>
      </c>
      <c r="T6" s="4" t="s">
        <v>63</v>
      </c>
      <c r="U6" s="4" t="s">
        <v>64</v>
      </c>
      <c r="V6" s="4" t="s">
        <v>65</v>
      </c>
      <c r="W6" s="4" t="s">
        <v>66</v>
      </c>
      <c r="X6" s="4" t="s">
        <v>67</v>
      </c>
      <c r="Y6" s="4" t="s">
        <v>68</v>
      </c>
      <c r="Z6" s="4" t="s">
        <v>69</v>
      </c>
      <c r="AA6" s="4" t="s">
        <v>70</v>
      </c>
      <c r="AB6" s="4" t="s">
        <v>71</v>
      </c>
      <c r="AD6" s="22">
        <v>3.5</v>
      </c>
      <c r="AE6" s="22">
        <v>3.75</v>
      </c>
      <c r="AF6" s="22">
        <v>4</v>
      </c>
      <c r="AG6" s="22">
        <v>4.25</v>
      </c>
      <c r="AH6" s="22">
        <v>4.5</v>
      </c>
      <c r="AI6" s="23" t="s">
        <v>39</v>
      </c>
      <c r="AJ6" s="23" t="s">
        <v>40</v>
      </c>
      <c r="AK6" s="23" t="s">
        <v>42</v>
      </c>
      <c r="AL6" s="23" t="s">
        <v>43</v>
      </c>
      <c r="AN6" s="22">
        <v>3.5</v>
      </c>
      <c r="AO6" s="22">
        <v>3.75</v>
      </c>
      <c r="AP6" s="22">
        <v>4</v>
      </c>
      <c r="AQ6" s="22">
        <v>4.25</v>
      </c>
      <c r="AR6" s="22">
        <v>4.5</v>
      </c>
      <c r="AS6" s="23" t="s">
        <v>39</v>
      </c>
      <c r="AT6" s="23" t="s">
        <v>40</v>
      </c>
      <c r="AU6" s="23" t="s">
        <v>42</v>
      </c>
      <c r="AV6" s="23" t="s">
        <v>43</v>
      </c>
      <c r="AX6" s="15" t="s">
        <v>37</v>
      </c>
      <c r="AY6" s="15" t="s">
        <v>38</v>
      </c>
      <c r="AZ6" s="25" t="s">
        <v>41</v>
      </c>
      <c r="BB6" s="15" t="s">
        <v>37</v>
      </c>
      <c r="BC6" s="15" t="s">
        <v>38</v>
      </c>
      <c r="BD6" s="25" t="s">
        <v>41</v>
      </c>
      <c r="BF6" s="25" t="s">
        <v>73</v>
      </c>
      <c r="BG6" s="25" t="s">
        <v>74</v>
      </c>
      <c r="BH6" s="28" t="s">
        <v>37</v>
      </c>
      <c r="BI6" s="28" t="s">
        <v>38</v>
      </c>
      <c r="BJ6" s="29" t="s">
        <v>41</v>
      </c>
      <c r="BL6" s="30" t="s">
        <v>75</v>
      </c>
      <c r="BM6" s="34" t="s">
        <v>76</v>
      </c>
      <c r="BN6" s="34" t="s">
        <v>77</v>
      </c>
      <c r="BQ6" s="15" t="s">
        <v>37</v>
      </c>
      <c r="BR6" s="15" t="s">
        <v>38</v>
      </c>
      <c r="BS6" s="25" t="s">
        <v>41</v>
      </c>
      <c r="BV6" s="41" t="s">
        <v>37</v>
      </c>
      <c r="BW6" s="41" t="s">
        <v>38</v>
      </c>
      <c r="BX6" s="41" t="s">
        <v>41</v>
      </c>
      <c r="CA6" s="42" t="s">
        <v>98</v>
      </c>
      <c r="CB6" s="42" t="s">
        <v>99</v>
      </c>
      <c r="CC6" s="42" t="s">
        <v>100</v>
      </c>
      <c r="CD6" s="42" t="s">
        <v>101</v>
      </c>
      <c r="CE6" s="42" t="s">
        <v>102</v>
      </c>
      <c r="CF6" s="42" t="s">
        <v>103</v>
      </c>
      <c r="CG6" s="25" t="s">
        <v>104</v>
      </c>
      <c r="CH6" s="25"/>
      <c r="CI6" s="45" t="s">
        <v>105</v>
      </c>
      <c r="CJ6" s="46" t="s">
        <v>106</v>
      </c>
      <c r="CK6" s="45" t="s">
        <v>107</v>
      </c>
      <c r="CL6" s="48" t="s">
        <v>108</v>
      </c>
      <c r="CM6" s="25"/>
      <c r="CN6" s="34" t="s">
        <v>105</v>
      </c>
      <c r="CO6" s="46" t="s">
        <v>83</v>
      </c>
      <c r="CP6" s="25" t="s">
        <v>75</v>
      </c>
      <c r="CS6" s="49" t="s">
        <v>83</v>
      </c>
      <c r="CT6" s="49" t="s">
        <v>113</v>
      </c>
    </row>
    <row r="7" spans="2:99">
      <c r="B7" s="18" t="s">
        <v>52</v>
      </c>
      <c r="C7" s="5">
        <v>3.5</v>
      </c>
      <c r="D7" s="19" t="s">
        <v>39</v>
      </c>
      <c r="E7" s="19" t="s">
        <v>42</v>
      </c>
      <c r="H7">
        <v>1</v>
      </c>
      <c r="I7">
        <v>3</v>
      </c>
      <c r="J7">
        <v>5</v>
      </c>
      <c r="K7">
        <v>8</v>
      </c>
      <c r="L7">
        <v>11</v>
      </c>
      <c r="M7">
        <v>14</v>
      </c>
      <c r="N7">
        <v>1</v>
      </c>
      <c r="O7">
        <v>2</v>
      </c>
      <c r="P7">
        <v>4</v>
      </c>
      <c r="Q7">
        <v>6</v>
      </c>
      <c r="R7">
        <v>9</v>
      </c>
      <c r="S7">
        <v>12</v>
      </c>
      <c r="T7">
        <v>15</v>
      </c>
      <c r="U7">
        <v>17</v>
      </c>
      <c r="V7">
        <v>19</v>
      </c>
      <c r="W7">
        <v>20</v>
      </c>
      <c r="X7">
        <v>7</v>
      </c>
      <c r="Y7">
        <v>10</v>
      </c>
      <c r="Z7">
        <v>13</v>
      </c>
      <c r="AA7">
        <v>16</v>
      </c>
      <c r="AB7">
        <v>18</v>
      </c>
      <c r="AD7" s="2">
        <f t="shared" ref="AD7:AH16" si="3">SUMIFS($I7:$AB7,$I$3:$AB$3,AD$6)</f>
        <v>23</v>
      </c>
      <c r="AE7" s="2">
        <f t="shared" si="3"/>
        <v>32</v>
      </c>
      <c r="AF7" s="2">
        <f t="shared" si="3"/>
        <v>42</v>
      </c>
      <c r="AG7" s="2">
        <f t="shared" si="3"/>
        <v>52</v>
      </c>
      <c r="AH7" s="2">
        <f t="shared" si="3"/>
        <v>61</v>
      </c>
      <c r="AI7" s="2">
        <f t="shared" ref="AI7:AJ26" si="4">SUMIFS($I7:$AB7,$I$4:$AB$4,AI$6)</f>
        <v>63</v>
      </c>
      <c r="AJ7" s="2">
        <f t="shared" si="4"/>
        <v>147</v>
      </c>
      <c r="AK7" s="2">
        <f t="shared" ref="AK7:AL26" si="5">SUMIFS($I7:$AB7,$I$5:$AB$5,AK$6)</f>
        <v>124</v>
      </c>
      <c r="AL7" s="2">
        <f t="shared" si="5"/>
        <v>86</v>
      </c>
      <c r="AN7" s="24">
        <f>(AD7-MIN($AD7:$AL7))/(MAX($AD7:$AL7)-MIN($AD7:$AL7))</f>
        <v>0</v>
      </c>
      <c r="AO7" s="24">
        <f t="shared" ref="AO7:AV7" si="6">(AE7-MIN($AD7:$AL7))/(MAX($AD7:$AL7)-MIN($AD7:$AL7))</f>
        <v>7.2580645161290328E-2</v>
      </c>
      <c r="AP7" s="24">
        <f t="shared" si="6"/>
        <v>0.15322580645161291</v>
      </c>
      <c r="AQ7" s="24">
        <f t="shared" si="6"/>
        <v>0.23387096774193547</v>
      </c>
      <c r="AR7" s="24">
        <f t="shared" si="6"/>
        <v>0.30645161290322581</v>
      </c>
      <c r="AS7" s="24">
        <f t="shared" si="6"/>
        <v>0.32258064516129031</v>
      </c>
      <c r="AT7" s="24">
        <f t="shared" si="6"/>
        <v>1</v>
      </c>
      <c r="AU7" s="24">
        <f t="shared" si="6"/>
        <v>0.81451612903225812</v>
      </c>
      <c r="AV7" s="24">
        <f t="shared" si="6"/>
        <v>0.50806451612903225</v>
      </c>
      <c r="AX7" s="26">
        <f t="shared" ref="AX7:AX26" si="7">MAX(AN7:AR7)-MIN(AN7:AR7)</f>
        <v>0.30645161290322581</v>
      </c>
      <c r="AY7" s="26">
        <f t="shared" ref="AY7:AY26" si="8">MAX(AS7:AT7)-MIN(AS7:AT7)</f>
        <v>0.67741935483870974</v>
      </c>
      <c r="AZ7" s="26">
        <f t="shared" ref="AZ7:AZ26" si="9">MAX(AU7:AV7)-MIN(AU7:AV7)</f>
        <v>0.30645161290322587</v>
      </c>
      <c r="BB7" s="26">
        <f t="shared" ref="BB7:BB26" si="10">AX7/SUM($AX7:$AZ7)</f>
        <v>0.23749999999999996</v>
      </c>
      <c r="BC7" s="26">
        <f t="shared" ref="BC7:BC26" si="11">AY7/SUM($AX7:$AZ7)</f>
        <v>0.52500000000000002</v>
      </c>
      <c r="BD7" s="26">
        <f t="shared" ref="BD7:BD26" si="12">AZ7/SUM($AX7:$AZ7)</f>
        <v>0.23750000000000002</v>
      </c>
      <c r="BF7" s="20" t="str">
        <f t="array" ref="BF7">INDEX($BB$6:$BD$6,,MATCH(MAX(BB7:BD7),BB7:BD7,0))</f>
        <v>Brand</v>
      </c>
      <c r="BG7" s="20" t="str">
        <f t="array" ref="BG7">INDEX(BH7:BJ7,,MATCH(BF7,$BH$6:$BJ$6,0))</f>
        <v>Coke</v>
      </c>
      <c r="BH7" s="6">
        <f t="array" ref="BH7">INDEX($AN$6:$AR$6,,MATCH(MIN(AN7:AR7),AN7:AR7,0))</f>
        <v>3.5</v>
      </c>
      <c r="BI7" s="31" t="str">
        <f t="array" ref="BI7">INDEX($AS$6:$AT$6,,MATCH(MIN(AS7:AT7),AS7:AT7,0))</f>
        <v>Coke</v>
      </c>
      <c r="BJ7" s="31" t="str">
        <f t="array" ref="BJ7">INDEX($AU$6:$AV$6,,MATCH(MIN(AU7:AV7),AU7:AV7,0))</f>
        <v>Regular</v>
      </c>
      <c r="BL7" s="7">
        <f>COUNTIFS(BF:BF,BM7,BG:BG,BN7)</f>
        <v>6</v>
      </c>
      <c r="BM7" s="2" t="s">
        <v>38</v>
      </c>
      <c r="BN7" s="2" t="s">
        <v>39</v>
      </c>
      <c r="BQ7" s="26">
        <f>AR7-AN7</f>
        <v>0.30645161290322581</v>
      </c>
      <c r="BR7" s="26">
        <f>AS7-AT7</f>
        <v>-0.67741935483870974</v>
      </c>
      <c r="BS7" s="26">
        <f>AU7-AV7</f>
        <v>0.30645161290322587</v>
      </c>
      <c r="BT7" s="2"/>
      <c r="BU7" s="2"/>
      <c r="BV7" s="24">
        <f t="shared" ref="BV7:BV26" si="13">(BQ7-BV$3)/BV$4</f>
        <v>-0.85079047678636666</v>
      </c>
      <c r="BW7" s="24">
        <f t="shared" ref="BW7:BW26" si="14">(BR7-BW$3)/BW$4</f>
        <v>-1.4350553725454833</v>
      </c>
      <c r="BX7" s="24">
        <f t="shared" ref="BX7:BX26" si="15">(BS7-BX$3)/BX$4</f>
        <v>1.0530313540813865</v>
      </c>
      <c r="CA7" s="9">
        <f t="shared" ref="CA7:CE16" si="16">((CA$2-$BV7)^2+(CA$3-$BW7)^2+(CA$4-$BX7)^2)^(1/2)</f>
        <v>2.1413518267652352</v>
      </c>
      <c r="CB7" s="9">
        <f t="shared" si="16"/>
        <v>0.36571432010930394</v>
      </c>
      <c r="CC7" s="9">
        <f t="shared" si="16"/>
        <v>2.5837592311996898</v>
      </c>
      <c r="CD7" s="9">
        <f t="shared" si="16"/>
        <v>3.2823630479592985</v>
      </c>
      <c r="CE7" s="9">
        <f t="shared" si="16"/>
        <v>3.3510174523735525</v>
      </c>
      <c r="CF7" s="9">
        <f>MIN(CA7:CE7)</f>
        <v>0.36571432010930394</v>
      </c>
      <c r="CG7" s="47">
        <f>SUM(CF:CF)</f>
        <v>11.243332152968206</v>
      </c>
      <c r="CH7" s="47"/>
      <c r="CI7" s="2" t="str">
        <f>INDEX($CA$6:$CE$6,,MATCH(MIN(CA7:CE7),CA7:CE7,0))</f>
        <v>Cluster 2</v>
      </c>
      <c r="CJ7" s="10" t="str">
        <f>INDEX($CA$1:$CE$1,,MATCH(CI7,$CA$6:$CE$6,0))</f>
        <v>Regular Coke</v>
      </c>
      <c r="CK7" s="35" t="str">
        <f>IF(BG7=3.5,"Price Only",BJ7&amp;" "&amp;BI7)</f>
        <v>Regular Coke</v>
      </c>
      <c r="CL7" s="2" t="str">
        <f t="shared" ref="CL7:CL26" si="17">IF(CJ7=CK7,"","Diff")</f>
        <v/>
      </c>
      <c r="CM7" s="20"/>
      <c r="CN7" s="2" t="s">
        <v>102</v>
      </c>
      <c r="CO7" s="10" t="s">
        <v>88</v>
      </c>
      <c r="CP7" s="2">
        <f>COUNTIFS(CJ:CJ,CO7)</f>
        <v>3</v>
      </c>
      <c r="CS7" t="s">
        <v>84</v>
      </c>
      <c r="CT7" t="s">
        <v>84</v>
      </c>
      <c r="CU7">
        <v>27</v>
      </c>
    </row>
    <row r="8" spans="2:99">
      <c r="B8" s="18" t="s">
        <v>53</v>
      </c>
      <c r="C8" s="5">
        <v>3.75</v>
      </c>
      <c r="D8" s="19" t="s">
        <v>39</v>
      </c>
      <c r="E8" s="19" t="s">
        <v>42</v>
      </c>
      <c r="H8">
        <v>2</v>
      </c>
      <c r="I8">
        <v>3</v>
      </c>
      <c r="J8">
        <v>7</v>
      </c>
      <c r="K8">
        <v>11</v>
      </c>
      <c r="L8">
        <v>15</v>
      </c>
      <c r="M8">
        <v>19</v>
      </c>
      <c r="N8">
        <v>4</v>
      </c>
      <c r="O8">
        <v>8</v>
      </c>
      <c r="P8">
        <v>12</v>
      </c>
      <c r="Q8">
        <v>16</v>
      </c>
      <c r="R8">
        <v>20</v>
      </c>
      <c r="S8">
        <v>1</v>
      </c>
      <c r="T8">
        <v>5</v>
      </c>
      <c r="U8">
        <v>9</v>
      </c>
      <c r="V8">
        <v>13</v>
      </c>
      <c r="W8">
        <v>17</v>
      </c>
      <c r="X8">
        <v>2</v>
      </c>
      <c r="Y8">
        <v>6</v>
      </c>
      <c r="Z8">
        <v>10</v>
      </c>
      <c r="AA8">
        <v>14</v>
      </c>
      <c r="AB8">
        <v>18</v>
      </c>
      <c r="AD8" s="2">
        <f t="shared" si="3"/>
        <v>10</v>
      </c>
      <c r="AE8" s="2">
        <f t="shared" si="3"/>
        <v>26</v>
      </c>
      <c r="AF8" s="2">
        <f t="shared" si="3"/>
        <v>42</v>
      </c>
      <c r="AG8" s="2">
        <f t="shared" si="3"/>
        <v>58</v>
      </c>
      <c r="AH8" s="2">
        <f t="shared" si="3"/>
        <v>74</v>
      </c>
      <c r="AI8" s="2">
        <f t="shared" si="4"/>
        <v>115</v>
      </c>
      <c r="AJ8" s="2">
        <f t="shared" si="4"/>
        <v>95</v>
      </c>
      <c r="AK8" s="2">
        <f t="shared" si="5"/>
        <v>100</v>
      </c>
      <c r="AL8" s="2">
        <f t="shared" si="5"/>
        <v>110</v>
      </c>
      <c r="AN8" s="24">
        <f t="shared" ref="AN8:AV8" si="18">(AD8-MIN($AD8:$AL8))/(MAX($AD8:$AL8)-MIN($AD8:$AL8))</f>
        <v>0</v>
      </c>
      <c r="AO8" s="24">
        <f t="shared" si="18"/>
        <v>0.15238095238095239</v>
      </c>
      <c r="AP8" s="24">
        <f t="shared" si="18"/>
        <v>0.30476190476190479</v>
      </c>
      <c r="AQ8" s="24">
        <f t="shared" si="18"/>
        <v>0.45714285714285713</v>
      </c>
      <c r="AR8" s="24">
        <f t="shared" si="18"/>
        <v>0.60952380952380958</v>
      </c>
      <c r="AS8" s="24">
        <f t="shared" si="18"/>
        <v>1</v>
      </c>
      <c r="AT8" s="24">
        <f t="shared" si="18"/>
        <v>0.80952380952380953</v>
      </c>
      <c r="AU8" s="24">
        <f t="shared" si="18"/>
        <v>0.8571428571428571</v>
      </c>
      <c r="AV8" s="24">
        <f t="shared" si="18"/>
        <v>0.95238095238095233</v>
      </c>
      <c r="AX8" s="26">
        <f t="shared" si="7"/>
        <v>0.60952380952380958</v>
      </c>
      <c r="AY8" s="26">
        <f t="shared" si="8"/>
        <v>0.19047619047619047</v>
      </c>
      <c r="AZ8" s="26">
        <f t="shared" si="9"/>
        <v>9.5238095238095233E-2</v>
      </c>
      <c r="BB8" s="26">
        <f t="shared" si="10"/>
        <v>0.68085106382978722</v>
      </c>
      <c r="BC8" s="26">
        <f t="shared" si="11"/>
        <v>0.21276595744680848</v>
      </c>
      <c r="BD8" s="26">
        <f t="shared" si="12"/>
        <v>0.10638297872340424</v>
      </c>
      <c r="BF8" s="20" t="str">
        <f t="array" ref="BF8">INDEX($BB$6:$BD$6,,MATCH(MAX(BB8:BD8),BB8:BD8,0))</f>
        <v>Price</v>
      </c>
      <c r="BG8" s="20">
        <f t="array" ref="BG8">INDEX(BH8:BJ8,,MATCH(BF8,$BH$6:$BJ$6,0))</f>
        <v>3.5</v>
      </c>
      <c r="BH8" s="6">
        <f t="array" ref="BH8">INDEX($AN$6:$AR$6,,MATCH(MIN(AN8:AR8),AN8:AR8,0))</f>
        <v>3.5</v>
      </c>
      <c r="BI8" s="31" t="str">
        <f t="array" ref="BI8">INDEX($AS$6:$AT$6,,MATCH(MIN(AS8:AT8),AS8:AT8,0))</f>
        <v>Pepsi</v>
      </c>
      <c r="BJ8" s="31" t="str">
        <f t="array" ref="BJ8">INDEX($AU$6:$AV$6,,MATCH(MIN(AU8:AV8),AU8:AV8,0))</f>
        <v>Diet</v>
      </c>
      <c r="BL8" s="7">
        <f>COUNTIFS(BF:BF,BM8,BG:BG,BN8)</f>
        <v>5</v>
      </c>
      <c r="BM8" s="2" t="s">
        <v>38</v>
      </c>
      <c r="BN8" s="2" t="s">
        <v>40</v>
      </c>
      <c r="BQ8" s="26">
        <f>AR8-AN8</f>
        <v>0.60952380952380958</v>
      </c>
      <c r="BR8" s="26">
        <f t="shared" ref="BR8:BR26" si="19">AS8-AT8</f>
        <v>0.19047619047619047</v>
      </c>
      <c r="BS8" s="26">
        <f t="shared" ref="BS8:BS26" si="20">AU8-AV8</f>
        <v>-9.5238095238095233E-2</v>
      </c>
      <c r="BT8" s="2"/>
      <c r="BU8" s="2"/>
      <c r="BV8" s="24">
        <f t="shared" si="13"/>
        <v>1.8648724268292369</v>
      </c>
      <c r="BW8" s="24">
        <f t="shared" si="14"/>
        <v>0.3228479066378025</v>
      </c>
      <c r="BX8" s="24">
        <f t="shared" si="15"/>
        <v>0.10553023547589302</v>
      </c>
      <c r="CA8" s="9">
        <f t="shared" si="16"/>
        <v>3.0066799097482408</v>
      </c>
      <c r="CB8" s="9">
        <f t="shared" si="16"/>
        <v>3.0597132680972456</v>
      </c>
      <c r="CC8" s="9">
        <f t="shared" si="16"/>
        <v>2.7054081759713133</v>
      </c>
      <c r="CD8" s="9">
        <f t="shared" si="16"/>
        <v>0.15776329799580047</v>
      </c>
      <c r="CE8" s="9">
        <f t="shared" si="16"/>
        <v>2.7719775097644486</v>
      </c>
      <c r="CF8" s="9">
        <f t="shared" ref="CF8:CF26" si="21">MIN(CA8:CE8)</f>
        <v>0.15776329799580047</v>
      </c>
      <c r="CI8" s="2" t="str">
        <f t="array" ref="CI8">INDEX($CA$6:$CE$6,,MATCH(MIN(CA8:CE8),CA8:CE8,0))</f>
        <v>Cluster 4</v>
      </c>
      <c r="CJ8" s="10" t="str">
        <f t="array" ref="CJ8">INDEX($CA$1:$CE$1,,MATCH(CI8,$CA$6:$CE$6,0))</f>
        <v>Price Only</v>
      </c>
      <c r="CK8" s="35" t="str">
        <f>IF(BG8=3.5,"Price Only",BJ8&amp;" "&amp;BI8)</f>
        <v>Price Only</v>
      </c>
      <c r="CL8" s="2" t="str">
        <f t="shared" si="17"/>
        <v/>
      </c>
      <c r="CM8" s="20"/>
      <c r="CN8" s="2" t="s">
        <v>101</v>
      </c>
      <c r="CO8" s="10" t="s">
        <v>84</v>
      </c>
      <c r="CP8" s="2">
        <f>COUNTIFS(CJ:CJ,CO8)</f>
        <v>2</v>
      </c>
      <c r="CS8" t="s">
        <v>87</v>
      </c>
      <c r="CT8" t="s">
        <v>87</v>
      </c>
      <c r="CU8">
        <v>24</v>
      </c>
    </row>
    <row r="9" spans="2:99">
      <c r="B9" s="18" t="s">
        <v>54</v>
      </c>
      <c r="C9" s="5">
        <v>4</v>
      </c>
      <c r="D9" s="19" t="s">
        <v>39</v>
      </c>
      <c r="E9" s="19" t="s">
        <v>42</v>
      </c>
      <c r="H9">
        <v>3</v>
      </c>
      <c r="I9">
        <v>5</v>
      </c>
      <c r="J9">
        <v>8</v>
      </c>
      <c r="K9">
        <v>12</v>
      </c>
      <c r="L9">
        <v>15</v>
      </c>
      <c r="M9">
        <v>18</v>
      </c>
      <c r="N9">
        <v>11</v>
      </c>
      <c r="O9">
        <v>14</v>
      </c>
      <c r="P9">
        <v>17</v>
      </c>
      <c r="Q9">
        <v>19</v>
      </c>
      <c r="R9">
        <v>20</v>
      </c>
      <c r="S9">
        <v>1</v>
      </c>
      <c r="T9">
        <v>2</v>
      </c>
      <c r="U9">
        <v>4</v>
      </c>
      <c r="V9">
        <v>7</v>
      </c>
      <c r="W9">
        <v>10</v>
      </c>
      <c r="X9">
        <v>3</v>
      </c>
      <c r="Y9">
        <v>6</v>
      </c>
      <c r="Z9">
        <v>9</v>
      </c>
      <c r="AA9">
        <v>13</v>
      </c>
      <c r="AB9">
        <v>16</v>
      </c>
      <c r="AD9" s="2">
        <f t="shared" si="3"/>
        <v>20</v>
      </c>
      <c r="AE9" s="2">
        <f t="shared" si="3"/>
        <v>30</v>
      </c>
      <c r="AF9" s="2">
        <f t="shared" si="3"/>
        <v>42</v>
      </c>
      <c r="AG9" s="2">
        <f t="shared" si="3"/>
        <v>54</v>
      </c>
      <c r="AH9" s="2">
        <f t="shared" si="3"/>
        <v>64</v>
      </c>
      <c r="AI9" s="2">
        <f t="shared" si="4"/>
        <v>139</v>
      </c>
      <c r="AJ9" s="2">
        <f t="shared" si="4"/>
        <v>71</v>
      </c>
      <c r="AK9" s="2">
        <f t="shared" si="5"/>
        <v>82</v>
      </c>
      <c r="AL9" s="2">
        <f t="shared" si="5"/>
        <v>128</v>
      </c>
      <c r="AN9" s="24">
        <f t="shared" ref="AN9:AV9" si="22">(AD9-MIN($AD9:$AL9))/(MAX($AD9:$AL9)-MIN($AD9:$AL9))</f>
        <v>0</v>
      </c>
      <c r="AO9" s="24">
        <f t="shared" si="22"/>
        <v>8.4033613445378158E-2</v>
      </c>
      <c r="AP9" s="24">
        <f t="shared" si="22"/>
        <v>0.18487394957983194</v>
      </c>
      <c r="AQ9" s="24">
        <f t="shared" si="22"/>
        <v>0.2857142857142857</v>
      </c>
      <c r="AR9" s="24">
        <f t="shared" si="22"/>
        <v>0.36974789915966388</v>
      </c>
      <c r="AS9" s="24">
        <f t="shared" si="22"/>
        <v>1</v>
      </c>
      <c r="AT9" s="24">
        <f t="shared" si="22"/>
        <v>0.42857142857142855</v>
      </c>
      <c r="AU9" s="24">
        <f t="shared" si="22"/>
        <v>0.52100840336134457</v>
      </c>
      <c r="AV9" s="24">
        <f t="shared" si="22"/>
        <v>0.90756302521008403</v>
      </c>
      <c r="AX9" s="26">
        <f t="shared" si="7"/>
        <v>0.36974789915966388</v>
      </c>
      <c r="AY9" s="26">
        <f t="shared" si="8"/>
        <v>0.5714285714285714</v>
      </c>
      <c r="AZ9" s="26">
        <f t="shared" si="9"/>
        <v>0.38655462184873945</v>
      </c>
      <c r="BB9" s="26">
        <f t="shared" si="10"/>
        <v>0.27848101265822789</v>
      </c>
      <c r="BC9" s="26">
        <f t="shared" si="11"/>
        <v>0.43037974683544306</v>
      </c>
      <c r="BD9" s="26">
        <f t="shared" si="12"/>
        <v>0.29113924050632911</v>
      </c>
      <c r="BF9" s="20" t="str">
        <f t="array" ref="BF9">INDEX($BB$6:$BD$6,,MATCH(MAX(BB9:BD9),BB9:BD9,0))</f>
        <v>Brand</v>
      </c>
      <c r="BG9" s="20" t="str">
        <f t="array" ref="BG9">INDEX(BH9:BJ9,,MATCH(BF9,$BH$6:$BJ$6,0))</f>
        <v>Pepsi</v>
      </c>
      <c r="BH9" s="6">
        <f t="array" ref="BH9">INDEX($AN$6:$AR$6,,MATCH(MIN(AN9:AR9),AN9:AR9,0))</f>
        <v>3.5</v>
      </c>
      <c r="BI9" s="31" t="str">
        <f t="array" ref="BI9">INDEX($AS$6:$AT$6,,MATCH(MIN(AS9:AT9),AS9:AT9,0))</f>
        <v>Pepsi</v>
      </c>
      <c r="BJ9" s="31" t="str">
        <f t="array" ref="BJ9">INDEX($AU$6:$AV$6,,MATCH(MIN(AU9:AV9),AU9:AV9,0))</f>
        <v>Diet</v>
      </c>
      <c r="BL9" s="7">
        <f>COUNTIFS(BF:BF,BM9,BG:BG,BN9)</f>
        <v>2</v>
      </c>
      <c r="BM9" s="2" t="s">
        <v>41</v>
      </c>
      <c r="BN9" s="2" t="s">
        <v>43</v>
      </c>
      <c r="BQ9" s="26">
        <f t="shared" ref="BQ9:BQ26" si="23">AR9-AN9</f>
        <v>0.36974789915966388</v>
      </c>
      <c r="BR9" s="26">
        <f t="shared" si="19"/>
        <v>0.5714285714285714</v>
      </c>
      <c r="BS9" s="26">
        <f t="shared" si="20"/>
        <v>-0.38655462184873945</v>
      </c>
      <c r="BT9" s="2"/>
      <c r="BU9" s="2"/>
      <c r="BV9" s="24">
        <f t="shared" si="13"/>
        <v>-0.28362734390937122</v>
      </c>
      <c r="BW9" s="24">
        <f t="shared" si="14"/>
        <v>1.0944585495359525</v>
      </c>
      <c r="BX9" s="24">
        <f t="shared" si="15"/>
        <v>-0.5816238768588522</v>
      </c>
      <c r="CA9" s="9">
        <f t="shared" si="16"/>
        <v>2.3187018230919034</v>
      </c>
      <c r="CB9" s="9">
        <f t="shared" si="16"/>
        <v>2.8295500446821729</v>
      </c>
      <c r="CC9" s="9">
        <f t="shared" si="16"/>
        <v>1.7125500000103835</v>
      </c>
      <c r="CD9" s="9">
        <f t="shared" si="16"/>
        <v>2.339950603224024</v>
      </c>
      <c r="CE9" s="9">
        <f t="shared" si="16"/>
        <v>0.63603287062831615</v>
      </c>
      <c r="CF9" s="9">
        <f t="shared" si="21"/>
        <v>0.63603287062831615</v>
      </c>
      <c r="CI9" s="2" t="str">
        <f t="array" ref="CI9">INDEX($CA$6:$CE$6,,MATCH(MIN(CA9:CE9),CA9:CE9,0))</f>
        <v>Cluster 5</v>
      </c>
      <c r="CJ9" s="10" t="str">
        <f t="array" ref="CJ9">INDEX($CA$1:$CE$1,,MATCH(CI9,$CA$6:$CE$6,0))</f>
        <v>Diet Pepsi</v>
      </c>
      <c r="CK9" s="35" t="str">
        <f t="shared" ref="CK9:CK26" si="24">IF(BG9=3.5,"Price Only",BJ9&amp;" "&amp;BI9)</f>
        <v>Diet Pepsi</v>
      </c>
      <c r="CL9" s="2" t="str">
        <f t="shared" si="17"/>
        <v/>
      </c>
      <c r="CM9" s="20"/>
      <c r="CN9" s="2" t="s">
        <v>99</v>
      </c>
      <c r="CO9" s="10" t="s">
        <v>86</v>
      </c>
      <c r="CP9" s="2">
        <f>COUNTIFS(CJ:CJ,CO9)</f>
        <v>6</v>
      </c>
      <c r="CS9" t="s">
        <v>86</v>
      </c>
      <c r="CT9" t="s">
        <v>86</v>
      </c>
      <c r="CU9">
        <v>26</v>
      </c>
    </row>
    <row r="10" spans="2:99">
      <c r="B10" s="18" t="s">
        <v>55</v>
      </c>
      <c r="C10" s="5">
        <v>4.25</v>
      </c>
      <c r="D10" s="19" t="s">
        <v>39</v>
      </c>
      <c r="E10" s="19" t="s">
        <v>42</v>
      </c>
      <c r="H10">
        <v>4</v>
      </c>
      <c r="I10">
        <v>1</v>
      </c>
      <c r="J10">
        <v>2</v>
      </c>
      <c r="K10">
        <v>3</v>
      </c>
      <c r="L10">
        <v>6</v>
      </c>
      <c r="M10">
        <v>9</v>
      </c>
      <c r="N10">
        <v>4</v>
      </c>
      <c r="O10">
        <v>7</v>
      </c>
      <c r="P10">
        <v>10</v>
      </c>
      <c r="Q10">
        <v>13</v>
      </c>
      <c r="R10">
        <v>16</v>
      </c>
      <c r="S10">
        <v>5</v>
      </c>
      <c r="T10">
        <v>8</v>
      </c>
      <c r="U10">
        <v>11</v>
      </c>
      <c r="V10">
        <v>14</v>
      </c>
      <c r="W10">
        <v>17</v>
      </c>
      <c r="X10">
        <v>12</v>
      </c>
      <c r="Y10">
        <v>15</v>
      </c>
      <c r="Z10">
        <v>18</v>
      </c>
      <c r="AA10">
        <v>19</v>
      </c>
      <c r="AB10">
        <v>20</v>
      </c>
      <c r="AD10" s="2">
        <f t="shared" si="3"/>
        <v>22</v>
      </c>
      <c r="AE10" s="2">
        <f t="shared" si="3"/>
        <v>32</v>
      </c>
      <c r="AF10" s="2">
        <f t="shared" si="3"/>
        <v>42</v>
      </c>
      <c r="AG10" s="2">
        <f t="shared" si="3"/>
        <v>52</v>
      </c>
      <c r="AH10" s="2">
        <f t="shared" si="3"/>
        <v>62</v>
      </c>
      <c r="AI10" s="2">
        <f t="shared" si="4"/>
        <v>71</v>
      </c>
      <c r="AJ10" s="2">
        <f t="shared" si="4"/>
        <v>139</v>
      </c>
      <c r="AK10" s="2">
        <f t="shared" si="5"/>
        <v>76</v>
      </c>
      <c r="AL10" s="2">
        <f t="shared" si="5"/>
        <v>134</v>
      </c>
      <c r="AN10" s="24">
        <f t="shared" ref="AN10:AV10" si="25">(AD10-MIN($AD10:$AL10))/(MAX($AD10:$AL10)-MIN($AD10:$AL10))</f>
        <v>0</v>
      </c>
      <c r="AO10" s="24">
        <f t="shared" si="25"/>
        <v>8.5470085470085472E-2</v>
      </c>
      <c r="AP10" s="24">
        <f t="shared" si="25"/>
        <v>0.17094017094017094</v>
      </c>
      <c r="AQ10" s="24">
        <f t="shared" si="25"/>
        <v>0.25641025641025639</v>
      </c>
      <c r="AR10" s="24">
        <f t="shared" si="25"/>
        <v>0.34188034188034189</v>
      </c>
      <c r="AS10" s="24">
        <f t="shared" si="25"/>
        <v>0.41880341880341881</v>
      </c>
      <c r="AT10" s="24">
        <f t="shared" si="25"/>
        <v>1</v>
      </c>
      <c r="AU10" s="24">
        <f t="shared" si="25"/>
        <v>0.46153846153846156</v>
      </c>
      <c r="AV10" s="24">
        <f t="shared" si="25"/>
        <v>0.95726495726495731</v>
      </c>
      <c r="AX10" s="26">
        <f t="shared" si="7"/>
        <v>0.34188034188034189</v>
      </c>
      <c r="AY10" s="26">
        <f t="shared" si="8"/>
        <v>0.58119658119658113</v>
      </c>
      <c r="AZ10" s="26">
        <f t="shared" si="9"/>
        <v>0.49572649572649574</v>
      </c>
      <c r="BB10" s="26">
        <f t="shared" si="10"/>
        <v>0.24096385542168677</v>
      </c>
      <c r="BC10" s="26">
        <f t="shared" si="11"/>
        <v>0.40963855421686746</v>
      </c>
      <c r="BD10" s="26">
        <f t="shared" si="12"/>
        <v>0.34939759036144585</v>
      </c>
      <c r="BF10" s="20" t="str">
        <f t="array" ref="BF10">INDEX($BB$6:$BD$6,,MATCH(MAX(BB10:BD10),BB10:BD10,0))</f>
        <v>Brand</v>
      </c>
      <c r="BG10" s="20" t="str">
        <f t="array" ref="BG10">INDEX(BH10:BJ10,,MATCH(BF10,$BH$6:$BJ$6,0))</f>
        <v>Coke</v>
      </c>
      <c r="BH10" s="6">
        <f t="array" ref="BH10">INDEX($AN$6:$AR$6,,MATCH(MIN(AN10:AR10),AN10:AR10,0))</f>
        <v>3.5</v>
      </c>
      <c r="BI10" s="31" t="str">
        <f t="array" ref="BI10">INDEX($AS$6:$AT$6,,MATCH(MIN(AS10:AT10),AS10:AT10,0))</f>
        <v>Coke</v>
      </c>
      <c r="BJ10" s="31" t="str">
        <f t="array" ref="BJ10">INDEX($AU$6:$AV$6,,MATCH(MIN(AU10:AV10),AU10:AV10,0))</f>
        <v>Diet</v>
      </c>
      <c r="BL10" s="7">
        <f>COUNTIFS(BF:BF,BM10,BG:BG,BN10)</f>
        <v>3</v>
      </c>
      <c r="BM10" s="2" t="s">
        <v>41</v>
      </c>
      <c r="BN10" s="2" t="s">
        <v>42</v>
      </c>
      <c r="BQ10" s="26">
        <f t="shared" si="23"/>
        <v>0.34188034188034189</v>
      </c>
      <c r="BR10" s="26">
        <f t="shared" si="19"/>
        <v>-0.58119658119658113</v>
      </c>
      <c r="BS10" s="26">
        <f t="shared" si="20"/>
        <v>-0.49572649572649574</v>
      </c>
      <c r="BT10" s="2"/>
      <c r="BU10" s="2"/>
      <c r="BV10" s="24">
        <f t="shared" si="13"/>
        <v>-0.53333316437623568</v>
      </c>
      <c r="BW10" s="24">
        <f t="shared" si="14"/>
        <v>-1.2401582674379374</v>
      </c>
      <c r="BX10" s="24">
        <f t="shared" si="15"/>
        <v>-0.83913725229001912</v>
      </c>
      <c r="CA10" s="9">
        <f t="shared" si="16"/>
        <v>0.2186073816914943</v>
      </c>
      <c r="CB10" s="9">
        <f t="shared" si="16"/>
        <v>1.9459071500125971</v>
      </c>
      <c r="CC10" s="9">
        <f t="shared" si="16"/>
        <v>3.068797457402999</v>
      </c>
      <c r="CD10" s="9">
        <f t="shared" si="16"/>
        <v>2.8751683528871887</v>
      </c>
      <c r="CE10" s="9">
        <f t="shared" si="16"/>
        <v>2.3009656663474876</v>
      </c>
      <c r="CF10" s="9">
        <f t="shared" si="21"/>
        <v>0.2186073816914943</v>
      </c>
      <c r="CI10" s="2" t="str">
        <f t="array" ref="CI10">INDEX($CA$6:$CE$6,,MATCH(MIN(CA10:CE10),CA10:CE10,0))</f>
        <v>Cluster 1</v>
      </c>
      <c r="CJ10" s="10" t="str">
        <f>INDEX($CA$1:$CE$1,,MATCH(CI10,$CA$6:$CE$6,0))</f>
        <v>Diet Coke</v>
      </c>
      <c r="CK10" s="35" t="str">
        <f t="shared" si="24"/>
        <v>Diet Coke</v>
      </c>
      <c r="CL10" s="2" t="str">
        <f t="shared" si="17"/>
        <v/>
      </c>
      <c r="CM10" s="20"/>
      <c r="CN10" s="2" t="s">
        <v>100</v>
      </c>
      <c r="CO10" s="10" t="s">
        <v>87</v>
      </c>
      <c r="CP10" s="2">
        <f>COUNTIFS(CJ:CJ,CO10)</f>
        <v>5</v>
      </c>
      <c r="CS10" t="s">
        <v>85</v>
      </c>
      <c r="CT10" t="s">
        <v>85</v>
      </c>
      <c r="CU10">
        <v>29</v>
      </c>
    </row>
    <row r="11" spans="2:99">
      <c r="B11" s="18" t="s">
        <v>56</v>
      </c>
      <c r="C11" s="5">
        <v>4.5</v>
      </c>
      <c r="D11" s="19" t="s">
        <v>39</v>
      </c>
      <c r="E11" s="19" t="s">
        <v>42</v>
      </c>
      <c r="H11">
        <v>5</v>
      </c>
      <c r="I11">
        <v>5</v>
      </c>
      <c r="J11">
        <v>8</v>
      </c>
      <c r="K11">
        <v>12</v>
      </c>
      <c r="L11">
        <v>15</v>
      </c>
      <c r="M11">
        <v>18</v>
      </c>
      <c r="N11">
        <v>11</v>
      </c>
      <c r="O11">
        <v>14</v>
      </c>
      <c r="P11">
        <v>17</v>
      </c>
      <c r="Q11">
        <v>19</v>
      </c>
      <c r="R11">
        <v>20</v>
      </c>
      <c r="S11">
        <v>1</v>
      </c>
      <c r="T11">
        <v>2</v>
      </c>
      <c r="U11">
        <v>4</v>
      </c>
      <c r="V11">
        <v>7</v>
      </c>
      <c r="W11">
        <v>10</v>
      </c>
      <c r="X11">
        <v>3</v>
      </c>
      <c r="Y11">
        <v>6</v>
      </c>
      <c r="Z11">
        <v>9</v>
      </c>
      <c r="AA11">
        <v>13</v>
      </c>
      <c r="AB11">
        <v>16</v>
      </c>
      <c r="AD11" s="2">
        <f t="shared" si="3"/>
        <v>20</v>
      </c>
      <c r="AE11" s="2">
        <f t="shared" si="3"/>
        <v>30</v>
      </c>
      <c r="AF11" s="2">
        <f t="shared" si="3"/>
        <v>42</v>
      </c>
      <c r="AG11" s="2">
        <f t="shared" si="3"/>
        <v>54</v>
      </c>
      <c r="AH11" s="2">
        <f t="shared" si="3"/>
        <v>64</v>
      </c>
      <c r="AI11" s="2">
        <f t="shared" si="4"/>
        <v>139</v>
      </c>
      <c r="AJ11" s="2">
        <f t="shared" si="4"/>
        <v>71</v>
      </c>
      <c r="AK11" s="2">
        <f t="shared" si="5"/>
        <v>82</v>
      </c>
      <c r="AL11" s="2">
        <f t="shared" si="5"/>
        <v>128</v>
      </c>
      <c r="AN11" s="24">
        <f t="shared" ref="AN11:AV11" si="26">(AD11-MIN($AD11:$AL11))/(MAX($AD11:$AL11)-MIN($AD11:$AL11))</f>
        <v>0</v>
      </c>
      <c r="AO11" s="24">
        <f t="shared" si="26"/>
        <v>8.4033613445378158E-2</v>
      </c>
      <c r="AP11" s="24">
        <f t="shared" si="26"/>
        <v>0.18487394957983194</v>
      </c>
      <c r="AQ11" s="24">
        <f t="shared" si="26"/>
        <v>0.2857142857142857</v>
      </c>
      <c r="AR11" s="24">
        <f t="shared" si="26"/>
        <v>0.36974789915966388</v>
      </c>
      <c r="AS11" s="24">
        <f t="shared" si="26"/>
        <v>1</v>
      </c>
      <c r="AT11" s="24">
        <f t="shared" si="26"/>
        <v>0.42857142857142855</v>
      </c>
      <c r="AU11" s="24">
        <f t="shared" si="26"/>
        <v>0.52100840336134457</v>
      </c>
      <c r="AV11" s="24">
        <f t="shared" si="26"/>
        <v>0.90756302521008403</v>
      </c>
      <c r="AX11" s="26">
        <f t="shared" si="7"/>
        <v>0.36974789915966388</v>
      </c>
      <c r="AY11" s="26">
        <f t="shared" si="8"/>
        <v>0.5714285714285714</v>
      </c>
      <c r="AZ11" s="26">
        <f t="shared" si="9"/>
        <v>0.38655462184873945</v>
      </c>
      <c r="BB11" s="26">
        <f t="shared" si="10"/>
        <v>0.27848101265822789</v>
      </c>
      <c r="BC11" s="26">
        <f t="shared" si="11"/>
        <v>0.43037974683544306</v>
      </c>
      <c r="BD11" s="26">
        <f t="shared" si="12"/>
        <v>0.29113924050632911</v>
      </c>
      <c r="BF11" s="20" t="str">
        <f t="array" ref="BF11">INDEX($BB$6:$BD$6,,MATCH(MAX(BB11:BD11),BB11:BD11,0))</f>
        <v>Brand</v>
      </c>
      <c r="BG11" s="20" t="str">
        <f t="array" ref="BG11">INDEX(BH11:BJ11,,MATCH(BF11,$BH$6:$BJ$6,0))</f>
        <v>Pepsi</v>
      </c>
      <c r="BH11" s="6">
        <f t="array" ref="BH11">INDEX($AN$6:$AR$6,,MATCH(MIN(AN11:AR11),AN11:AR11,0))</f>
        <v>3.5</v>
      </c>
      <c r="BI11" s="31" t="str">
        <f t="array" ref="BI11">INDEX($AS$6:$AT$6,,MATCH(MIN(AS11:AT11),AS11:AT11,0))</f>
        <v>Pepsi</v>
      </c>
      <c r="BJ11" s="31" t="str">
        <f t="array" ref="BJ11">INDEX($AU$6:$AV$6,,MATCH(MIN(AU11:AV11),AU11:AV11,0))</f>
        <v>Diet</v>
      </c>
      <c r="BL11" s="7">
        <f>COUNTIFS(BF:BF,BM11,BG:BG,BN11)</f>
        <v>4</v>
      </c>
      <c r="BM11" s="2" t="s">
        <v>37</v>
      </c>
      <c r="BN11" s="35">
        <v>3.5</v>
      </c>
      <c r="BQ11" s="26">
        <f t="shared" si="23"/>
        <v>0.36974789915966388</v>
      </c>
      <c r="BR11" s="26">
        <f t="shared" si="19"/>
        <v>0.5714285714285714</v>
      </c>
      <c r="BS11" s="26">
        <f t="shared" si="20"/>
        <v>-0.38655462184873945</v>
      </c>
      <c r="BT11" s="2"/>
      <c r="BU11" s="2"/>
      <c r="BV11" s="24">
        <f t="shared" si="13"/>
        <v>-0.28362734390937122</v>
      </c>
      <c r="BW11" s="24">
        <f t="shared" si="14"/>
        <v>1.0944585495359525</v>
      </c>
      <c r="BX11" s="24">
        <f t="shared" si="15"/>
        <v>-0.5816238768588522</v>
      </c>
      <c r="CA11" s="9">
        <f t="shared" si="16"/>
        <v>2.3187018230919034</v>
      </c>
      <c r="CB11" s="9">
        <f t="shared" si="16"/>
        <v>2.8295500446821729</v>
      </c>
      <c r="CC11" s="9">
        <f t="shared" si="16"/>
        <v>1.7125500000103835</v>
      </c>
      <c r="CD11" s="9">
        <f t="shared" si="16"/>
        <v>2.339950603224024</v>
      </c>
      <c r="CE11" s="9">
        <f t="shared" si="16"/>
        <v>0.63603287062831615</v>
      </c>
      <c r="CF11" s="9">
        <f t="shared" si="21"/>
        <v>0.63603287062831615</v>
      </c>
      <c r="CI11" s="2" t="str">
        <f t="array" ref="CI11">INDEX($CA$6:$CE$6,,MATCH(MIN(CA11:CE11),CA11:CE11,0))</f>
        <v>Cluster 5</v>
      </c>
      <c r="CJ11" s="10" t="str">
        <f t="array" ref="CJ11">INDEX($CA$1:$CE$1,,MATCH(CI11,$CA$6:$CE$6,0))</f>
        <v>Diet Pepsi</v>
      </c>
      <c r="CK11" s="35" t="str">
        <f t="shared" si="24"/>
        <v>Diet Pepsi</v>
      </c>
      <c r="CL11" s="2" t="str">
        <f t="shared" si="17"/>
        <v/>
      </c>
      <c r="CM11" s="20"/>
      <c r="CN11" s="2" t="s">
        <v>98</v>
      </c>
      <c r="CO11" s="10" t="s">
        <v>85</v>
      </c>
      <c r="CP11" s="2">
        <f>COUNTIFS(CJ:CJ,CO11)</f>
        <v>4</v>
      </c>
    </row>
    <row r="12" spans="2:99">
      <c r="B12" s="18" t="s">
        <v>57</v>
      </c>
      <c r="C12" s="5">
        <v>3.5</v>
      </c>
      <c r="D12" s="19" t="s">
        <v>39</v>
      </c>
      <c r="E12" s="19" t="s">
        <v>43</v>
      </c>
      <c r="H12">
        <v>6</v>
      </c>
      <c r="I12">
        <v>4</v>
      </c>
      <c r="J12">
        <v>7</v>
      </c>
      <c r="K12">
        <v>10</v>
      </c>
      <c r="L12">
        <v>12</v>
      </c>
      <c r="M12">
        <v>15</v>
      </c>
      <c r="N12">
        <v>1</v>
      </c>
      <c r="O12">
        <v>2</v>
      </c>
      <c r="P12">
        <v>3</v>
      </c>
      <c r="Q12">
        <v>5</v>
      </c>
      <c r="R12">
        <v>8</v>
      </c>
      <c r="S12">
        <v>13</v>
      </c>
      <c r="T12">
        <v>16</v>
      </c>
      <c r="U12">
        <v>18</v>
      </c>
      <c r="V12">
        <v>19</v>
      </c>
      <c r="W12">
        <v>20</v>
      </c>
      <c r="X12">
        <v>6</v>
      </c>
      <c r="Y12">
        <v>9</v>
      </c>
      <c r="Z12">
        <v>11</v>
      </c>
      <c r="AA12">
        <v>14</v>
      </c>
      <c r="AB12">
        <v>17</v>
      </c>
      <c r="AD12" s="2">
        <f t="shared" si="3"/>
        <v>24</v>
      </c>
      <c r="AE12" s="2">
        <f t="shared" si="3"/>
        <v>34</v>
      </c>
      <c r="AF12" s="2">
        <f t="shared" si="3"/>
        <v>42</v>
      </c>
      <c r="AG12" s="2">
        <f t="shared" si="3"/>
        <v>50</v>
      </c>
      <c r="AH12" s="2">
        <f t="shared" si="3"/>
        <v>60</v>
      </c>
      <c r="AI12" s="2">
        <f t="shared" si="4"/>
        <v>67</v>
      </c>
      <c r="AJ12" s="2">
        <f t="shared" si="4"/>
        <v>143</v>
      </c>
      <c r="AK12" s="2">
        <f t="shared" si="5"/>
        <v>134</v>
      </c>
      <c r="AL12" s="2">
        <f t="shared" si="5"/>
        <v>76</v>
      </c>
      <c r="AN12" s="24">
        <f t="shared" ref="AN12:AV12" si="27">(AD12-MIN($AD12:$AL12))/(MAX($AD12:$AL12)-MIN($AD12:$AL12))</f>
        <v>0</v>
      </c>
      <c r="AO12" s="24">
        <f t="shared" si="27"/>
        <v>8.4033613445378158E-2</v>
      </c>
      <c r="AP12" s="24">
        <f t="shared" si="27"/>
        <v>0.15126050420168066</v>
      </c>
      <c r="AQ12" s="24">
        <f t="shared" si="27"/>
        <v>0.21848739495798319</v>
      </c>
      <c r="AR12" s="24">
        <f t="shared" si="27"/>
        <v>0.30252100840336132</v>
      </c>
      <c r="AS12" s="24">
        <f t="shared" si="27"/>
        <v>0.36134453781512604</v>
      </c>
      <c r="AT12" s="24">
        <f t="shared" si="27"/>
        <v>1</v>
      </c>
      <c r="AU12" s="24">
        <f t="shared" si="27"/>
        <v>0.92436974789915971</v>
      </c>
      <c r="AV12" s="24">
        <f t="shared" si="27"/>
        <v>0.43697478991596639</v>
      </c>
      <c r="AX12" s="26">
        <f t="shared" si="7"/>
        <v>0.30252100840336132</v>
      </c>
      <c r="AY12" s="26">
        <f t="shared" si="8"/>
        <v>0.6386554621848739</v>
      </c>
      <c r="AZ12" s="26">
        <f t="shared" si="9"/>
        <v>0.48739495798319332</v>
      </c>
      <c r="BB12" s="26">
        <f t="shared" si="10"/>
        <v>0.21176470588235291</v>
      </c>
      <c r="BC12" s="26">
        <f t="shared" si="11"/>
        <v>0.44705882352941173</v>
      </c>
      <c r="BD12" s="26">
        <f t="shared" si="12"/>
        <v>0.3411764705882353</v>
      </c>
      <c r="BF12" s="20" t="str">
        <f t="array" ref="BF12">INDEX($BB$6:$BD$6,,MATCH(MAX(BB12:BD12),BB12:BD12,0))</f>
        <v>Brand</v>
      </c>
      <c r="BG12" s="20" t="str">
        <f t="array" ref="BG12">INDEX(BH12:BJ12,,MATCH(BF12,$BH$6:$BJ$6,0))</f>
        <v>Coke</v>
      </c>
      <c r="BH12" s="6">
        <f t="array" ref="BH12">INDEX($AN$6:$AR$6,,MATCH(MIN(AN12:AR12),AN12:AR12,0))</f>
        <v>3.5</v>
      </c>
      <c r="BI12" s="31" t="str">
        <f t="array" ref="BI12">INDEX($AS$6:$AT$6,,MATCH(MIN(AS12:AT12),AS12:AT12,0))</f>
        <v>Coke</v>
      </c>
      <c r="BJ12" s="31" t="str">
        <f t="array" ref="BJ12">INDEX($AU$6:$AV$6,,MATCH(MIN(AU12:AV12),AU12:AV12,0))</f>
        <v>Regular</v>
      </c>
      <c r="BQ12" s="26">
        <f t="shared" si="23"/>
        <v>0.30252100840336132</v>
      </c>
      <c r="BR12" s="26">
        <f t="shared" si="19"/>
        <v>-0.6386554621848739</v>
      </c>
      <c r="BS12" s="26">
        <f t="shared" si="20"/>
        <v>0.48739495798319332</v>
      </c>
      <c r="BT12" s="2"/>
      <c r="BU12" s="2"/>
      <c r="BV12" s="24">
        <f t="shared" si="13"/>
        <v>-0.88601045720057003</v>
      </c>
      <c r="BW12" s="24">
        <f t="shared" si="14"/>
        <v>-1.3565399631993478</v>
      </c>
      <c r="BX12" s="24">
        <f t="shared" si="15"/>
        <v>1.4798384601453838</v>
      </c>
      <c r="CA12" s="9">
        <f t="shared" si="16"/>
        <v>2.5584201777399973</v>
      </c>
      <c r="CB12" s="9">
        <f t="shared" si="16"/>
        <v>0.50272273912133558</v>
      </c>
      <c r="CC12" s="9">
        <f t="shared" si="16"/>
        <v>2.5365284551626921</v>
      </c>
      <c r="CD12" s="9">
        <f t="shared" si="16"/>
        <v>3.4311368300767393</v>
      </c>
      <c r="CE12" s="9">
        <f t="shared" si="16"/>
        <v>3.6006763384086575</v>
      </c>
      <c r="CF12" s="9">
        <f t="shared" si="21"/>
        <v>0.50272273912133558</v>
      </c>
      <c r="CI12" s="2" t="str">
        <f t="array" ref="CI12">INDEX($CA$6:$CE$6,,MATCH(MIN(CA12:CE12),CA12:CE12,0))</f>
        <v>Cluster 2</v>
      </c>
      <c r="CJ12" s="10" t="str">
        <f t="array" ref="CJ12">INDEX($CA$1:$CE$1,,MATCH(CI12,$CA$6:$CE$6,0))</f>
        <v>Regular Coke</v>
      </c>
      <c r="CK12" s="35" t="str">
        <f t="shared" si="24"/>
        <v>Regular Coke</v>
      </c>
      <c r="CL12" s="2" t="str">
        <f t="shared" si="17"/>
        <v/>
      </c>
      <c r="CM12" s="20"/>
      <c r="CS12" t="s">
        <v>84</v>
      </c>
      <c r="CT12" t="s">
        <v>88</v>
      </c>
      <c r="CU12">
        <v>14</v>
      </c>
    </row>
    <row r="13" spans="2:99">
      <c r="B13" s="18" t="s">
        <v>58</v>
      </c>
      <c r="C13" s="5">
        <v>3.75</v>
      </c>
      <c r="D13" s="19" t="s">
        <v>39</v>
      </c>
      <c r="E13" s="19" t="s">
        <v>43</v>
      </c>
      <c r="H13">
        <v>7</v>
      </c>
      <c r="I13">
        <v>4</v>
      </c>
      <c r="J13">
        <v>7</v>
      </c>
      <c r="K13">
        <v>11</v>
      </c>
      <c r="L13">
        <v>15</v>
      </c>
      <c r="M13">
        <v>18</v>
      </c>
      <c r="N13">
        <v>9</v>
      </c>
      <c r="O13">
        <v>13</v>
      </c>
      <c r="P13">
        <v>16</v>
      </c>
      <c r="Q13">
        <v>19</v>
      </c>
      <c r="R13">
        <v>20</v>
      </c>
      <c r="S13">
        <v>1</v>
      </c>
      <c r="T13">
        <v>2</v>
      </c>
      <c r="U13">
        <v>5</v>
      </c>
      <c r="V13">
        <v>8</v>
      </c>
      <c r="W13">
        <v>12</v>
      </c>
      <c r="X13">
        <v>3</v>
      </c>
      <c r="Y13">
        <v>6</v>
      </c>
      <c r="Z13">
        <v>10</v>
      </c>
      <c r="AA13">
        <v>14</v>
      </c>
      <c r="AB13">
        <v>17</v>
      </c>
      <c r="AD13" s="2">
        <f t="shared" si="3"/>
        <v>17</v>
      </c>
      <c r="AE13" s="2">
        <f t="shared" si="3"/>
        <v>28</v>
      </c>
      <c r="AF13" s="2">
        <f t="shared" si="3"/>
        <v>42</v>
      </c>
      <c r="AG13" s="2">
        <f t="shared" si="3"/>
        <v>56</v>
      </c>
      <c r="AH13" s="2">
        <f t="shared" si="3"/>
        <v>67</v>
      </c>
      <c r="AI13" s="2">
        <f t="shared" si="4"/>
        <v>132</v>
      </c>
      <c r="AJ13" s="2">
        <f t="shared" si="4"/>
        <v>78</v>
      </c>
      <c r="AK13" s="2">
        <f t="shared" si="5"/>
        <v>83</v>
      </c>
      <c r="AL13" s="2">
        <f t="shared" si="5"/>
        <v>127</v>
      </c>
      <c r="AN13" s="24">
        <f t="shared" ref="AN13:AV13" si="28">(AD13-MIN($AD13:$AL13))/(MAX($AD13:$AL13)-MIN($AD13:$AL13))</f>
        <v>0</v>
      </c>
      <c r="AO13" s="24">
        <f t="shared" si="28"/>
        <v>9.5652173913043481E-2</v>
      </c>
      <c r="AP13" s="24">
        <f t="shared" si="28"/>
        <v>0.21739130434782608</v>
      </c>
      <c r="AQ13" s="24">
        <f t="shared" si="28"/>
        <v>0.33913043478260868</v>
      </c>
      <c r="AR13" s="24">
        <f t="shared" si="28"/>
        <v>0.43478260869565216</v>
      </c>
      <c r="AS13" s="24">
        <f t="shared" si="28"/>
        <v>1</v>
      </c>
      <c r="AT13" s="24">
        <f t="shared" si="28"/>
        <v>0.5304347826086957</v>
      </c>
      <c r="AU13" s="24">
        <f t="shared" si="28"/>
        <v>0.57391304347826089</v>
      </c>
      <c r="AV13" s="24">
        <f t="shared" si="28"/>
        <v>0.95652173913043481</v>
      </c>
      <c r="AX13" s="26">
        <f t="shared" si="7"/>
        <v>0.43478260869565216</v>
      </c>
      <c r="AY13" s="26">
        <f t="shared" si="8"/>
        <v>0.4695652173913043</v>
      </c>
      <c r="AZ13" s="26">
        <f t="shared" si="9"/>
        <v>0.38260869565217392</v>
      </c>
      <c r="BB13" s="26">
        <f t="shared" si="10"/>
        <v>0.33783783783783783</v>
      </c>
      <c r="BC13" s="26">
        <f t="shared" si="11"/>
        <v>0.36486486486486486</v>
      </c>
      <c r="BD13" s="26">
        <f t="shared" si="12"/>
        <v>0.29729729729729731</v>
      </c>
      <c r="BF13" s="20" t="str">
        <f t="array" ref="BF13">INDEX($BB$6:$BD$6,,MATCH(MAX(BB13:BD13),BB13:BD13,0))</f>
        <v>Brand</v>
      </c>
      <c r="BG13" s="20" t="str">
        <f t="array" ref="BG13">INDEX(BH13:BJ13,,MATCH(BF13,$BH$6:$BJ$6,0))</f>
        <v>Pepsi</v>
      </c>
      <c r="BH13" s="6">
        <f t="array" ref="BH13">INDEX($AN$6:$AR$6,,MATCH(MIN(AN13:AR13),AN13:AR13,0))</f>
        <v>3.5</v>
      </c>
      <c r="BI13" s="31" t="str">
        <f t="array" ref="BI13">INDEX($AS$6:$AT$6,,MATCH(MIN(AS13:AT13),AS13:AT13,0))</f>
        <v>Pepsi</v>
      </c>
      <c r="BJ13" s="31" t="str">
        <f t="array" ref="BJ13">INDEX($AU$6:$AV$6,,MATCH(MIN(AU13:AV13),AU13:AV13,0))</f>
        <v>Diet</v>
      </c>
      <c r="BQ13" s="26">
        <f t="shared" si="23"/>
        <v>0.43478260869565216</v>
      </c>
      <c r="BR13" s="26">
        <f t="shared" si="19"/>
        <v>0.4695652173913043</v>
      </c>
      <c r="BS13" s="26">
        <f t="shared" si="20"/>
        <v>-0.38260869565217392</v>
      </c>
      <c r="BT13" s="2"/>
      <c r="BU13" s="2"/>
      <c r="BV13" s="24">
        <f t="shared" si="13"/>
        <v>0.29911284177450526</v>
      </c>
      <c r="BW13" s="24">
        <f t="shared" si="14"/>
        <v>0.88813657328275153</v>
      </c>
      <c r="BX13" s="24">
        <f t="shared" si="15"/>
        <v>-0.57231627098943516</v>
      </c>
      <c r="CA13" s="9">
        <f t="shared" si="16"/>
        <v>2.2499091085061642</v>
      </c>
      <c r="CB13" s="9">
        <f t="shared" si="16"/>
        <v>2.7972339183961115</v>
      </c>
      <c r="CC13" s="9">
        <f t="shared" si="16"/>
        <v>1.8878418901925993</v>
      </c>
      <c r="CD13" s="9">
        <f t="shared" si="16"/>
        <v>1.7482607817539935</v>
      </c>
      <c r="CE13" s="9">
        <f t="shared" si="16"/>
        <v>1.0036279101415437</v>
      </c>
      <c r="CF13" s="9">
        <f t="shared" si="21"/>
        <v>1.0036279101415437</v>
      </c>
      <c r="CI13" s="2" t="str">
        <f t="array" ref="CI13">INDEX($CA$6:$CE$6,,MATCH(MIN(CA13:CE13),CA13:CE13,0))</f>
        <v>Cluster 5</v>
      </c>
      <c r="CJ13" s="10" t="str">
        <f>INDEX($CA$1:$CE$1,,MATCH(CI13,$CA$6:$CE$6,0))</f>
        <v>Diet Pepsi</v>
      </c>
      <c r="CK13" s="35" t="str">
        <f t="shared" si="24"/>
        <v>Diet Pepsi</v>
      </c>
      <c r="CL13" s="2" t="str">
        <f t="shared" si="17"/>
        <v/>
      </c>
      <c r="CM13" s="20"/>
      <c r="CN13"/>
      <c r="CO13"/>
      <c r="CS13" t="s">
        <v>86</v>
      </c>
      <c r="CT13" t="s">
        <v>88</v>
      </c>
      <c r="CU13">
        <v>10</v>
      </c>
    </row>
    <row r="14" spans="2:99">
      <c r="B14" s="18" t="s">
        <v>59</v>
      </c>
      <c r="C14" s="5">
        <v>4</v>
      </c>
      <c r="D14" s="19" t="s">
        <v>39</v>
      </c>
      <c r="E14" s="19" t="s">
        <v>43</v>
      </c>
      <c r="H14">
        <v>8</v>
      </c>
      <c r="I14">
        <v>12</v>
      </c>
      <c r="J14">
        <v>15</v>
      </c>
      <c r="K14">
        <v>17</v>
      </c>
      <c r="L14">
        <v>19</v>
      </c>
      <c r="M14">
        <v>20</v>
      </c>
      <c r="N14">
        <v>3</v>
      </c>
      <c r="O14">
        <v>5</v>
      </c>
      <c r="P14">
        <v>8</v>
      </c>
      <c r="Q14">
        <v>11</v>
      </c>
      <c r="R14">
        <v>14</v>
      </c>
      <c r="S14">
        <v>7</v>
      </c>
      <c r="T14">
        <v>10</v>
      </c>
      <c r="U14">
        <v>13</v>
      </c>
      <c r="V14">
        <v>16</v>
      </c>
      <c r="W14">
        <v>18</v>
      </c>
      <c r="X14">
        <v>1</v>
      </c>
      <c r="Y14">
        <v>2</v>
      </c>
      <c r="Z14">
        <v>4</v>
      </c>
      <c r="AA14">
        <v>6</v>
      </c>
      <c r="AB14">
        <v>9</v>
      </c>
      <c r="AD14" s="2">
        <f t="shared" si="3"/>
        <v>23</v>
      </c>
      <c r="AE14" s="2">
        <f t="shared" si="3"/>
        <v>32</v>
      </c>
      <c r="AF14" s="2">
        <f t="shared" si="3"/>
        <v>42</v>
      </c>
      <c r="AG14" s="2">
        <f t="shared" si="3"/>
        <v>52</v>
      </c>
      <c r="AH14" s="2">
        <f t="shared" si="3"/>
        <v>61</v>
      </c>
      <c r="AI14" s="2">
        <f t="shared" si="4"/>
        <v>124</v>
      </c>
      <c r="AJ14" s="2">
        <f t="shared" si="4"/>
        <v>86</v>
      </c>
      <c r="AK14" s="2">
        <f t="shared" si="5"/>
        <v>147</v>
      </c>
      <c r="AL14" s="2">
        <f t="shared" si="5"/>
        <v>63</v>
      </c>
      <c r="AN14" s="24">
        <f t="shared" ref="AN14:AV14" si="29">(AD14-MIN($AD14:$AL14))/(MAX($AD14:$AL14)-MIN($AD14:$AL14))</f>
        <v>0</v>
      </c>
      <c r="AO14" s="24">
        <f t="shared" si="29"/>
        <v>7.2580645161290328E-2</v>
      </c>
      <c r="AP14" s="24">
        <f t="shared" si="29"/>
        <v>0.15322580645161291</v>
      </c>
      <c r="AQ14" s="24">
        <f t="shared" si="29"/>
        <v>0.23387096774193547</v>
      </c>
      <c r="AR14" s="24">
        <f t="shared" si="29"/>
        <v>0.30645161290322581</v>
      </c>
      <c r="AS14" s="24">
        <f t="shared" si="29"/>
        <v>0.81451612903225812</v>
      </c>
      <c r="AT14" s="24">
        <f t="shared" si="29"/>
        <v>0.50806451612903225</v>
      </c>
      <c r="AU14" s="24">
        <f t="shared" si="29"/>
        <v>1</v>
      </c>
      <c r="AV14" s="24">
        <f t="shared" si="29"/>
        <v>0.32258064516129031</v>
      </c>
      <c r="AX14" s="26">
        <f t="shared" si="7"/>
        <v>0.30645161290322581</v>
      </c>
      <c r="AY14" s="26">
        <f t="shared" si="8"/>
        <v>0.30645161290322587</v>
      </c>
      <c r="AZ14" s="26">
        <f t="shared" si="9"/>
        <v>0.67741935483870974</v>
      </c>
      <c r="BB14" s="26">
        <f t="shared" si="10"/>
        <v>0.23749999999999996</v>
      </c>
      <c r="BC14" s="26">
        <f t="shared" si="11"/>
        <v>0.23750000000000002</v>
      </c>
      <c r="BD14" s="26">
        <f t="shared" si="12"/>
        <v>0.52500000000000002</v>
      </c>
      <c r="BF14" s="20" t="str">
        <f t="array" ref="BF14">INDEX($BB$6:$BD$6,,MATCH(MAX(BB14:BD14),BB14:BD14,0))</f>
        <v>Sugar</v>
      </c>
      <c r="BG14" s="20" t="str">
        <f t="array" ref="BG14">INDEX(BH14:BJ14,,MATCH(BF14,$BH$6:$BJ$6,0))</f>
        <v>Regular</v>
      </c>
      <c r="BH14" s="6">
        <f t="array" ref="BH14">INDEX($AN$6:$AR$6,,MATCH(MIN(AN14:AR14),AN14:AR14,0))</f>
        <v>3.5</v>
      </c>
      <c r="BI14" s="31" t="str">
        <f t="array" ref="BI14">INDEX($AS$6:$AT$6,,MATCH(MIN(AS14:AT14),AS14:AT14,0))</f>
        <v>Pepsi</v>
      </c>
      <c r="BJ14" s="31" t="str">
        <f t="array" ref="BJ14">INDEX($AU$6:$AV$6,,MATCH(MIN(AU14:AV14),AU14:AV14,0))</f>
        <v>Regular</v>
      </c>
      <c r="BL14" s="7">
        <f>COUNTIFS(BF:BF,BM14)</f>
        <v>11</v>
      </c>
      <c r="BM14" s="2" t="s">
        <v>38</v>
      </c>
      <c r="BQ14" s="26">
        <f t="shared" si="23"/>
        <v>0.30645161290322581</v>
      </c>
      <c r="BR14" s="26">
        <f t="shared" si="19"/>
        <v>0.30645161290322587</v>
      </c>
      <c r="BS14" s="26">
        <f t="shared" si="20"/>
        <v>0.67741935483870974</v>
      </c>
      <c r="BT14" s="2"/>
      <c r="BU14" s="2"/>
      <c r="BV14" s="24">
        <f t="shared" si="13"/>
        <v>-0.85079047678636666</v>
      </c>
      <c r="BW14" s="24">
        <f t="shared" si="14"/>
        <v>0.55775356606848947</v>
      </c>
      <c r="BX14" s="24">
        <f t="shared" si="15"/>
        <v>1.9280658479369375</v>
      </c>
      <c r="CA14" s="9">
        <f t="shared" si="16"/>
        <v>3.4537030158673625</v>
      </c>
      <c r="CB14" s="9">
        <f t="shared" si="16"/>
        <v>1.9136994702140995</v>
      </c>
      <c r="CC14" s="9">
        <f t="shared" si="16"/>
        <v>1.047585944199511</v>
      </c>
      <c r="CD14" s="9">
        <f t="shared" si="16"/>
        <v>3.2812354775564674</v>
      </c>
      <c r="CE14" s="9">
        <f t="shared" si="16"/>
        <v>3.1678111166910168</v>
      </c>
      <c r="CF14" s="9">
        <f t="shared" si="21"/>
        <v>1.047585944199511</v>
      </c>
      <c r="CI14" s="2" t="str">
        <f t="array" ref="CI14">INDEX($CA$6:$CE$6,,MATCH(MIN(CA14:CE14),CA14:CE14,0))</f>
        <v>Cluster 3</v>
      </c>
      <c r="CJ14" s="10" t="str">
        <f t="array" ref="CJ14">INDEX($CA$1:$CE$1,,MATCH(CI14,$CA$6:$CE$6,0))</f>
        <v>Regular Pepsi</v>
      </c>
      <c r="CK14" s="35" t="str">
        <f t="shared" si="24"/>
        <v>Regular Pepsi</v>
      </c>
      <c r="CL14" s="2" t="str">
        <f t="shared" si="17"/>
        <v/>
      </c>
      <c r="CM14" s="20"/>
      <c r="CN14"/>
      <c r="CO14"/>
      <c r="CS14" t="s">
        <v>85</v>
      </c>
      <c r="CT14" t="s">
        <v>88</v>
      </c>
      <c r="CU14">
        <v>1</v>
      </c>
    </row>
    <row r="15" spans="2:99">
      <c r="B15" s="18" t="s">
        <v>60</v>
      </c>
      <c r="C15" s="5">
        <v>4.25</v>
      </c>
      <c r="D15" s="19" t="s">
        <v>39</v>
      </c>
      <c r="E15" s="19" t="s">
        <v>43</v>
      </c>
      <c r="H15">
        <v>9</v>
      </c>
      <c r="I15">
        <v>4</v>
      </c>
      <c r="J15">
        <v>7</v>
      </c>
      <c r="K15">
        <v>10</v>
      </c>
      <c r="L15">
        <v>13</v>
      </c>
      <c r="M15">
        <v>16</v>
      </c>
      <c r="N15">
        <v>12</v>
      </c>
      <c r="O15">
        <v>15</v>
      </c>
      <c r="P15">
        <v>18</v>
      </c>
      <c r="Q15">
        <v>19</v>
      </c>
      <c r="R15">
        <v>20</v>
      </c>
      <c r="S15">
        <v>1</v>
      </c>
      <c r="T15">
        <v>2</v>
      </c>
      <c r="U15">
        <v>3</v>
      </c>
      <c r="V15">
        <v>6</v>
      </c>
      <c r="W15">
        <v>9</v>
      </c>
      <c r="X15">
        <v>5</v>
      </c>
      <c r="Y15">
        <v>8</v>
      </c>
      <c r="Z15">
        <v>11</v>
      </c>
      <c r="AA15">
        <v>14</v>
      </c>
      <c r="AB15">
        <v>17</v>
      </c>
      <c r="AD15" s="2">
        <f t="shared" si="3"/>
        <v>22</v>
      </c>
      <c r="AE15" s="2">
        <f t="shared" si="3"/>
        <v>32</v>
      </c>
      <c r="AF15" s="2">
        <f t="shared" si="3"/>
        <v>42</v>
      </c>
      <c r="AG15" s="2">
        <f t="shared" si="3"/>
        <v>52</v>
      </c>
      <c r="AH15" s="2">
        <f t="shared" si="3"/>
        <v>62</v>
      </c>
      <c r="AI15" s="2">
        <f t="shared" si="4"/>
        <v>134</v>
      </c>
      <c r="AJ15" s="2">
        <f t="shared" si="4"/>
        <v>76</v>
      </c>
      <c r="AK15" s="2">
        <f t="shared" si="5"/>
        <v>71</v>
      </c>
      <c r="AL15" s="2">
        <f t="shared" si="5"/>
        <v>139</v>
      </c>
      <c r="AN15" s="24">
        <f t="shared" ref="AN15:AV15" si="30">(AD15-MIN($AD15:$AL15))/(MAX($AD15:$AL15)-MIN($AD15:$AL15))</f>
        <v>0</v>
      </c>
      <c r="AO15" s="24">
        <f t="shared" si="30"/>
        <v>8.5470085470085472E-2</v>
      </c>
      <c r="AP15" s="24">
        <f t="shared" si="30"/>
        <v>0.17094017094017094</v>
      </c>
      <c r="AQ15" s="24">
        <f t="shared" si="30"/>
        <v>0.25641025641025639</v>
      </c>
      <c r="AR15" s="24">
        <f t="shared" si="30"/>
        <v>0.34188034188034189</v>
      </c>
      <c r="AS15" s="24">
        <f t="shared" si="30"/>
        <v>0.95726495726495731</v>
      </c>
      <c r="AT15" s="24">
        <f t="shared" si="30"/>
        <v>0.46153846153846156</v>
      </c>
      <c r="AU15" s="24">
        <f t="shared" si="30"/>
        <v>0.41880341880341881</v>
      </c>
      <c r="AV15" s="24">
        <f t="shared" si="30"/>
        <v>1</v>
      </c>
      <c r="AX15" s="26">
        <f t="shared" si="7"/>
        <v>0.34188034188034189</v>
      </c>
      <c r="AY15" s="26">
        <f t="shared" si="8"/>
        <v>0.49572649572649574</v>
      </c>
      <c r="AZ15" s="26">
        <f t="shared" si="9"/>
        <v>0.58119658119658113</v>
      </c>
      <c r="BB15" s="26">
        <f t="shared" si="10"/>
        <v>0.24096385542168677</v>
      </c>
      <c r="BC15" s="26">
        <f t="shared" si="11"/>
        <v>0.34939759036144585</v>
      </c>
      <c r="BD15" s="26">
        <f t="shared" si="12"/>
        <v>0.40963855421686746</v>
      </c>
      <c r="BF15" s="20" t="str">
        <f t="array" ref="BF15">INDEX($BB$6:$BD$6,,MATCH(MAX(BB15:BD15),BB15:BD15,0))</f>
        <v>Sugar</v>
      </c>
      <c r="BG15" s="20" t="str">
        <f t="array" ref="BG15">INDEX(BH15:BJ15,,MATCH(BF15,$BH$6:$BJ$6,0))</f>
        <v>Diet</v>
      </c>
      <c r="BH15" s="6">
        <f t="array" ref="BH15">INDEX($AN$6:$AR$6,,MATCH(MIN(AN15:AR15),AN15:AR15,0))</f>
        <v>3.5</v>
      </c>
      <c r="BI15" s="31" t="str">
        <f t="array" ref="BI15">INDEX($AS$6:$AT$6,,MATCH(MIN(AS15:AT15),AS15:AT15,0))</f>
        <v>Pepsi</v>
      </c>
      <c r="BJ15" s="31" t="str">
        <f t="array" ref="BJ15">INDEX($AU$6:$AV$6,,MATCH(MIN(AU15:AV15),AU15:AV15,0))</f>
        <v>Diet</v>
      </c>
      <c r="BL15" s="7">
        <f>COUNTIFS(BF:BF,BM15)</f>
        <v>5</v>
      </c>
      <c r="BM15" s="2" t="s">
        <v>41</v>
      </c>
      <c r="BQ15" s="26">
        <f t="shared" si="23"/>
        <v>0.34188034188034189</v>
      </c>
      <c r="BR15" s="26">
        <f t="shared" si="19"/>
        <v>0.49572649572649574</v>
      </c>
      <c r="BS15" s="26">
        <f t="shared" si="20"/>
        <v>-0.58119658119658113</v>
      </c>
      <c r="BT15" s="2"/>
      <c r="BU15" s="2"/>
      <c r="BV15" s="24">
        <f t="shared" si="13"/>
        <v>-0.53333316437623568</v>
      </c>
      <c r="BW15" s="24">
        <f t="shared" si="14"/>
        <v>0.94112566537029463</v>
      </c>
      <c r="BX15" s="24">
        <f t="shared" si="15"/>
        <v>-1.0407431185815246</v>
      </c>
      <c r="CA15" s="9">
        <f t="shared" si="16"/>
        <v>2.1118674024955473</v>
      </c>
      <c r="CB15" s="9">
        <f t="shared" si="16"/>
        <v>2.9985052716930816</v>
      </c>
      <c r="CC15" s="9">
        <f t="shared" si="16"/>
        <v>2.1639147695593488</v>
      </c>
      <c r="CD15" s="9">
        <f t="shared" si="16"/>
        <v>2.6632011318143753</v>
      </c>
      <c r="CE15" s="9">
        <f t="shared" si="16"/>
        <v>0.17640960940110387</v>
      </c>
      <c r="CF15" s="9">
        <f t="shared" si="21"/>
        <v>0.17640960940110387</v>
      </c>
      <c r="CI15" s="2" t="str">
        <f t="array" ref="CI15">INDEX($CA$6:$CE$6,,MATCH(MIN(CA15:CE15),CA15:CE15,0))</f>
        <v>Cluster 5</v>
      </c>
      <c r="CJ15" s="10" t="str">
        <f t="array" ref="CJ15">INDEX($CA$1:$CE$1,,MATCH(CI15,$CA$6:$CE$6,0))</f>
        <v>Diet Pepsi</v>
      </c>
      <c r="CK15" s="35" t="str">
        <f t="shared" si="24"/>
        <v>Diet Pepsi</v>
      </c>
      <c r="CL15" s="2" t="str">
        <f t="shared" si="17"/>
        <v/>
      </c>
      <c r="CM15" s="20"/>
      <c r="CN15"/>
      <c r="CO15"/>
      <c r="CS15" t="s">
        <v>87</v>
      </c>
      <c r="CT15" t="s">
        <v>85</v>
      </c>
      <c r="CU15">
        <v>1</v>
      </c>
    </row>
    <row r="16" spans="2:99">
      <c r="B16" s="18" t="s">
        <v>61</v>
      </c>
      <c r="C16" s="5">
        <v>4.5</v>
      </c>
      <c r="D16" s="19" t="s">
        <v>39</v>
      </c>
      <c r="E16" s="19" t="s">
        <v>43</v>
      </c>
      <c r="H16">
        <v>10</v>
      </c>
      <c r="I16">
        <v>2</v>
      </c>
      <c r="J16">
        <v>6</v>
      </c>
      <c r="K16">
        <v>10</v>
      </c>
      <c r="L16">
        <v>14</v>
      </c>
      <c r="M16">
        <v>18</v>
      </c>
      <c r="N16">
        <v>2</v>
      </c>
      <c r="O16">
        <v>6</v>
      </c>
      <c r="P16">
        <v>10</v>
      </c>
      <c r="Q16">
        <v>14</v>
      </c>
      <c r="R16">
        <v>18</v>
      </c>
      <c r="S16">
        <v>4</v>
      </c>
      <c r="T16">
        <v>8</v>
      </c>
      <c r="U16">
        <v>12</v>
      </c>
      <c r="V16">
        <v>16</v>
      </c>
      <c r="W16">
        <v>20</v>
      </c>
      <c r="X16">
        <v>4</v>
      </c>
      <c r="Y16">
        <v>8</v>
      </c>
      <c r="Z16">
        <v>12</v>
      </c>
      <c r="AA16">
        <v>16</v>
      </c>
      <c r="AB16">
        <v>20</v>
      </c>
      <c r="AD16" s="2">
        <f t="shared" si="3"/>
        <v>12</v>
      </c>
      <c r="AE16" s="2">
        <f t="shared" si="3"/>
        <v>28</v>
      </c>
      <c r="AF16" s="2">
        <f t="shared" si="3"/>
        <v>44</v>
      </c>
      <c r="AG16" s="2">
        <f t="shared" si="3"/>
        <v>60</v>
      </c>
      <c r="AH16" s="2">
        <f t="shared" si="3"/>
        <v>76</v>
      </c>
      <c r="AI16" s="2">
        <f t="shared" si="4"/>
        <v>100</v>
      </c>
      <c r="AJ16" s="2">
        <f t="shared" si="4"/>
        <v>120</v>
      </c>
      <c r="AK16" s="2">
        <f t="shared" si="5"/>
        <v>110</v>
      </c>
      <c r="AL16" s="2">
        <f t="shared" si="5"/>
        <v>110</v>
      </c>
      <c r="AN16" s="24">
        <f t="shared" ref="AN16:AV16" si="31">(AD16-MIN($AD16:$AL16))/(MAX($AD16:$AL16)-MIN($AD16:$AL16))</f>
        <v>0</v>
      </c>
      <c r="AO16" s="24">
        <f t="shared" si="31"/>
        <v>0.14814814814814814</v>
      </c>
      <c r="AP16" s="24">
        <f t="shared" si="31"/>
        <v>0.29629629629629628</v>
      </c>
      <c r="AQ16" s="24">
        <f t="shared" si="31"/>
        <v>0.44444444444444442</v>
      </c>
      <c r="AR16" s="24">
        <f t="shared" si="31"/>
        <v>0.59259259259259256</v>
      </c>
      <c r="AS16" s="24">
        <f t="shared" si="31"/>
        <v>0.81481481481481477</v>
      </c>
      <c r="AT16" s="24">
        <f t="shared" si="31"/>
        <v>1</v>
      </c>
      <c r="AU16" s="24">
        <f t="shared" si="31"/>
        <v>0.90740740740740744</v>
      </c>
      <c r="AV16" s="24">
        <f t="shared" si="31"/>
        <v>0.90740740740740744</v>
      </c>
      <c r="AX16" s="26">
        <f t="shared" si="7"/>
        <v>0.59259259259259256</v>
      </c>
      <c r="AY16" s="26">
        <f t="shared" si="8"/>
        <v>0.18518518518518523</v>
      </c>
      <c r="AZ16" s="26">
        <f t="shared" si="9"/>
        <v>0</v>
      </c>
      <c r="BB16" s="26">
        <f t="shared" si="10"/>
        <v>0.76190476190476186</v>
      </c>
      <c r="BC16" s="26">
        <f t="shared" si="11"/>
        <v>0.23809523809523814</v>
      </c>
      <c r="BD16" s="26">
        <f t="shared" si="12"/>
        <v>0</v>
      </c>
      <c r="BF16" s="20" t="str">
        <f t="array" ref="BF16">INDEX($BB$6:$BD$6,,MATCH(MAX(BB16:BD16),BB16:BD16,0))</f>
        <v>Price</v>
      </c>
      <c r="BG16" s="20">
        <f t="array" ref="BG16">INDEX(BH16:BJ16,,MATCH(BF16,$BH$6:$BJ$6,0))</f>
        <v>3.5</v>
      </c>
      <c r="BH16" s="6">
        <f t="array" ref="BH16">INDEX($AN$6:$AR$6,,MATCH(MIN(AN16:AR16),AN16:AR16,0))</f>
        <v>3.5</v>
      </c>
      <c r="BI16" s="31" t="str">
        <f t="array" ref="BI16">INDEX($AS$6:$AT$6,,MATCH(MIN(AS16:AT16),AS16:AT16,0))</f>
        <v>Coke</v>
      </c>
      <c r="BJ16" s="31" t="str">
        <f t="array" ref="BJ16">INDEX($AU$6:$AV$6,,MATCH(MIN(AU16:AV16),AU16:AV16,0))</f>
        <v>Diet</v>
      </c>
      <c r="BL16" s="7">
        <f>COUNTIFS(BF:BF,BM16)</f>
        <v>4</v>
      </c>
      <c r="BM16" s="2" t="s">
        <v>37</v>
      </c>
      <c r="BQ16" s="26">
        <f t="shared" si="23"/>
        <v>0.59259259259259256</v>
      </c>
      <c r="BR16" s="26">
        <f t="shared" si="19"/>
        <v>-0.18518518518518523</v>
      </c>
      <c r="BS16" s="26">
        <f t="shared" si="20"/>
        <v>0</v>
      </c>
      <c r="BT16" s="2"/>
      <c r="BU16" s="2"/>
      <c r="BV16" s="24">
        <f t="shared" si="13"/>
        <v>1.7131611242225639</v>
      </c>
      <c r="BW16" s="24">
        <f t="shared" si="14"/>
        <v>-0.43804592177565116</v>
      </c>
      <c r="BX16" s="24">
        <f t="shared" si="15"/>
        <v>0.33017677220071356</v>
      </c>
      <c r="CA16" s="9">
        <f t="shared" si="16"/>
        <v>2.6876394467060392</v>
      </c>
      <c r="CB16" s="9">
        <f t="shared" si="16"/>
        <v>2.5621274427151302</v>
      </c>
      <c r="CC16" s="9">
        <f t="shared" si="16"/>
        <v>2.8316796952124759</v>
      </c>
      <c r="CD16" s="9">
        <f t="shared" si="16"/>
        <v>0.72134920871891883</v>
      </c>
      <c r="CE16" s="9">
        <f t="shared" si="16"/>
        <v>3.0471477143620871</v>
      </c>
      <c r="CF16" s="9">
        <f t="shared" si="21"/>
        <v>0.72134920871891883</v>
      </c>
      <c r="CI16" s="2" t="str">
        <f t="array" ref="CI16">INDEX($CA$6:$CE$6,,MATCH(MIN(CA16:CE16),CA16:CE16,0))</f>
        <v>Cluster 4</v>
      </c>
      <c r="CJ16" s="10" t="str">
        <f t="array" ref="CJ16">INDEX($CA$1:$CE$1,,MATCH(CI16,$CA$6:$CE$6,0))</f>
        <v>Price Only</v>
      </c>
      <c r="CK16" s="35" t="str">
        <f t="shared" si="24"/>
        <v>Price Only</v>
      </c>
      <c r="CL16" s="2" t="str">
        <f t="shared" si="17"/>
        <v/>
      </c>
      <c r="CM16" s="20"/>
      <c r="CN16"/>
      <c r="CO16"/>
    </row>
    <row r="17" spans="2:93">
      <c r="B17" s="18" t="s">
        <v>62</v>
      </c>
      <c r="C17" s="5">
        <v>3.5</v>
      </c>
      <c r="D17" s="19" t="s">
        <v>40</v>
      </c>
      <c r="E17" s="19" t="s">
        <v>42</v>
      </c>
      <c r="H17">
        <v>11</v>
      </c>
      <c r="I17">
        <v>11</v>
      </c>
      <c r="J17">
        <v>14</v>
      </c>
      <c r="K17">
        <v>17</v>
      </c>
      <c r="L17">
        <v>19</v>
      </c>
      <c r="M17">
        <v>20</v>
      </c>
      <c r="N17">
        <v>3</v>
      </c>
      <c r="O17">
        <v>6</v>
      </c>
      <c r="P17">
        <v>9</v>
      </c>
      <c r="Q17">
        <v>13</v>
      </c>
      <c r="R17">
        <v>16</v>
      </c>
      <c r="S17">
        <v>5</v>
      </c>
      <c r="T17">
        <v>8</v>
      </c>
      <c r="U17">
        <v>12</v>
      </c>
      <c r="V17">
        <v>15</v>
      </c>
      <c r="W17">
        <v>18</v>
      </c>
      <c r="X17">
        <v>1</v>
      </c>
      <c r="Y17">
        <v>2</v>
      </c>
      <c r="Z17">
        <v>4</v>
      </c>
      <c r="AA17">
        <v>7</v>
      </c>
      <c r="AB17">
        <v>10</v>
      </c>
      <c r="AD17" s="2">
        <f t="shared" ref="AD17:AH26" si="32">SUMIFS($I17:$AB17,$I$3:$AB$3,AD$6)</f>
        <v>20</v>
      </c>
      <c r="AE17" s="2">
        <f t="shared" si="32"/>
        <v>30</v>
      </c>
      <c r="AF17" s="2">
        <f t="shared" si="32"/>
        <v>42</v>
      </c>
      <c r="AG17" s="2">
        <f t="shared" si="32"/>
        <v>54</v>
      </c>
      <c r="AH17" s="2">
        <f t="shared" si="32"/>
        <v>64</v>
      </c>
      <c r="AI17" s="2">
        <f t="shared" si="4"/>
        <v>128</v>
      </c>
      <c r="AJ17" s="2">
        <f t="shared" si="4"/>
        <v>82</v>
      </c>
      <c r="AK17" s="2">
        <f t="shared" si="5"/>
        <v>139</v>
      </c>
      <c r="AL17" s="2">
        <f t="shared" si="5"/>
        <v>71</v>
      </c>
      <c r="AN17" s="24">
        <f t="shared" ref="AN17:AV17" si="33">(AD17-MIN($AD17:$AL17))/(MAX($AD17:$AL17)-MIN($AD17:$AL17))</f>
        <v>0</v>
      </c>
      <c r="AO17" s="24">
        <f t="shared" si="33"/>
        <v>8.4033613445378158E-2</v>
      </c>
      <c r="AP17" s="24">
        <f t="shared" si="33"/>
        <v>0.18487394957983194</v>
      </c>
      <c r="AQ17" s="24">
        <f t="shared" si="33"/>
        <v>0.2857142857142857</v>
      </c>
      <c r="AR17" s="24">
        <f t="shared" si="33"/>
        <v>0.36974789915966388</v>
      </c>
      <c r="AS17" s="24">
        <f t="shared" si="33"/>
        <v>0.90756302521008403</v>
      </c>
      <c r="AT17" s="24">
        <f t="shared" si="33"/>
        <v>0.52100840336134457</v>
      </c>
      <c r="AU17" s="24">
        <f t="shared" si="33"/>
        <v>1</v>
      </c>
      <c r="AV17" s="24">
        <f t="shared" si="33"/>
        <v>0.42857142857142855</v>
      </c>
      <c r="AX17" s="26">
        <f t="shared" si="7"/>
        <v>0.36974789915966388</v>
      </c>
      <c r="AY17" s="26">
        <f t="shared" si="8"/>
        <v>0.38655462184873945</v>
      </c>
      <c r="AZ17" s="26">
        <f t="shared" si="9"/>
        <v>0.5714285714285714</v>
      </c>
      <c r="BB17" s="26">
        <f t="shared" si="10"/>
        <v>0.27848101265822789</v>
      </c>
      <c r="BC17" s="26">
        <f t="shared" si="11"/>
        <v>0.29113924050632911</v>
      </c>
      <c r="BD17" s="26">
        <f t="shared" si="12"/>
        <v>0.43037974683544306</v>
      </c>
      <c r="BF17" s="20" t="str">
        <f t="array" ref="BF17">INDEX($BB$6:$BD$6,,MATCH(MAX(BB17:BD17),BB17:BD17,0))</f>
        <v>Sugar</v>
      </c>
      <c r="BG17" s="20" t="str">
        <f t="array" ref="BG17">INDEX(BH17:BJ17,,MATCH(BF17,$BH$6:$BJ$6,0))</f>
        <v>Regular</v>
      </c>
      <c r="BH17" s="6">
        <f t="array" ref="BH17">INDEX($AN$6:$AR$6,,MATCH(MIN(AN17:AR17),AN17:AR17,0))</f>
        <v>3.5</v>
      </c>
      <c r="BI17" s="31" t="str">
        <f t="array" ref="BI17">INDEX($AS$6:$AT$6,,MATCH(MIN(AS17:AT17),AS17:AT17,0))</f>
        <v>Pepsi</v>
      </c>
      <c r="BJ17" s="31" t="str">
        <f t="array" ref="BJ17">INDEX($AU$6:$AV$6,,MATCH(MIN(AU17:AV17),AU17:AV17,0))</f>
        <v>Regular</v>
      </c>
      <c r="BQ17" s="26">
        <f t="shared" si="23"/>
        <v>0.36974789915966388</v>
      </c>
      <c r="BR17" s="26">
        <f t="shared" si="19"/>
        <v>0.38655462184873945</v>
      </c>
      <c r="BS17" s="26">
        <f t="shared" si="20"/>
        <v>0.5714285714285714</v>
      </c>
      <c r="BT17" s="2"/>
      <c r="BU17" s="2"/>
      <c r="BV17" s="24">
        <f t="shared" si="13"/>
        <v>-0.28362734390937122</v>
      </c>
      <c r="BW17" s="24">
        <f t="shared" si="14"/>
        <v>0.72000044342361491</v>
      </c>
      <c r="BX17" s="24">
        <f t="shared" si="15"/>
        <v>1.678055992549637</v>
      </c>
      <c r="CA17" s="9">
        <f t="shared" ref="CA17:CE26" si="34">((CA$2-$BV17)^2+(CA$3-$BW17)^2+(CA$4-$BX17)^2)^(1/2)</f>
        <v>3.315930421208916</v>
      </c>
      <c r="CB17" s="9">
        <f t="shared" si="34"/>
        <v>1.9890998936922151</v>
      </c>
      <c r="CC17" s="9">
        <f t="shared" si="34"/>
        <v>0.73088218089883006</v>
      </c>
      <c r="CD17" s="9">
        <f t="shared" si="34"/>
        <v>2.7081326186983339</v>
      </c>
      <c r="CE17" s="9">
        <f t="shared" si="34"/>
        <v>2.884450697827873</v>
      </c>
      <c r="CF17" s="9">
        <f t="shared" si="21"/>
        <v>0.73088218089883006</v>
      </c>
      <c r="CI17" s="2" t="str">
        <f t="array" ref="CI17">INDEX($CA$6:$CE$6,,MATCH(MIN(CA17:CE17),CA17:CE17,0))</f>
        <v>Cluster 3</v>
      </c>
      <c r="CJ17" s="10" t="str">
        <f t="array" ref="CJ17">INDEX($CA$1:$CE$1,,MATCH(CI17,$CA$6:$CE$6,0))</f>
        <v>Regular Pepsi</v>
      </c>
      <c r="CK17" s="35" t="str">
        <f t="shared" si="24"/>
        <v>Regular Pepsi</v>
      </c>
      <c r="CL17" s="2" t="str">
        <f t="shared" si="17"/>
        <v/>
      </c>
      <c r="CM17" s="20"/>
      <c r="CN17"/>
      <c r="CO17"/>
    </row>
    <row r="18" spans="2:93">
      <c r="B18" s="18" t="s">
        <v>63</v>
      </c>
      <c r="C18" s="5">
        <v>3.75</v>
      </c>
      <c r="D18" s="19" t="s">
        <v>40</v>
      </c>
      <c r="E18" s="19" t="s">
        <v>42</v>
      </c>
      <c r="H18">
        <v>12</v>
      </c>
      <c r="I18">
        <v>4</v>
      </c>
      <c r="J18">
        <v>7</v>
      </c>
      <c r="K18">
        <v>10</v>
      </c>
      <c r="L18">
        <v>12</v>
      </c>
      <c r="M18">
        <v>15</v>
      </c>
      <c r="N18">
        <v>13</v>
      </c>
      <c r="O18">
        <v>16</v>
      </c>
      <c r="P18">
        <v>18</v>
      </c>
      <c r="Q18">
        <v>19</v>
      </c>
      <c r="R18">
        <v>20</v>
      </c>
      <c r="S18">
        <v>1</v>
      </c>
      <c r="T18">
        <v>2</v>
      </c>
      <c r="U18">
        <v>3</v>
      </c>
      <c r="V18">
        <v>5</v>
      </c>
      <c r="W18">
        <v>8</v>
      </c>
      <c r="X18">
        <v>6</v>
      </c>
      <c r="Y18">
        <v>9</v>
      </c>
      <c r="Z18">
        <v>11</v>
      </c>
      <c r="AA18">
        <v>14</v>
      </c>
      <c r="AB18">
        <v>17</v>
      </c>
      <c r="AD18" s="2">
        <f t="shared" si="32"/>
        <v>24</v>
      </c>
      <c r="AE18" s="2">
        <f t="shared" si="32"/>
        <v>34</v>
      </c>
      <c r="AF18" s="2">
        <f t="shared" si="32"/>
        <v>42</v>
      </c>
      <c r="AG18" s="2">
        <f t="shared" si="32"/>
        <v>50</v>
      </c>
      <c r="AH18" s="2">
        <f t="shared" si="32"/>
        <v>60</v>
      </c>
      <c r="AI18" s="2">
        <f t="shared" si="4"/>
        <v>134</v>
      </c>
      <c r="AJ18" s="2">
        <f t="shared" si="4"/>
        <v>76</v>
      </c>
      <c r="AK18" s="2">
        <f t="shared" si="5"/>
        <v>67</v>
      </c>
      <c r="AL18" s="2">
        <f t="shared" si="5"/>
        <v>143</v>
      </c>
      <c r="AN18" s="24">
        <f t="shared" ref="AN18:AV18" si="35">(AD18-MIN($AD18:$AL18))/(MAX($AD18:$AL18)-MIN($AD18:$AL18))</f>
        <v>0</v>
      </c>
      <c r="AO18" s="24">
        <f t="shared" si="35"/>
        <v>8.4033613445378158E-2</v>
      </c>
      <c r="AP18" s="24">
        <f t="shared" si="35"/>
        <v>0.15126050420168066</v>
      </c>
      <c r="AQ18" s="24">
        <f t="shared" si="35"/>
        <v>0.21848739495798319</v>
      </c>
      <c r="AR18" s="24">
        <f t="shared" si="35"/>
        <v>0.30252100840336132</v>
      </c>
      <c r="AS18" s="24">
        <f t="shared" si="35"/>
        <v>0.92436974789915971</v>
      </c>
      <c r="AT18" s="24">
        <f t="shared" si="35"/>
        <v>0.43697478991596639</v>
      </c>
      <c r="AU18" s="24">
        <f t="shared" si="35"/>
        <v>0.36134453781512604</v>
      </c>
      <c r="AV18" s="24">
        <f t="shared" si="35"/>
        <v>1</v>
      </c>
      <c r="AX18" s="26">
        <f t="shared" si="7"/>
        <v>0.30252100840336132</v>
      </c>
      <c r="AY18" s="26">
        <f t="shared" si="8"/>
        <v>0.48739495798319332</v>
      </c>
      <c r="AZ18" s="26">
        <f t="shared" si="9"/>
        <v>0.6386554621848739</v>
      </c>
      <c r="BB18" s="26">
        <f t="shared" si="10"/>
        <v>0.21176470588235291</v>
      </c>
      <c r="BC18" s="26">
        <f t="shared" si="11"/>
        <v>0.3411764705882353</v>
      </c>
      <c r="BD18" s="26">
        <f t="shared" si="12"/>
        <v>0.44705882352941173</v>
      </c>
      <c r="BF18" s="20" t="str">
        <f t="array" ref="BF18">INDEX($BB$6:$BD$6,,MATCH(MAX(BB18:BD18),BB18:BD18,0))</f>
        <v>Sugar</v>
      </c>
      <c r="BG18" s="20" t="str">
        <f t="array" ref="BG18">INDEX(BH18:BJ18,,MATCH(BF18,$BH$6:$BJ$6,0))</f>
        <v>Diet</v>
      </c>
      <c r="BH18" s="6">
        <f t="array" ref="BH18">INDEX($AN$6:$AR$6,,MATCH(MIN(AN18:AR18),AN18:AR18,0))</f>
        <v>3.5</v>
      </c>
      <c r="BI18" s="31" t="str">
        <f t="array" ref="BI18">INDEX($AS$6:$AT$6,,MATCH(MIN(AS18:AT18),AS18:AT18,0))</f>
        <v>Pepsi</v>
      </c>
      <c r="BJ18" s="31" t="str">
        <f t="array" ref="BJ18">INDEX($AU$6:$AV$6,,MATCH(MIN(AU18:AV18),AU18:AV18,0))</f>
        <v>Diet</v>
      </c>
      <c r="BQ18" s="26">
        <f t="shared" si="23"/>
        <v>0.30252100840336132</v>
      </c>
      <c r="BR18" s="26">
        <f t="shared" si="19"/>
        <v>0.48739495798319332</v>
      </c>
      <c r="BS18" s="26">
        <f t="shared" si="20"/>
        <v>-0.6386554621848739</v>
      </c>
      <c r="BT18" s="2"/>
      <c r="BU18" s="2"/>
      <c r="BV18" s="24">
        <f t="shared" si="13"/>
        <v>-0.88601045720057003</v>
      </c>
      <c r="BW18" s="24">
        <f t="shared" si="14"/>
        <v>0.92425031948489023</v>
      </c>
      <c r="BX18" s="24">
        <f t="shared" si="15"/>
        <v>-1.1762764740716125</v>
      </c>
      <c r="CA18" s="9">
        <f t="shared" si="34"/>
        <v>2.1376254013205851</v>
      </c>
      <c r="CB18" s="9">
        <f t="shared" si="34"/>
        <v>3.095400718259258</v>
      </c>
      <c r="CC18" s="9">
        <f t="shared" si="34"/>
        <v>2.3303248668754328</v>
      </c>
      <c r="CD18" s="9">
        <f t="shared" si="34"/>
        <v>3.023599234354104</v>
      </c>
      <c r="CE18" s="9">
        <f t="shared" si="34"/>
        <v>0.4165067432942226</v>
      </c>
      <c r="CF18" s="9">
        <f t="shared" si="21"/>
        <v>0.4165067432942226</v>
      </c>
      <c r="CI18" s="2" t="str">
        <f t="array" ref="CI18">INDEX($CA$6:$CE$6,,MATCH(MIN(CA18:CE18),CA18:CE18,0))</f>
        <v>Cluster 5</v>
      </c>
      <c r="CJ18" s="10" t="str">
        <f t="array" ref="CJ18">INDEX($CA$1:$CE$1,,MATCH(CI18,$CA$6:$CE$6,0))</f>
        <v>Diet Pepsi</v>
      </c>
      <c r="CK18" s="35" t="str">
        <f t="shared" si="24"/>
        <v>Diet Pepsi</v>
      </c>
      <c r="CL18" s="2" t="str">
        <f t="shared" si="17"/>
        <v/>
      </c>
      <c r="CM18" s="20"/>
      <c r="CN18"/>
      <c r="CO18"/>
    </row>
    <row r="19" spans="2:93">
      <c r="B19" s="18" t="s">
        <v>64</v>
      </c>
      <c r="C19" s="5">
        <v>4</v>
      </c>
      <c r="D19" s="19" t="s">
        <v>40</v>
      </c>
      <c r="E19" s="19" t="s">
        <v>42</v>
      </c>
      <c r="H19">
        <v>13</v>
      </c>
      <c r="I19">
        <v>2</v>
      </c>
      <c r="J19">
        <v>6</v>
      </c>
      <c r="K19">
        <v>10</v>
      </c>
      <c r="L19">
        <v>14</v>
      </c>
      <c r="M19">
        <v>18</v>
      </c>
      <c r="N19">
        <v>1</v>
      </c>
      <c r="O19">
        <v>5</v>
      </c>
      <c r="P19">
        <v>9</v>
      </c>
      <c r="Q19">
        <v>13</v>
      </c>
      <c r="R19">
        <v>17</v>
      </c>
      <c r="S19">
        <v>4</v>
      </c>
      <c r="T19">
        <v>8</v>
      </c>
      <c r="U19">
        <v>12</v>
      </c>
      <c r="V19">
        <v>16</v>
      </c>
      <c r="W19">
        <v>20</v>
      </c>
      <c r="X19">
        <v>3</v>
      </c>
      <c r="Y19">
        <v>7</v>
      </c>
      <c r="Z19">
        <v>11</v>
      </c>
      <c r="AA19">
        <v>15</v>
      </c>
      <c r="AB19">
        <v>19</v>
      </c>
      <c r="AD19" s="2">
        <f t="shared" si="32"/>
        <v>10</v>
      </c>
      <c r="AE19" s="2">
        <f t="shared" si="32"/>
        <v>26</v>
      </c>
      <c r="AF19" s="2">
        <f t="shared" si="32"/>
        <v>42</v>
      </c>
      <c r="AG19" s="2">
        <f t="shared" si="32"/>
        <v>58</v>
      </c>
      <c r="AH19" s="2">
        <f t="shared" si="32"/>
        <v>74</v>
      </c>
      <c r="AI19" s="2">
        <f t="shared" si="4"/>
        <v>95</v>
      </c>
      <c r="AJ19" s="2">
        <f t="shared" si="4"/>
        <v>115</v>
      </c>
      <c r="AK19" s="2">
        <f t="shared" si="5"/>
        <v>110</v>
      </c>
      <c r="AL19" s="2">
        <f t="shared" si="5"/>
        <v>100</v>
      </c>
      <c r="AN19" s="24">
        <f t="shared" ref="AN19:AV19" si="36">(AD19-MIN($AD19:$AL19))/(MAX($AD19:$AL19)-MIN($AD19:$AL19))</f>
        <v>0</v>
      </c>
      <c r="AO19" s="24">
        <f t="shared" si="36"/>
        <v>0.15238095238095239</v>
      </c>
      <c r="AP19" s="24">
        <f t="shared" si="36"/>
        <v>0.30476190476190479</v>
      </c>
      <c r="AQ19" s="24">
        <f t="shared" si="36"/>
        <v>0.45714285714285713</v>
      </c>
      <c r="AR19" s="24">
        <f t="shared" si="36"/>
        <v>0.60952380952380958</v>
      </c>
      <c r="AS19" s="24">
        <f t="shared" si="36"/>
        <v>0.80952380952380953</v>
      </c>
      <c r="AT19" s="24">
        <f t="shared" si="36"/>
        <v>1</v>
      </c>
      <c r="AU19" s="24">
        <f t="shared" si="36"/>
        <v>0.95238095238095233</v>
      </c>
      <c r="AV19" s="24">
        <f t="shared" si="36"/>
        <v>0.8571428571428571</v>
      </c>
      <c r="AX19" s="26">
        <f t="shared" si="7"/>
        <v>0.60952380952380958</v>
      </c>
      <c r="AY19" s="26">
        <f t="shared" si="8"/>
        <v>0.19047619047619047</v>
      </c>
      <c r="AZ19" s="26">
        <f t="shared" si="9"/>
        <v>9.5238095238095233E-2</v>
      </c>
      <c r="BB19" s="26">
        <f t="shared" si="10"/>
        <v>0.68085106382978722</v>
      </c>
      <c r="BC19" s="26">
        <f t="shared" si="11"/>
        <v>0.21276595744680848</v>
      </c>
      <c r="BD19" s="26">
        <f t="shared" si="12"/>
        <v>0.10638297872340424</v>
      </c>
      <c r="BF19" s="20" t="str">
        <f t="array" ref="BF19">INDEX($BB$6:$BD$6,,MATCH(MAX(BB19:BD19),BB19:BD19,0))</f>
        <v>Price</v>
      </c>
      <c r="BG19" s="20">
        <f t="array" ref="BG19">INDEX(BH19:BJ19,,MATCH(BF19,$BH$6:$BJ$6,0))</f>
        <v>3.5</v>
      </c>
      <c r="BH19" s="6">
        <f t="array" ref="BH19">INDEX($AN$6:$AR$6,,MATCH(MIN(AN19:AR19),AN19:AR19,0))</f>
        <v>3.5</v>
      </c>
      <c r="BI19" s="31" t="str">
        <f t="array" ref="BI19">INDEX($AS$6:$AT$6,,MATCH(MIN(AS19:AT19),AS19:AT19,0))</f>
        <v>Coke</v>
      </c>
      <c r="BJ19" s="31" t="str">
        <f t="array" ref="BJ19">INDEX($AU$6:$AV$6,,MATCH(MIN(AU19:AV19),AU19:AV19,0))</f>
        <v>Regular</v>
      </c>
      <c r="BQ19" s="26">
        <f t="shared" si="23"/>
        <v>0.60952380952380958</v>
      </c>
      <c r="BR19" s="26">
        <f t="shared" si="19"/>
        <v>-0.19047619047619047</v>
      </c>
      <c r="BS19" s="26">
        <f t="shared" si="20"/>
        <v>9.5238095238095233E-2</v>
      </c>
      <c r="BT19" s="2"/>
      <c r="BU19" s="2"/>
      <c r="BV19" s="24">
        <f t="shared" si="13"/>
        <v>1.8648724268292369</v>
      </c>
      <c r="BW19" s="24">
        <f t="shared" si="14"/>
        <v>-0.44876273626034757</v>
      </c>
      <c r="BX19" s="24">
        <f t="shared" si="15"/>
        <v>0.55482330892553411</v>
      </c>
      <c r="CA19" s="9">
        <f t="shared" si="34"/>
        <v>2.9261272932601687</v>
      </c>
      <c r="CB19" s="9">
        <f t="shared" si="34"/>
        <v>2.642785919740267</v>
      </c>
      <c r="CC19" s="9">
        <f t="shared" si="34"/>
        <v>2.9066043241840811</v>
      </c>
      <c r="CD19" s="9">
        <f t="shared" si="34"/>
        <v>0.84932357813079817</v>
      </c>
      <c r="CE19" s="9">
        <f t="shared" si="34"/>
        <v>3.2766667250867423</v>
      </c>
      <c r="CF19" s="9">
        <f t="shared" si="21"/>
        <v>0.84932357813079817</v>
      </c>
      <c r="CI19" s="2" t="str">
        <f t="array" ref="CI19">INDEX($CA$6:$CE$6,,MATCH(MIN(CA19:CE19),CA19:CE19,0))</f>
        <v>Cluster 4</v>
      </c>
      <c r="CJ19" s="10" t="str">
        <f t="array" ref="CJ19">INDEX($CA$1:$CE$1,,MATCH(CI19,$CA$6:$CE$6,0))</f>
        <v>Price Only</v>
      </c>
      <c r="CK19" s="35" t="str">
        <f t="shared" si="24"/>
        <v>Price Only</v>
      </c>
      <c r="CL19" s="2" t="str">
        <f t="shared" si="17"/>
        <v/>
      </c>
      <c r="CM19" s="20"/>
      <c r="CN19"/>
      <c r="CO19"/>
    </row>
    <row r="20" spans="2:93">
      <c r="B20" s="18" t="s">
        <v>65</v>
      </c>
      <c r="C20" s="5">
        <v>4.25</v>
      </c>
      <c r="D20" s="19" t="s">
        <v>40</v>
      </c>
      <c r="E20" s="19" t="s">
        <v>42</v>
      </c>
      <c r="H20">
        <v>14</v>
      </c>
      <c r="I20">
        <v>1</v>
      </c>
      <c r="J20">
        <v>2</v>
      </c>
      <c r="K20">
        <v>5</v>
      </c>
      <c r="L20">
        <v>8</v>
      </c>
      <c r="M20">
        <v>12</v>
      </c>
      <c r="N20">
        <v>3</v>
      </c>
      <c r="O20">
        <v>6</v>
      </c>
      <c r="P20">
        <v>10</v>
      </c>
      <c r="Q20">
        <v>14</v>
      </c>
      <c r="R20">
        <v>17</v>
      </c>
      <c r="S20">
        <v>4</v>
      </c>
      <c r="T20">
        <v>7</v>
      </c>
      <c r="U20">
        <v>11</v>
      </c>
      <c r="V20">
        <v>15</v>
      </c>
      <c r="W20">
        <v>18</v>
      </c>
      <c r="X20">
        <v>9</v>
      </c>
      <c r="Y20">
        <v>13</v>
      </c>
      <c r="Z20">
        <v>16</v>
      </c>
      <c r="AA20">
        <v>19</v>
      </c>
      <c r="AB20">
        <v>20</v>
      </c>
      <c r="AD20" s="2">
        <f t="shared" si="32"/>
        <v>17</v>
      </c>
      <c r="AE20" s="2">
        <f t="shared" si="32"/>
        <v>28</v>
      </c>
      <c r="AF20" s="2">
        <f t="shared" si="32"/>
        <v>42</v>
      </c>
      <c r="AG20" s="2">
        <f t="shared" si="32"/>
        <v>56</v>
      </c>
      <c r="AH20" s="2">
        <f t="shared" si="32"/>
        <v>67</v>
      </c>
      <c r="AI20" s="2">
        <f t="shared" si="4"/>
        <v>78</v>
      </c>
      <c r="AJ20" s="2">
        <f t="shared" si="4"/>
        <v>132</v>
      </c>
      <c r="AK20" s="2">
        <f t="shared" si="5"/>
        <v>83</v>
      </c>
      <c r="AL20" s="2">
        <f t="shared" si="5"/>
        <v>127</v>
      </c>
      <c r="AN20" s="24">
        <f t="shared" ref="AN20:AV20" si="37">(AD20-MIN($AD20:$AL20))/(MAX($AD20:$AL20)-MIN($AD20:$AL20))</f>
        <v>0</v>
      </c>
      <c r="AO20" s="24">
        <f t="shared" si="37"/>
        <v>9.5652173913043481E-2</v>
      </c>
      <c r="AP20" s="24">
        <f t="shared" si="37"/>
        <v>0.21739130434782608</v>
      </c>
      <c r="AQ20" s="24">
        <f t="shared" si="37"/>
        <v>0.33913043478260868</v>
      </c>
      <c r="AR20" s="24">
        <f t="shared" si="37"/>
        <v>0.43478260869565216</v>
      </c>
      <c r="AS20" s="24">
        <f t="shared" si="37"/>
        <v>0.5304347826086957</v>
      </c>
      <c r="AT20" s="24">
        <f t="shared" si="37"/>
        <v>1</v>
      </c>
      <c r="AU20" s="24">
        <f t="shared" si="37"/>
        <v>0.57391304347826089</v>
      </c>
      <c r="AV20" s="24">
        <f t="shared" si="37"/>
        <v>0.95652173913043481</v>
      </c>
      <c r="AX20" s="26">
        <f t="shared" si="7"/>
        <v>0.43478260869565216</v>
      </c>
      <c r="AY20" s="26">
        <f t="shared" si="8"/>
        <v>0.4695652173913043</v>
      </c>
      <c r="AZ20" s="26">
        <f t="shared" si="9"/>
        <v>0.38260869565217392</v>
      </c>
      <c r="BB20" s="26">
        <f t="shared" si="10"/>
        <v>0.33783783783783783</v>
      </c>
      <c r="BC20" s="26">
        <f t="shared" si="11"/>
        <v>0.36486486486486486</v>
      </c>
      <c r="BD20" s="26">
        <f t="shared" si="12"/>
        <v>0.29729729729729731</v>
      </c>
      <c r="BF20" s="20" t="str">
        <f t="array" ref="BF20">INDEX($BB$6:$BD$6,,MATCH(MAX(BB20:BD20),BB20:BD20,0))</f>
        <v>Brand</v>
      </c>
      <c r="BG20" s="20" t="str">
        <f t="array" ref="BG20">INDEX(BH20:BJ20,,MATCH(BF20,$BH$6:$BJ$6,0))</f>
        <v>Coke</v>
      </c>
      <c r="BH20" s="6">
        <f t="array" ref="BH20">INDEX($AN$6:$AR$6,,MATCH(MIN(AN20:AR20),AN20:AR20,0))</f>
        <v>3.5</v>
      </c>
      <c r="BI20" s="31" t="str">
        <f t="array" ref="BI20">INDEX($AS$6:$AT$6,,MATCH(MIN(AS20:AT20),AS20:AT20,0))</f>
        <v>Coke</v>
      </c>
      <c r="BJ20" s="31" t="str">
        <f t="array" ref="BJ20">INDEX($AU$6:$AV$6,,MATCH(MIN(AU20:AV20),AU20:AV20,0))</f>
        <v>Diet</v>
      </c>
      <c r="BQ20" s="26">
        <f t="shared" si="23"/>
        <v>0.43478260869565216</v>
      </c>
      <c r="BR20" s="26">
        <f t="shared" si="19"/>
        <v>-0.4695652173913043</v>
      </c>
      <c r="BS20" s="26">
        <f t="shared" si="20"/>
        <v>-0.38260869565217392</v>
      </c>
      <c r="BT20" s="2"/>
      <c r="BU20" s="2"/>
      <c r="BV20" s="24">
        <f t="shared" si="13"/>
        <v>0.29911284177450526</v>
      </c>
      <c r="BW20" s="24">
        <f t="shared" si="14"/>
        <v>-1.0140514029052967</v>
      </c>
      <c r="BX20" s="24">
        <f t="shared" si="15"/>
        <v>-0.57231627098943516</v>
      </c>
      <c r="CA20" s="9">
        <f t="shared" si="34"/>
        <v>0.92205402364198086</v>
      </c>
      <c r="CB20" s="9">
        <f t="shared" si="34"/>
        <v>1.9170082812891391</v>
      </c>
      <c r="CC20" s="9">
        <f t="shared" si="34"/>
        <v>2.8436623222324493</v>
      </c>
      <c r="CD20" s="9">
        <f t="shared" si="34"/>
        <v>2.0220781206964129</v>
      </c>
      <c r="CE20" s="9">
        <f t="shared" si="34"/>
        <v>2.2765498197860379</v>
      </c>
      <c r="CF20" s="9">
        <f t="shared" si="21"/>
        <v>0.92205402364198086</v>
      </c>
      <c r="CI20" s="2" t="str">
        <f t="array" ref="CI20">INDEX($CA$6:$CE$6,,MATCH(MIN(CA20:CE20),CA20:CE20,0))</f>
        <v>Cluster 1</v>
      </c>
      <c r="CJ20" s="10" t="str">
        <f t="array" ref="CJ20">INDEX($CA$1:$CE$1,,MATCH(CI20,$CA$6:$CE$6,0))</f>
        <v>Diet Coke</v>
      </c>
      <c r="CK20" s="35" t="str">
        <f t="shared" si="24"/>
        <v>Diet Coke</v>
      </c>
      <c r="CL20" s="2" t="str">
        <f t="shared" si="17"/>
        <v/>
      </c>
      <c r="CM20" s="20"/>
      <c r="CN20"/>
      <c r="CO20"/>
    </row>
    <row r="21" spans="2:93">
      <c r="B21" s="18" t="s">
        <v>66</v>
      </c>
      <c r="C21" s="5">
        <v>4.5</v>
      </c>
      <c r="D21" s="19" t="s">
        <v>40</v>
      </c>
      <c r="E21" s="19" t="s">
        <v>42</v>
      </c>
      <c r="H21">
        <v>15</v>
      </c>
      <c r="I21">
        <v>1</v>
      </c>
      <c r="J21">
        <v>2</v>
      </c>
      <c r="K21">
        <v>4</v>
      </c>
      <c r="L21">
        <v>6</v>
      </c>
      <c r="M21">
        <v>9</v>
      </c>
      <c r="N21">
        <v>7</v>
      </c>
      <c r="O21">
        <v>10</v>
      </c>
      <c r="P21">
        <v>13</v>
      </c>
      <c r="Q21">
        <v>16</v>
      </c>
      <c r="R21">
        <v>18</v>
      </c>
      <c r="S21">
        <v>3</v>
      </c>
      <c r="T21">
        <v>5</v>
      </c>
      <c r="U21">
        <v>8</v>
      </c>
      <c r="V21">
        <v>11</v>
      </c>
      <c r="W21">
        <v>14</v>
      </c>
      <c r="X21">
        <v>12</v>
      </c>
      <c r="Y21">
        <v>15</v>
      </c>
      <c r="Z21">
        <v>17</v>
      </c>
      <c r="AA21">
        <v>19</v>
      </c>
      <c r="AB21">
        <v>20</v>
      </c>
      <c r="AD21" s="2">
        <f t="shared" si="32"/>
        <v>23</v>
      </c>
      <c r="AE21" s="2">
        <f t="shared" si="32"/>
        <v>32</v>
      </c>
      <c r="AF21" s="2">
        <f t="shared" si="32"/>
        <v>42</v>
      </c>
      <c r="AG21" s="2">
        <f t="shared" si="32"/>
        <v>52</v>
      </c>
      <c r="AH21" s="2">
        <f t="shared" si="32"/>
        <v>61</v>
      </c>
      <c r="AI21" s="2">
        <f t="shared" si="4"/>
        <v>86</v>
      </c>
      <c r="AJ21" s="2">
        <f t="shared" si="4"/>
        <v>124</v>
      </c>
      <c r="AK21" s="2">
        <f t="shared" si="5"/>
        <v>63</v>
      </c>
      <c r="AL21" s="2">
        <f t="shared" si="5"/>
        <v>147</v>
      </c>
      <c r="AN21" s="24">
        <f t="shared" ref="AN21:AV21" si="38">(AD21-MIN($AD21:$AL21))/(MAX($AD21:$AL21)-MIN($AD21:$AL21))</f>
        <v>0</v>
      </c>
      <c r="AO21" s="24">
        <f t="shared" si="38"/>
        <v>7.2580645161290328E-2</v>
      </c>
      <c r="AP21" s="24">
        <f t="shared" si="38"/>
        <v>0.15322580645161291</v>
      </c>
      <c r="AQ21" s="24">
        <f t="shared" si="38"/>
        <v>0.23387096774193547</v>
      </c>
      <c r="AR21" s="24">
        <f t="shared" si="38"/>
        <v>0.30645161290322581</v>
      </c>
      <c r="AS21" s="24">
        <f t="shared" si="38"/>
        <v>0.50806451612903225</v>
      </c>
      <c r="AT21" s="24">
        <f t="shared" si="38"/>
        <v>0.81451612903225812</v>
      </c>
      <c r="AU21" s="24">
        <f t="shared" si="38"/>
        <v>0.32258064516129031</v>
      </c>
      <c r="AV21" s="24">
        <f t="shared" si="38"/>
        <v>1</v>
      </c>
      <c r="AX21" s="26">
        <f t="shared" si="7"/>
        <v>0.30645161290322581</v>
      </c>
      <c r="AY21" s="26">
        <f t="shared" si="8"/>
        <v>0.30645161290322587</v>
      </c>
      <c r="AZ21" s="26">
        <f t="shared" si="9"/>
        <v>0.67741935483870974</v>
      </c>
      <c r="BB21" s="26">
        <f t="shared" si="10"/>
        <v>0.23749999999999996</v>
      </c>
      <c r="BC21" s="26">
        <f t="shared" si="11"/>
        <v>0.23750000000000002</v>
      </c>
      <c r="BD21" s="26">
        <f t="shared" si="12"/>
        <v>0.52500000000000002</v>
      </c>
      <c r="BF21" s="20" t="str">
        <f t="array" ref="BF21">INDEX($BB$6:$BD$6,,MATCH(MAX(BB21:BD21),BB21:BD21,0))</f>
        <v>Sugar</v>
      </c>
      <c r="BG21" s="20" t="str">
        <f t="array" ref="BG21">INDEX(BH21:BJ21,,MATCH(BF21,$BH$6:$BJ$6,0))</f>
        <v>Diet</v>
      </c>
      <c r="BH21" s="6">
        <f t="array" ref="BH21">INDEX($AN$6:$AR$6,,MATCH(MIN(AN21:AR21),AN21:AR21,0))</f>
        <v>3.5</v>
      </c>
      <c r="BI21" s="31" t="str">
        <f t="array" ref="BI21">INDEX($AS$6:$AT$6,,MATCH(MIN(AS21:AT21),AS21:AT21,0))</f>
        <v>Coke</v>
      </c>
      <c r="BJ21" s="31" t="str">
        <f t="array" ref="BJ21">INDEX($AU$6:$AV$6,,MATCH(MIN(AU21:AV21),AU21:AV21,0))</f>
        <v>Diet</v>
      </c>
      <c r="BQ21" s="26">
        <f t="shared" si="23"/>
        <v>0.30645161290322581</v>
      </c>
      <c r="BR21" s="26">
        <f t="shared" si="19"/>
        <v>-0.30645161290322587</v>
      </c>
      <c r="BS21" s="26">
        <f t="shared" si="20"/>
        <v>-0.67741935483870974</v>
      </c>
      <c r="BT21" s="2"/>
      <c r="BU21" s="2"/>
      <c r="BV21" s="24">
        <f t="shared" si="13"/>
        <v>-0.85079047678636666</v>
      </c>
      <c r="BW21" s="24">
        <f t="shared" si="14"/>
        <v>-0.68366839569103455</v>
      </c>
      <c r="BX21" s="24">
        <f t="shared" si="15"/>
        <v>-1.2677123035355102</v>
      </c>
      <c r="CA21" s="9">
        <f t="shared" si="34"/>
        <v>0.65260772484078999</v>
      </c>
      <c r="CB21" s="9">
        <f t="shared" si="34"/>
        <v>2.4274215299025741</v>
      </c>
      <c r="CC21" s="9">
        <f t="shared" si="34"/>
        <v>3.0110362140264826</v>
      </c>
      <c r="CD21" s="9">
        <f t="shared" si="34"/>
        <v>3.0765484983430609</v>
      </c>
      <c r="CE21" s="9">
        <f t="shared" si="34"/>
        <v>1.7589463368664671</v>
      </c>
      <c r="CF21" s="9">
        <f t="shared" si="21"/>
        <v>0.65260772484078999</v>
      </c>
      <c r="CI21" s="2" t="str">
        <f t="array" ref="CI21">INDEX($CA$6:$CE$6,,MATCH(MIN(CA21:CE21),CA21:CE21,0))</f>
        <v>Cluster 1</v>
      </c>
      <c r="CJ21" s="10" t="str">
        <f t="array" ref="CJ21">INDEX($CA$1:$CE$1,,MATCH(CI21,$CA$6:$CE$6,0))</f>
        <v>Diet Coke</v>
      </c>
      <c r="CK21" s="35" t="str">
        <f t="shared" si="24"/>
        <v>Diet Coke</v>
      </c>
      <c r="CL21" s="2" t="str">
        <f t="shared" si="17"/>
        <v/>
      </c>
      <c r="CM21" s="20"/>
      <c r="CN21"/>
      <c r="CO21"/>
    </row>
    <row r="22" spans="2:93">
      <c r="B22" s="18" t="s">
        <v>67</v>
      </c>
      <c r="C22" s="5">
        <v>3.5</v>
      </c>
      <c r="D22" s="19" t="s">
        <v>40</v>
      </c>
      <c r="E22" s="19" t="s">
        <v>43</v>
      </c>
      <c r="H22">
        <v>16</v>
      </c>
      <c r="I22">
        <v>1</v>
      </c>
      <c r="J22">
        <v>2</v>
      </c>
      <c r="K22">
        <v>3</v>
      </c>
      <c r="L22">
        <v>6</v>
      </c>
      <c r="M22">
        <v>9</v>
      </c>
      <c r="N22">
        <v>4</v>
      </c>
      <c r="O22">
        <v>7</v>
      </c>
      <c r="P22">
        <v>10</v>
      </c>
      <c r="Q22">
        <v>13</v>
      </c>
      <c r="R22">
        <v>16</v>
      </c>
      <c r="S22">
        <v>6</v>
      </c>
      <c r="T22">
        <v>9</v>
      </c>
      <c r="U22">
        <v>11</v>
      </c>
      <c r="V22">
        <v>14</v>
      </c>
      <c r="W22">
        <v>17</v>
      </c>
      <c r="X22">
        <v>13</v>
      </c>
      <c r="Y22">
        <v>16</v>
      </c>
      <c r="Z22">
        <v>18</v>
      </c>
      <c r="AA22">
        <v>19</v>
      </c>
      <c r="AB22">
        <v>20</v>
      </c>
      <c r="AD22" s="2">
        <f t="shared" si="32"/>
        <v>24</v>
      </c>
      <c r="AE22" s="2">
        <f t="shared" si="32"/>
        <v>34</v>
      </c>
      <c r="AF22" s="2">
        <f t="shared" si="32"/>
        <v>42</v>
      </c>
      <c r="AG22" s="2">
        <f t="shared" si="32"/>
        <v>52</v>
      </c>
      <c r="AH22" s="2">
        <f t="shared" si="32"/>
        <v>62</v>
      </c>
      <c r="AI22" s="2">
        <f t="shared" si="4"/>
        <v>71</v>
      </c>
      <c r="AJ22" s="2">
        <f t="shared" si="4"/>
        <v>143</v>
      </c>
      <c r="AK22" s="2">
        <f t="shared" si="5"/>
        <v>78</v>
      </c>
      <c r="AL22" s="2">
        <f t="shared" si="5"/>
        <v>136</v>
      </c>
      <c r="AN22" s="24">
        <f t="shared" ref="AN22:AV22" si="39">(AD22-MIN($AD22:$AL22))/(MAX($AD22:$AL22)-MIN($AD22:$AL22))</f>
        <v>0</v>
      </c>
      <c r="AO22" s="24">
        <f t="shared" si="39"/>
        <v>8.4033613445378158E-2</v>
      </c>
      <c r="AP22" s="24">
        <f t="shared" si="39"/>
        <v>0.15126050420168066</v>
      </c>
      <c r="AQ22" s="24">
        <f t="shared" si="39"/>
        <v>0.23529411764705882</v>
      </c>
      <c r="AR22" s="24">
        <f t="shared" si="39"/>
        <v>0.31932773109243695</v>
      </c>
      <c r="AS22" s="24">
        <f t="shared" si="39"/>
        <v>0.3949579831932773</v>
      </c>
      <c r="AT22" s="24">
        <f t="shared" si="39"/>
        <v>1</v>
      </c>
      <c r="AU22" s="24">
        <f t="shared" si="39"/>
        <v>0.45378151260504201</v>
      </c>
      <c r="AV22" s="24">
        <f t="shared" si="39"/>
        <v>0.94117647058823528</v>
      </c>
      <c r="AX22" s="26">
        <f t="shared" si="7"/>
        <v>0.31932773109243695</v>
      </c>
      <c r="AY22" s="26">
        <f t="shared" si="8"/>
        <v>0.60504201680672276</v>
      </c>
      <c r="AZ22" s="26">
        <f t="shared" si="9"/>
        <v>0.48739495798319327</v>
      </c>
      <c r="BB22" s="26">
        <f t="shared" si="10"/>
        <v>0.22619047619047616</v>
      </c>
      <c r="BC22" s="26">
        <f t="shared" si="11"/>
        <v>0.4285714285714286</v>
      </c>
      <c r="BD22" s="26">
        <f t="shared" si="12"/>
        <v>0.34523809523809523</v>
      </c>
      <c r="BF22" s="20" t="str">
        <f t="array" ref="BF22">INDEX($BB$6:$BD$6,,MATCH(MAX(BB22:BD22),BB22:BD22,0))</f>
        <v>Brand</v>
      </c>
      <c r="BG22" s="20" t="str">
        <f t="array" ref="BG22">INDEX(BH22:BJ22,,MATCH(BF22,$BH$6:$BJ$6,0))</f>
        <v>Coke</v>
      </c>
      <c r="BH22" s="6">
        <f t="array" ref="BH22">INDEX($AN$6:$AR$6,,MATCH(MIN(AN22:AR22),AN22:AR22,0))</f>
        <v>3.5</v>
      </c>
      <c r="BI22" s="31" t="str">
        <f t="array" ref="BI22">INDEX($AS$6:$AT$6,,MATCH(MIN(AS22:AT22),AS22:AT22,0))</f>
        <v>Coke</v>
      </c>
      <c r="BJ22" s="31" t="str">
        <f t="array" ref="BJ22">INDEX($AU$6:$AV$6,,MATCH(MIN(AU22:AV22),AU22:AV22,0))</f>
        <v>Diet</v>
      </c>
      <c r="BQ22" s="26">
        <f t="shared" si="23"/>
        <v>0.31932773109243695</v>
      </c>
      <c r="BR22" s="26">
        <f t="shared" si="19"/>
        <v>-0.60504201680672276</v>
      </c>
      <c r="BS22" s="26">
        <f t="shared" si="20"/>
        <v>-0.48739495798319327</v>
      </c>
      <c r="BT22" s="2"/>
      <c r="BU22" s="2"/>
      <c r="BV22" s="24">
        <f t="shared" si="13"/>
        <v>-0.73541467887777046</v>
      </c>
      <c r="BW22" s="24">
        <f t="shared" si="14"/>
        <v>-1.2884566711789229</v>
      </c>
      <c r="BX22" s="24">
        <f t="shared" si="15"/>
        <v>-0.81948491574395643</v>
      </c>
      <c r="CA22" s="9">
        <f t="shared" si="34"/>
        <v>0.35686823145824692</v>
      </c>
      <c r="CB22" s="9">
        <f t="shared" si="34"/>
        <v>1.930308392009328</v>
      </c>
      <c r="CC22" s="9">
        <f t="shared" si="34"/>
        <v>3.1017657667166976</v>
      </c>
      <c r="CD22" s="9">
        <f t="shared" si="34"/>
        <v>3.0590678521011658</v>
      </c>
      <c r="CE22" s="9">
        <f t="shared" si="34"/>
        <v>2.3645253854547392</v>
      </c>
      <c r="CF22" s="9">
        <f t="shared" si="21"/>
        <v>0.35686823145824692</v>
      </c>
      <c r="CI22" s="2" t="str">
        <f t="array" ref="CI22">INDEX($CA$6:$CE$6,,MATCH(MIN(CA22:CE22),CA22:CE22,0))</f>
        <v>Cluster 1</v>
      </c>
      <c r="CJ22" s="10" t="str">
        <f t="array" ref="CJ22">INDEX($CA$1:$CE$1,,MATCH(CI22,$CA$6:$CE$6,0))</f>
        <v>Diet Coke</v>
      </c>
      <c r="CK22" s="35" t="str">
        <f t="shared" si="24"/>
        <v>Diet Coke</v>
      </c>
      <c r="CL22" s="2" t="str">
        <f t="shared" si="17"/>
        <v/>
      </c>
      <c r="CM22" s="20"/>
      <c r="CN22"/>
      <c r="CO22"/>
    </row>
    <row r="23" spans="2:93">
      <c r="B23" s="18" t="s">
        <v>68</v>
      </c>
      <c r="C23" s="5">
        <v>3.75</v>
      </c>
      <c r="D23" s="19" t="s">
        <v>40</v>
      </c>
      <c r="E23" s="19" t="s">
        <v>43</v>
      </c>
      <c r="H23">
        <v>17</v>
      </c>
      <c r="I23">
        <v>1</v>
      </c>
      <c r="J23">
        <v>2</v>
      </c>
      <c r="K23">
        <v>4</v>
      </c>
      <c r="L23">
        <v>7</v>
      </c>
      <c r="M23">
        <v>10</v>
      </c>
      <c r="N23">
        <v>3</v>
      </c>
      <c r="O23">
        <v>6</v>
      </c>
      <c r="P23">
        <v>9</v>
      </c>
      <c r="Q23">
        <v>13</v>
      </c>
      <c r="R23">
        <v>16</v>
      </c>
      <c r="S23">
        <v>5</v>
      </c>
      <c r="T23">
        <v>8</v>
      </c>
      <c r="U23">
        <v>12</v>
      </c>
      <c r="V23">
        <v>15</v>
      </c>
      <c r="W23">
        <v>18</v>
      </c>
      <c r="X23">
        <v>11</v>
      </c>
      <c r="Y23">
        <v>14</v>
      </c>
      <c r="Z23">
        <v>17</v>
      </c>
      <c r="AA23">
        <v>19</v>
      </c>
      <c r="AB23">
        <v>20</v>
      </c>
      <c r="AD23" s="2">
        <f t="shared" si="32"/>
        <v>20</v>
      </c>
      <c r="AE23" s="2">
        <f t="shared" si="32"/>
        <v>30</v>
      </c>
      <c r="AF23" s="2">
        <f t="shared" si="32"/>
        <v>42</v>
      </c>
      <c r="AG23" s="2">
        <f t="shared" si="32"/>
        <v>54</v>
      </c>
      <c r="AH23" s="2">
        <f t="shared" si="32"/>
        <v>64</v>
      </c>
      <c r="AI23" s="2">
        <f t="shared" si="4"/>
        <v>71</v>
      </c>
      <c r="AJ23" s="2">
        <f t="shared" si="4"/>
        <v>139</v>
      </c>
      <c r="AK23" s="2">
        <f t="shared" si="5"/>
        <v>82</v>
      </c>
      <c r="AL23" s="2">
        <f t="shared" si="5"/>
        <v>128</v>
      </c>
      <c r="AN23" s="24">
        <f t="shared" ref="AN23:AV23" si="40">(AD23-MIN($AD23:$AL23))/(MAX($AD23:$AL23)-MIN($AD23:$AL23))</f>
        <v>0</v>
      </c>
      <c r="AO23" s="24">
        <f t="shared" si="40"/>
        <v>8.4033613445378158E-2</v>
      </c>
      <c r="AP23" s="24">
        <f t="shared" si="40"/>
        <v>0.18487394957983194</v>
      </c>
      <c r="AQ23" s="24">
        <f t="shared" si="40"/>
        <v>0.2857142857142857</v>
      </c>
      <c r="AR23" s="24">
        <f t="shared" si="40"/>
        <v>0.36974789915966388</v>
      </c>
      <c r="AS23" s="24">
        <f t="shared" si="40"/>
        <v>0.42857142857142855</v>
      </c>
      <c r="AT23" s="24">
        <f t="shared" si="40"/>
        <v>1</v>
      </c>
      <c r="AU23" s="24">
        <f t="shared" si="40"/>
        <v>0.52100840336134457</v>
      </c>
      <c r="AV23" s="24">
        <f t="shared" si="40"/>
        <v>0.90756302521008403</v>
      </c>
      <c r="AX23" s="26">
        <f t="shared" si="7"/>
        <v>0.36974789915966388</v>
      </c>
      <c r="AY23" s="26">
        <f t="shared" si="8"/>
        <v>0.5714285714285714</v>
      </c>
      <c r="AZ23" s="26">
        <f t="shared" si="9"/>
        <v>0.38655462184873945</v>
      </c>
      <c r="BB23" s="26">
        <f t="shared" si="10"/>
        <v>0.27848101265822789</v>
      </c>
      <c r="BC23" s="26">
        <f t="shared" si="11"/>
        <v>0.43037974683544306</v>
      </c>
      <c r="BD23" s="26">
        <f t="shared" si="12"/>
        <v>0.29113924050632911</v>
      </c>
      <c r="BF23" s="20" t="str">
        <f t="array" ref="BF23">INDEX($BB$6:$BD$6,,MATCH(MAX(BB23:BD23),BB23:BD23,0))</f>
        <v>Brand</v>
      </c>
      <c r="BG23" s="20" t="str">
        <f t="array" ref="BG23">INDEX(BH23:BJ23,,MATCH(BF23,$BH$6:$BJ$6,0))</f>
        <v>Coke</v>
      </c>
      <c r="BH23" s="6">
        <f t="array" ref="BH23">INDEX($AN$6:$AR$6,,MATCH(MIN(AN23:AR23),AN23:AR23,0))</f>
        <v>3.5</v>
      </c>
      <c r="BI23" s="31" t="str">
        <f t="array" ref="BI23">INDEX($AS$6:$AT$6,,MATCH(MIN(AS23:AT23),AS23:AT23,0))</f>
        <v>Coke</v>
      </c>
      <c r="BJ23" s="31" t="str">
        <f t="array" ref="BJ23">INDEX($AU$6:$AV$6,,MATCH(MIN(AU23:AV23),AU23:AV23,0))</f>
        <v>Diet</v>
      </c>
      <c r="BQ23" s="26">
        <f t="shared" si="23"/>
        <v>0.36974789915966388</v>
      </c>
      <c r="BR23" s="26">
        <f t="shared" si="19"/>
        <v>-0.5714285714285714</v>
      </c>
      <c r="BS23" s="26">
        <f t="shared" si="20"/>
        <v>-0.38655462184873945</v>
      </c>
      <c r="BT23" s="2"/>
      <c r="BU23" s="2"/>
      <c r="BV23" s="24">
        <f t="shared" si="13"/>
        <v>-0.28362734390937122</v>
      </c>
      <c r="BW23" s="24">
        <f t="shared" si="14"/>
        <v>-1.2203733791584976</v>
      </c>
      <c r="BX23" s="24">
        <f t="shared" si="15"/>
        <v>-0.5816238768588522</v>
      </c>
      <c r="CA23" s="9">
        <f t="shared" si="34"/>
        <v>0.50077597599760015</v>
      </c>
      <c r="CB23" s="9">
        <f t="shared" si="34"/>
        <v>1.7194707088490269</v>
      </c>
      <c r="CC23" s="9">
        <f t="shared" si="34"/>
        <v>2.9045413539337828</v>
      </c>
      <c r="CD23" s="9">
        <f t="shared" si="34"/>
        <v>2.5945537851433254</v>
      </c>
      <c r="CE23" s="9">
        <f t="shared" si="34"/>
        <v>2.3421623997157202</v>
      </c>
      <c r="CF23" s="9">
        <f t="shared" si="21"/>
        <v>0.50077597599760015</v>
      </c>
      <c r="CI23" s="2" t="str">
        <f t="array" ref="CI23">INDEX($CA$6:$CE$6,,MATCH(MIN(CA23:CE23),CA23:CE23,0))</f>
        <v>Cluster 1</v>
      </c>
      <c r="CJ23" s="10" t="str">
        <f t="array" ref="CJ23">INDEX($CA$1:$CE$1,,MATCH(CI23,$CA$6:$CE$6,0))</f>
        <v>Diet Coke</v>
      </c>
      <c r="CK23" s="35" t="str">
        <f t="shared" si="24"/>
        <v>Diet Coke</v>
      </c>
      <c r="CL23" s="2" t="str">
        <f t="shared" si="17"/>
        <v/>
      </c>
      <c r="CM23" s="20"/>
      <c r="CN23"/>
      <c r="CO23"/>
    </row>
    <row r="24" spans="2:93">
      <c r="B24" s="18" t="s">
        <v>69</v>
      </c>
      <c r="C24" s="5">
        <v>4</v>
      </c>
      <c r="D24" s="19" t="s">
        <v>40</v>
      </c>
      <c r="E24" s="19" t="s">
        <v>43</v>
      </c>
      <c r="H24">
        <v>18</v>
      </c>
      <c r="I24">
        <v>6</v>
      </c>
      <c r="J24">
        <v>9</v>
      </c>
      <c r="K24">
        <v>13</v>
      </c>
      <c r="L24">
        <v>16</v>
      </c>
      <c r="M24">
        <v>18</v>
      </c>
      <c r="N24">
        <v>11</v>
      </c>
      <c r="O24">
        <v>14</v>
      </c>
      <c r="P24">
        <v>17</v>
      </c>
      <c r="Q24">
        <v>19</v>
      </c>
      <c r="R24">
        <v>20</v>
      </c>
      <c r="S24">
        <v>1</v>
      </c>
      <c r="T24">
        <v>2</v>
      </c>
      <c r="U24">
        <v>4</v>
      </c>
      <c r="V24">
        <v>7</v>
      </c>
      <c r="W24">
        <v>10</v>
      </c>
      <c r="X24">
        <v>3</v>
      </c>
      <c r="Y24">
        <v>5</v>
      </c>
      <c r="Z24">
        <v>8</v>
      </c>
      <c r="AA24">
        <v>12</v>
      </c>
      <c r="AB24">
        <v>15</v>
      </c>
      <c r="AD24" s="2">
        <f t="shared" si="32"/>
        <v>21</v>
      </c>
      <c r="AE24" s="2">
        <f t="shared" si="32"/>
        <v>30</v>
      </c>
      <c r="AF24" s="2">
        <f t="shared" si="32"/>
        <v>42</v>
      </c>
      <c r="AG24" s="2">
        <f t="shared" si="32"/>
        <v>54</v>
      </c>
      <c r="AH24" s="2">
        <f t="shared" si="32"/>
        <v>63</v>
      </c>
      <c r="AI24" s="2">
        <f t="shared" si="4"/>
        <v>143</v>
      </c>
      <c r="AJ24" s="2">
        <f t="shared" si="4"/>
        <v>67</v>
      </c>
      <c r="AK24" s="2">
        <f t="shared" si="5"/>
        <v>86</v>
      </c>
      <c r="AL24" s="2">
        <f t="shared" si="5"/>
        <v>124</v>
      </c>
      <c r="AN24" s="24">
        <f t="shared" ref="AN24:AV24" si="41">(AD24-MIN($AD24:$AL24))/(MAX($AD24:$AL24)-MIN($AD24:$AL24))</f>
        <v>0</v>
      </c>
      <c r="AO24" s="24">
        <f t="shared" si="41"/>
        <v>7.3770491803278687E-2</v>
      </c>
      <c r="AP24" s="24">
        <f t="shared" si="41"/>
        <v>0.1721311475409836</v>
      </c>
      <c r="AQ24" s="24">
        <f t="shared" si="41"/>
        <v>0.27049180327868855</v>
      </c>
      <c r="AR24" s="24">
        <f t="shared" si="41"/>
        <v>0.34426229508196721</v>
      </c>
      <c r="AS24" s="24">
        <f t="shared" si="41"/>
        <v>1</v>
      </c>
      <c r="AT24" s="24">
        <f t="shared" si="41"/>
        <v>0.37704918032786883</v>
      </c>
      <c r="AU24" s="24">
        <f t="shared" si="41"/>
        <v>0.53278688524590168</v>
      </c>
      <c r="AV24" s="24">
        <f t="shared" si="41"/>
        <v>0.84426229508196726</v>
      </c>
      <c r="AX24" s="26">
        <f t="shared" si="7"/>
        <v>0.34426229508196721</v>
      </c>
      <c r="AY24" s="26">
        <f t="shared" si="8"/>
        <v>0.62295081967213117</v>
      </c>
      <c r="AZ24" s="26">
        <f t="shared" si="9"/>
        <v>0.31147540983606559</v>
      </c>
      <c r="BB24" s="26">
        <f t="shared" si="10"/>
        <v>0.26923076923076922</v>
      </c>
      <c r="BC24" s="26">
        <f t="shared" si="11"/>
        <v>0.48717948717948717</v>
      </c>
      <c r="BD24" s="26">
        <f t="shared" si="12"/>
        <v>0.24358974358974358</v>
      </c>
      <c r="BF24" s="20" t="str">
        <f t="array" ref="BF24">INDEX($BB$6:$BD$6,,MATCH(MAX(BB24:BD24),BB24:BD24,0))</f>
        <v>Brand</v>
      </c>
      <c r="BG24" s="20" t="str">
        <f t="array" ref="BG24">INDEX(BH24:BJ24,,MATCH(BF24,$BH$6:$BJ$6,0))</f>
        <v>Pepsi</v>
      </c>
      <c r="BH24" s="6">
        <f t="array" ref="BH24">INDEX($AN$6:$AR$6,,MATCH(MIN(AN24:AR24),AN24:AR24,0))</f>
        <v>3.5</v>
      </c>
      <c r="BI24" s="31" t="str">
        <f t="array" ref="BI24">INDEX($AS$6:$AT$6,,MATCH(MIN(AS24:AT24),AS24:AT24,0))</f>
        <v>Pepsi</v>
      </c>
      <c r="BJ24" s="31" t="str">
        <f t="array" ref="BJ24">INDEX($AU$6:$AV$6,,MATCH(MIN(AU24:AV24),AU24:AV24,0))</f>
        <v>Diet</v>
      </c>
      <c r="BQ24" s="26">
        <f t="shared" si="23"/>
        <v>0.34426229508196721</v>
      </c>
      <c r="BR24" s="26">
        <f t="shared" si="19"/>
        <v>0.62295081967213117</v>
      </c>
      <c r="BS24" s="26">
        <f t="shared" si="20"/>
        <v>-0.31147540983606559</v>
      </c>
      <c r="BT24" s="2"/>
      <c r="BU24" s="2"/>
      <c r="BV24" s="24">
        <f t="shared" si="13"/>
        <v>-0.51198979464476435</v>
      </c>
      <c r="BW24" s="24">
        <f t="shared" si="14"/>
        <v>1.198815726649227</v>
      </c>
      <c r="BX24" s="24">
        <f t="shared" si="15"/>
        <v>-0.40452788479275703</v>
      </c>
      <c r="CA24" s="9">
        <f t="shared" si="34"/>
        <v>2.4526815116526146</v>
      </c>
      <c r="CB24" s="9">
        <f t="shared" si="34"/>
        <v>2.7961742778198859</v>
      </c>
      <c r="CC24" s="9">
        <f t="shared" si="34"/>
        <v>1.5214645002992693</v>
      </c>
      <c r="CD24" s="9">
        <f t="shared" si="34"/>
        <v>2.5477931549112025</v>
      </c>
      <c r="CE24" s="9">
        <f t="shared" si="34"/>
        <v>0.79525695623610981</v>
      </c>
      <c r="CF24" s="9">
        <f t="shared" si="21"/>
        <v>0.79525695623610981</v>
      </c>
      <c r="CI24" s="2" t="str">
        <f t="array" ref="CI24">INDEX($CA$6:$CE$6,,MATCH(MIN(CA24:CE24),CA24:CE24,0))</f>
        <v>Cluster 5</v>
      </c>
      <c r="CJ24" s="10" t="str">
        <f t="array" ref="CJ24">INDEX($CA$1:$CE$1,,MATCH(CI24,$CA$6:$CE$6,0))</f>
        <v>Diet Pepsi</v>
      </c>
      <c r="CK24" s="35" t="str">
        <f t="shared" si="24"/>
        <v>Diet Pepsi</v>
      </c>
      <c r="CL24" s="2" t="str">
        <f t="shared" si="17"/>
        <v/>
      </c>
      <c r="CM24" s="20"/>
      <c r="CN24"/>
      <c r="CO24"/>
    </row>
    <row r="25" spans="2:93">
      <c r="B25" s="18" t="s">
        <v>70</v>
      </c>
      <c r="C25" s="5">
        <v>4.25</v>
      </c>
      <c r="D25" s="19" t="s">
        <v>40</v>
      </c>
      <c r="E25" s="19" t="s">
        <v>43</v>
      </c>
      <c r="H25">
        <v>19</v>
      </c>
      <c r="I25">
        <v>3</v>
      </c>
      <c r="J25">
        <v>7</v>
      </c>
      <c r="K25">
        <v>11</v>
      </c>
      <c r="L25">
        <v>15</v>
      </c>
      <c r="M25">
        <v>19</v>
      </c>
      <c r="N25">
        <v>4</v>
      </c>
      <c r="O25">
        <v>8</v>
      </c>
      <c r="P25">
        <v>12</v>
      </c>
      <c r="Q25">
        <v>16</v>
      </c>
      <c r="R25">
        <v>20</v>
      </c>
      <c r="S25">
        <v>1</v>
      </c>
      <c r="T25">
        <v>5</v>
      </c>
      <c r="U25">
        <v>9</v>
      </c>
      <c r="V25">
        <v>13</v>
      </c>
      <c r="W25">
        <v>17</v>
      </c>
      <c r="X25">
        <v>2</v>
      </c>
      <c r="Y25">
        <v>6</v>
      </c>
      <c r="Z25">
        <v>10</v>
      </c>
      <c r="AA25">
        <v>14</v>
      </c>
      <c r="AB25">
        <v>18</v>
      </c>
      <c r="AD25" s="2">
        <f t="shared" si="32"/>
        <v>10</v>
      </c>
      <c r="AE25" s="2">
        <f t="shared" si="32"/>
        <v>26</v>
      </c>
      <c r="AF25" s="2">
        <f t="shared" si="32"/>
        <v>42</v>
      </c>
      <c r="AG25" s="2">
        <f t="shared" si="32"/>
        <v>58</v>
      </c>
      <c r="AH25" s="2">
        <f t="shared" si="32"/>
        <v>74</v>
      </c>
      <c r="AI25" s="2">
        <f t="shared" si="4"/>
        <v>115</v>
      </c>
      <c r="AJ25" s="2">
        <f t="shared" si="4"/>
        <v>95</v>
      </c>
      <c r="AK25" s="2">
        <f t="shared" si="5"/>
        <v>100</v>
      </c>
      <c r="AL25" s="2">
        <f t="shared" si="5"/>
        <v>110</v>
      </c>
      <c r="AN25" s="24">
        <f t="shared" ref="AN25:AV25" si="42">(AD25-MIN($AD25:$AL25))/(MAX($AD25:$AL25)-MIN($AD25:$AL25))</f>
        <v>0</v>
      </c>
      <c r="AO25" s="24">
        <f t="shared" si="42"/>
        <v>0.15238095238095239</v>
      </c>
      <c r="AP25" s="24">
        <f t="shared" si="42"/>
        <v>0.30476190476190479</v>
      </c>
      <c r="AQ25" s="24">
        <f t="shared" si="42"/>
        <v>0.45714285714285713</v>
      </c>
      <c r="AR25" s="24">
        <f t="shared" si="42"/>
        <v>0.60952380952380958</v>
      </c>
      <c r="AS25" s="24">
        <f t="shared" si="42"/>
        <v>1</v>
      </c>
      <c r="AT25" s="24">
        <f t="shared" si="42"/>
        <v>0.80952380952380953</v>
      </c>
      <c r="AU25" s="24">
        <f t="shared" si="42"/>
        <v>0.8571428571428571</v>
      </c>
      <c r="AV25" s="24">
        <f t="shared" si="42"/>
        <v>0.95238095238095233</v>
      </c>
      <c r="AX25" s="26">
        <f t="shared" si="7"/>
        <v>0.60952380952380958</v>
      </c>
      <c r="AY25" s="26">
        <f t="shared" si="8"/>
        <v>0.19047619047619047</v>
      </c>
      <c r="AZ25" s="26">
        <f t="shared" si="9"/>
        <v>9.5238095238095233E-2</v>
      </c>
      <c r="BB25" s="26">
        <f t="shared" si="10"/>
        <v>0.68085106382978722</v>
      </c>
      <c r="BC25" s="26">
        <f t="shared" si="11"/>
        <v>0.21276595744680848</v>
      </c>
      <c r="BD25" s="26">
        <f t="shared" si="12"/>
        <v>0.10638297872340424</v>
      </c>
      <c r="BF25" s="20" t="str">
        <f t="array" ref="BF25">INDEX($BB$6:$BD$6,,MATCH(MAX(BB25:BD25),BB25:BD25,0))</f>
        <v>Price</v>
      </c>
      <c r="BG25" s="20">
        <f t="array" ref="BG25">INDEX(BH25:BJ25,,MATCH(BF25,$BH$6:$BJ$6,0))</f>
        <v>3.5</v>
      </c>
      <c r="BH25" s="6">
        <f t="array" ref="BH25">INDEX($AN$6:$AR$6,,MATCH(MIN(AN25:AR25),AN25:AR25,0))</f>
        <v>3.5</v>
      </c>
      <c r="BI25" s="31" t="str">
        <f t="array" ref="BI25">INDEX($AS$6:$AT$6,,MATCH(MIN(AS25:AT25),AS25:AT25,0))</f>
        <v>Pepsi</v>
      </c>
      <c r="BJ25" s="31" t="str">
        <f t="array" ref="BJ25">INDEX($AU$6:$AV$6,,MATCH(MIN(AU25:AV25),AU25:AV25,0))</f>
        <v>Diet</v>
      </c>
      <c r="BQ25" s="26">
        <f t="shared" si="23"/>
        <v>0.60952380952380958</v>
      </c>
      <c r="BR25" s="26">
        <f t="shared" si="19"/>
        <v>0.19047619047619047</v>
      </c>
      <c r="BS25" s="26">
        <f t="shared" si="20"/>
        <v>-9.5238095238095233E-2</v>
      </c>
      <c r="BT25" s="2"/>
      <c r="BU25" s="2"/>
      <c r="BV25" s="24">
        <f t="shared" si="13"/>
        <v>1.8648724268292369</v>
      </c>
      <c r="BW25" s="24">
        <f t="shared" si="14"/>
        <v>0.3228479066378025</v>
      </c>
      <c r="BX25" s="24">
        <f t="shared" si="15"/>
        <v>0.10553023547589302</v>
      </c>
      <c r="CA25" s="9">
        <f t="shared" si="34"/>
        <v>3.0066799097482408</v>
      </c>
      <c r="CB25" s="9">
        <f t="shared" si="34"/>
        <v>3.0597132680972456</v>
      </c>
      <c r="CC25" s="9">
        <f t="shared" si="34"/>
        <v>2.7054081759713133</v>
      </c>
      <c r="CD25" s="9">
        <f t="shared" si="34"/>
        <v>0.15776329799580047</v>
      </c>
      <c r="CE25" s="9">
        <f t="shared" si="34"/>
        <v>2.7719775097644486</v>
      </c>
      <c r="CF25" s="9">
        <f t="shared" si="21"/>
        <v>0.15776329799580047</v>
      </c>
      <c r="CI25" s="2" t="str">
        <f t="array" ref="CI25">INDEX($CA$6:$CE$6,,MATCH(MIN(CA25:CE25),CA25:CE25,0))</f>
        <v>Cluster 4</v>
      </c>
      <c r="CJ25" s="10" t="str">
        <f t="array" ref="CJ25">INDEX($CA$1:$CE$1,,MATCH(CI25,$CA$6:$CE$6,0))</f>
        <v>Price Only</v>
      </c>
      <c r="CK25" s="35" t="str">
        <f t="shared" si="24"/>
        <v>Price Only</v>
      </c>
      <c r="CL25" s="2" t="str">
        <f t="shared" si="17"/>
        <v/>
      </c>
      <c r="CM25" s="20"/>
      <c r="CN25"/>
      <c r="CO25"/>
    </row>
    <row r="26" spans="2:93">
      <c r="B26" s="18" t="s">
        <v>71</v>
      </c>
      <c r="C26" s="5">
        <v>4.5</v>
      </c>
      <c r="D26" s="19" t="s">
        <v>40</v>
      </c>
      <c r="E26" s="19" t="s">
        <v>43</v>
      </c>
      <c r="H26">
        <v>20</v>
      </c>
      <c r="I26">
        <v>10</v>
      </c>
      <c r="J26">
        <v>14</v>
      </c>
      <c r="K26">
        <v>17</v>
      </c>
      <c r="L26">
        <v>19</v>
      </c>
      <c r="M26">
        <v>20</v>
      </c>
      <c r="N26">
        <v>5</v>
      </c>
      <c r="O26">
        <v>8</v>
      </c>
      <c r="P26">
        <v>12</v>
      </c>
      <c r="Q26">
        <v>15</v>
      </c>
      <c r="R26">
        <v>18</v>
      </c>
      <c r="S26">
        <v>3</v>
      </c>
      <c r="T26">
        <v>6</v>
      </c>
      <c r="U26">
        <v>9</v>
      </c>
      <c r="V26">
        <v>13</v>
      </c>
      <c r="W26">
        <v>16</v>
      </c>
      <c r="X26">
        <v>1</v>
      </c>
      <c r="Y26">
        <v>2</v>
      </c>
      <c r="Z26">
        <v>4</v>
      </c>
      <c r="AA26">
        <v>7</v>
      </c>
      <c r="AB26">
        <v>11</v>
      </c>
      <c r="AD26" s="2">
        <f t="shared" si="32"/>
        <v>19</v>
      </c>
      <c r="AE26" s="2">
        <f t="shared" si="32"/>
        <v>30</v>
      </c>
      <c r="AF26" s="2">
        <f t="shared" si="32"/>
        <v>42</v>
      </c>
      <c r="AG26" s="2">
        <f t="shared" si="32"/>
        <v>54</v>
      </c>
      <c r="AH26" s="2">
        <f t="shared" si="32"/>
        <v>65</v>
      </c>
      <c r="AI26" s="2">
        <f t="shared" si="4"/>
        <v>138</v>
      </c>
      <c r="AJ26" s="2">
        <f t="shared" si="4"/>
        <v>72</v>
      </c>
      <c r="AK26" s="2">
        <f t="shared" si="5"/>
        <v>127</v>
      </c>
      <c r="AL26" s="2">
        <f t="shared" si="5"/>
        <v>83</v>
      </c>
      <c r="AN26" s="24">
        <f t="shared" ref="AN26:AV26" si="43">(AD26-MIN($AD26:$AL26))/(MAX($AD26:$AL26)-MIN($AD26:$AL26))</f>
        <v>0</v>
      </c>
      <c r="AO26" s="24">
        <f t="shared" si="43"/>
        <v>9.2436974789915971E-2</v>
      </c>
      <c r="AP26" s="24">
        <f t="shared" si="43"/>
        <v>0.19327731092436976</v>
      </c>
      <c r="AQ26" s="24">
        <f t="shared" si="43"/>
        <v>0.29411764705882354</v>
      </c>
      <c r="AR26" s="24">
        <f t="shared" si="43"/>
        <v>0.38655462184873951</v>
      </c>
      <c r="AS26" s="24">
        <f t="shared" si="43"/>
        <v>1</v>
      </c>
      <c r="AT26" s="24">
        <f t="shared" si="43"/>
        <v>0.44537815126050423</v>
      </c>
      <c r="AU26" s="24">
        <f t="shared" si="43"/>
        <v>0.90756302521008403</v>
      </c>
      <c r="AV26" s="24">
        <f t="shared" si="43"/>
        <v>0.53781512605042014</v>
      </c>
      <c r="AX26" s="26">
        <f t="shared" si="7"/>
        <v>0.38655462184873951</v>
      </c>
      <c r="AY26" s="26">
        <f t="shared" si="8"/>
        <v>0.55462184873949583</v>
      </c>
      <c r="AZ26" s="26">
        <f t="shared" si="9"/>
        <v>0.36974789915966388</v>
      </c>
      <c r="BB26" s="26">
        <f t="shared" si="10"/>
        <v>0.29487179487179488</v>
      </c>
      <c r="BC26" s="26">
        <f t="shared" si="11"/>
        <v>0.42307692307692307</v>
      </c>
      <c r="BD26" s="26">
        <f t="shared" si="12"/>
        <v>0.28205128205128205</v>
      </c>
      <c r="BF26" s="20" t="str">
        <f t="array" ref="BF26">INDEX($BB$6:$BD$6,,MATCH(MAX(BB26:BD26),BB26:BD26,0))</f>
        <v>Brand</v>
      </c>
      <c r="BG26" s="20" t="str">
        <f t="array" ref="BG26">INDEX(BH26:BJ26,,MATCH(BF26,$BH$6:$BJ$6,0))</f>
        <v>Pepsi</v>
      </c>
      <c r="BH26" s="6">
        <f t="array" ref="BH26">INDEX($AN$6:$AR$6,,MATCH(MIN(AN26:AR26),AN26:AR26,0))</f>
        <v>3.5</v>
      </c>
      <c r="BI26" s="31" t="str">
        <f t="array" ref="BI26">INDEX($AS$6:$AT$6,,MATCH(MIN(AS26:AT26),AS26:AT26,0))</f>
        <v>Pepsi</v>
      </c>
      <c r="BJ26" s="31" t="str">
        <f t="array" ref="BJ26">INDEX($AU$6:$AV$6,,MATCH(MIN(AU26:AV26),AU26:AV26,0))</f>
        <v>Regular</v>
      </c>
      <c r="BQ26" s="26">
        <f t="shared" si="23"/>
        <v>0.38655462184873951</v>
      </c>
      <c r="BR26" s="26">
        <f t="shared" si="19"/>
        <v>0.55462184873949583</v>
      </c>
      <c r="BS26" s="26">
        <f t="shared" si="20"/>
        <v>0.36974789915966388</v>
      </c>
      <c r="BT26" s="2"/>
      <c r="BU26" s="2"/>
      <c r="BV26" s="24">
        <f t="shared" si="13"/>
        <v>-0.13303156558657164</v>
      </c>
      <c r="BW26" s="24">
        <f t="shared" si="14"/>
        <v>1.0604169035257403</v>
      </c>
      <c r="BX26" s="24">
        <f t="shared" si="15"/>
        <v>1.2023339147794287</v>
      </c>
      <c r="CA26" s="9">
        <f t="shared" si="34"/>
        <v>3.1813404652889017</v>
      </c>
      <c r="CB26" s="9">
        <f t="shared" si="34"/>
        <v>2.269761541020483</v>
      </c>
      <c r="CC26" s="9">
        <f t="shared" si="34"/>
        <v>0.39544728783818461</v>
      </c>
      <c r="CD26" s="9">
        <f t="shared" si="34"/>
        <v>2.4174778056245549</v>
      </c>
      <c r="CE26" s="9">
        <f t="shared" si="34"/>
        <v>2.4103756514812456</v>
      </c>
      <c r="CF26" s="9">
        <f t="shared" si="21"/>
        <v>0.39544728783818461</v>
      </c>
      <c r="CI26" s="2" t="str">
        <f t="array" ref="CI26">INDEX($CA$6:$CE$6,,MATCH(MIN(CA26:CE26),CA26:CE26,0))</f>
        <v>Cluster 3</v>
      </c>
      <c r="CJ26" s="10" t="str">
        <f t="array" ref="CJ26">INDEX($CA$1:$CE$1,,MATCH(CI26,$CA$6:$CE$6,0))</f>
        <v>Regular Pepsi</v>
      </c>
      <c r="CK26" s="35" t="str">
        <f t="shared" si="24"/>
        <v>Regular Pepsi</v>
      </c>
      <c r="CL26" s="2" t="str">
        <f t="shared" si="17"/>
        <v/>
      </c>
      <c r="CM26" s="20"/>
      <c r="CN26"/>
      <c r="CO26"/>
    </row>
    <row r="27" spans="2:93">
      <c r="AN27" s="24"/>
      <c r="AO27" s="24"/>
      <c r="AP27" s="24"/>
      <c r="AQ27" s="24"/>
      <c r="AR27" s="24"/>
      <c r="AS27" s="24"/>
      <c r="AT27" s="24"/>
      <c r="AU27" s="24"/>
      <c r="AV27" s="24"/>
      <c r="AX27" s="26"/>
      <c r="AY27" s="26"/>
      <c r="AZ27" s="26"/>
      <c r="BB27" s="26"/>
      <c r="BC27" s="26"/>
      <c r="BD27" s="26"/>
      <c r="BF27" s="20"/>
      <c r="BG27" s="20"/>
      <c r="BI27" s="31"/>
      <c r="BJ27" s="31"/>
      <c r="BQ27" s="26"/>
      <c r="BR27" s="26"/>
      <c r="BS27" s="26"/>
      <c r="BT27" s="2"/>
      <c r="BU27" s="2"/>
      <c r="BV27" s="24"/>
      <c r="BW27" s="24"/>
      <c r="BX27" s="24"/>
      <c r="CK27" s="35"/>
      <c r="CN27"/>
      <c r="CO27"/>
    </row>
    <row r="28" spans="2:93">
      <c r="AN28" s="24"/>
      <c r="AO28" s="24"/>
      <c r="AP28" s="24"/>
      <c r="AQ28" s="24"/>
      <c r="AR28" s="24"/>
      <c r="AS28" s="24"/>
      <c r="AT28" s="24"/>
      <c r="AU28" s="24"/>
      <c r="AV28" s="24"/>
      <c r="AX28" s="26"/>
      <c r="AY28" s="26"/>
      <c r="AZ28" s="26"/>
      <c r="BB28" s="26"/>
      <c r="BC28" s="26"/>
      <c r="BD28" s="26"/>
      <c r="BF28" s="20"/>
      <c r="BG28" s="20"/>
      <c r="BI28" s="31"/>
      <c r="BJ28" s="31"/>
      <c r="BQ28" s="26"/>
      <c r="BR28" s="26"/>
      <c r="BS28" s="26"/>
      <c r="BT28" s="2"/>
      <c r="BU28" s="2"/>
      <c r="BV28" s="24"/>
      <c r="BW28" s="24"/>
      <c r="BX28" s="24"/>
      <c r="CK28" s="35"/>
      <c r="CN28"/>
      <c r="CO28"/>
    </row>
    <row r="29" spans="2:93">
      <c r="AN29" s="24"/>
      <c r="AO29" s="24"/>
      <c r="AP29" s="24"/>
      <c r="AQ29" s="24"/>
      <c r="AR29" s="24"/>
      <c r="AS29" s="24"/>
      <c r="AT29" s="24"/>
      <c r="AU29" s="24"/>
      <c r="AV29" s="24"/>
      <c r="AX29" s="26"/>
      <c r="AY29" s="26"/>
      <c r="AZ29" s="26"/>
      <c r="BB29" s="26"/>
      <c r="BC29" s="26"/>
      <c r="BD29" s="26"/>
      <c r="BF29" s="20"/>
      <c r="BG29" s="20"/>
      <c r="BI29" s="31"/>
      <c r="BJ29" s="31"/>
      <c r="BQ29" s="26"/>
      <c r="BR29" s="26"/>
      <c r="BS29" s="26"/>
      <c r="BT29" s="2"/>
      <c r="BU29" s="2"/>
      <c r="BV29" s="24"/>
      <c r="BW29" s="24"/>
      <c r="BX29" s="24"/>
      <c r="CK29" s="35"/>
      <c r="CN29"/>
      <c r="CO29"/>
    </row>
    <row r="30" spans="2:93">
      <c r="AN30" s="24"/>
      <c r="AO30" s="24"/>
      <c r="AP30" s="24"/>
      <c r="AQ30" s="24"/>
      <c r="AR30" s="24"/>
      <c r="AS30" s="24"/>
      <c r="AT30" s="24"/>
      <c r="AU30" s="24"/>
      <c r="AV30" s="24"/>
      <c r="AX30" s="26"/>
      <c r="AY30" s="26"/>
      <c r="AZ30" s="26"/>
      <c r="BB30" s="26"/>
      <c r="BC30" s="26"/>
      <c r="BD30" s="26"/>
      <c r="BF30" s="20"/>
      <c r="BG30" s="20"/>
      <c r="BI30" s="31"/>
      <c r="BJ30" s="31"/>
      <c r="BQ30" s="26"/>
      <c r="BR30" s="26"/>
      <c r="BS30" s="26"/>
      <c r="BT30" s="2"/>
      <c r="BU30" s="2"/>
      <c r="BV30" s="24"/>
      <c r="BW30" s="24"/>
      <c r="BX30" s="24"/>
      <c r="CK30" s="35"/>
      <c r="CN30"/>
      <c r="CO30"/>
    </row>
    <row r="31" spans="2:93">
      <c r="AN31" s="24"/>
      <c r="AO31" s="24"/>
      <c r="AP31" s="24"/>
      <c r="AQ31" s="24"/>
      <c r="AR31" s="24"/>
      <c r="AS31" s="24"/>
      <c r="AT31" s="24"/>
      <c r="AU31" s="24"/>
      <c r="AV31" s="24"/>
      <c r="AX31" s="26"/>
      <c r="AY31" s="26"/>
      <c r="AZ31" s="26"/>
      <c r="BB31" s="26"/>
      <c r="BC31" s="26"/>
      <c r="BD31" s="26"/>
      <c r="BF31" s="20"/>
      <c r="BG31" s="20"/>
      <c r="BI31" s="31"/>
      <c r="BJ31" s="31"/>
      <c r="BQ31" s="26"/>
      <c r="BR31" s="26"/>
      <c r="BS31" s="26"/>
      <c r="BT31" s="2"/>
      <c r="BU31" s="2"/>
      <c r="BV31" s="24"/>
      <c r="BW31" s="24"/>
      <c r="BX31" s="24"/>
      <c r="CK31" s="35"/>
      <c r="CN31"/>
      <c r="CO31"/>
    </row>
    <row r="32" spans="2:93">
      <c r="AN32" s="24"/>
      <c r="AO32" s="24"/>
      <c r="AP32" s="24"/>
      <c r="AQ32" s="24"/>
      <c r="AR32" s="24"/>
      <c r="AS32" s="24"/>
      <c r="AT32" s="24"/>
      <c r="AU32" s="24"/>
      <c r="AV32" s="24"/>
      <c r="AX32" s="26"/>
      <c r="AY32" s="26"/>
      <c r="AZ32" s="26"/>
      <c r="BB32" s="26"/>
      <c r="BC32" s="26"/>
      <c r="BD32" s="26"/>
      <c r="BF32" s="20"/>
      <c r="BG32" s="20"/>
      <c r="BI32" s="31"/>
      <c r="BJ32" s="31"/>
      <c r="BQ32" s="26"/>
      <c r="BR32" s="26"/>
      <c r="BS32" s="26"/>
      <c r="BT32" s="2"/>
      <c r="BU32" s="2"/>
      <c r="BV32" s="24"/>
      <c r="BW32" s="24"/>
      <c r="BX32" s="24"/>
      <c r="CK32" s="35"/>
      <c r="CN32"/>
      <c r="CO32"/>
    </row>
    <row r="33" spans="40:93">
      <c r="AN33" s="24"/>
      <c r="AO33" s="24"/>
      <c r="AP33" s="24"/>
      <c r="AQ33" s="24"/>
      <c r="AR33" s="24"/>
      <c r="AS33" s="24"/>
      <c r="AT33" s="24"/>
      <c r="AU33" s="24"/>
      <c r="AV33" s="24"/>
      <c r="AX33" s="26"/>
      <c r="AY33" s="26"/>
      <c r="AZ33" s="26"/>
      <c r="BB33" s="26"/>
      <c r="BC33" s="26"/>
      <c r="BD33" s="26"/>
      <c r="BF33" s="20"/>
      <c r="BG33" s="20"/>
      <c r="BI33" s="31"/>
      <c r="BJ33" s="31"/>
      <c r="BQ33" s="26"/>
      <c r="BR33" s="26"/>
      <c r="BS33" s="26"/>
      <c r="BT33" s="2"/>
      <c r="BU33" s="2"/>
      <c r="BV33" s="24"/>
      <c r="BW33" s="24"/>
      <c r="BX33" s="24"/>
      <c r="CK33" s="35"/>
      <c r="CN33"/>
      <c r="CO33"/>
    </row>
    <row r="34" spans="40:93">
      <c r="AN34" s="24"/>
      <c r="AO34" s="24"/>
      <c r="AP34" s="24"/>
      <c r="AQ34" s="24"/>
      <c r="AR34" s="24"/>
      <c r="AS34" s="24"/>
      <c r="AT34" s="24"/>
      <c r="AU34" s="24"/>
      <c r="AV34" s="24"/>
      <c r="AX34" s="26"/>
      <c r="AY34" s="26"/>
      <c r="AZ34" s="26"/>
      <c r="BB34" s="26"/>
      <c r="BC34" s="26"/>
      <c r="BD34" s="26"/>
      <c r="BF34" s="20"/>
      <c r="BG34" s="20"/>
      <c r="BI34" s="31"/>
      <c r="BJ34" s="31"/>
      <c r="BQ34" s="26"/>
      <c r="BR34" s="26"/>
      <c r="BS34" s="26"/>
      <c r="BT34" s="2"/>
      <c r="BU34" s="2"/>
      <c r="BV34" s="24"/>
      <c r="BW34" s="24"/>
      <c r="BX34" s="24"/>
      <c r="CK34" s="35"/>
      <c r="CN34"/>
      <c r="CO34"/>
    </row>
    <row r="35" spans="40:93">
      <c r="AN35" s="24"/>
      <c r="AO35" s="24"/>
      <c r="AP35" s="24"/>
      <c r="AQ35" s="24"/>
      <c r="AR35" s="24"/>
      <c r="AS35" s="24"/>
      <c r="AT35" s="24"/>
      <c r="AU35" s="24"/>
      <c r="AV35" s="24"/>
      <c r="AX35" s="26"/>
      <c r="AY35" s="26"/>
      <c r="AZ35" s="26"/>
      <c r="BB35" s="26"/>
      <c r="BC35" s="26"/>
      <c r="BD35" s="26"/>
      <c r="BF35" s="20"/>
      <c r="BG35" s="20"/>
      <c r="BI35" s="31"/>
      <c r="BJ35" s="31"/>
      <c r="BQ35" s="26"/>
      <c r="BR35" s="26"/>
      <c r="BS35" s="26"/>
      <c r="BT35" s="2"/>
      <c r="BU35" s="2"/>
      <c r="BV35" s="24"/>
      <c r="BW35" s="24"/>
      <c r="BX35" s="24"/>
      <c r="CK35" s="35"/>
      <c r="CN35"/>
      <c r="CO35"/>
    </row>
    <row r="36" spans="40:93">
      <c r="AN36" s="24"/>
      <c r="AO36" s="24"/>
      <c r="AP36" s="24"/>
      <c r="AQ36" s="24"/>
      <c r="AR36" s="24"/>
      <c r="AS36" s="24"/>
      <c r="AT36" s="24"/>
      <c r="AU36" s="24"/>
      <c r="AV36" s="24"/>
      <c r="AX36" s="26"/>
      <c r="AY36" s="26"/>
      <c r="AZ36" s="26"/>
      <c r="BB36" s="26"/>
      <c r="BC36" s="26"/>
      <c r="BD36" s="26"/>
      <c r="BF36" s="20"/>
      <c r="BG36" s="20"/>
      <c r="BI36" s="31"/>
      <c r="BJ36" s="31"/>
      <c r="BQ36" s="26"/>
      <c r="BR36" s="26"/>
      <c r="BS36" s="26"/>
      <c r="BT36" s="2"/>
      <c r="BU36" s="2"/>
      <c r="BV36" s="24"/>
      <c r="BW36" s="24"/>
      <c r="BX36" s="24"/>
      <c r="CK36" s="35"/>
      <c r="CN36"/>
      <c r="CO36"/>
    </row>
    <row r="37" spans="40:93">
      <c r="AN37" s="24"/>
      <c r="AO37" s="24"/>
      <c r="AP37" s="24"/>
      <c r="AQ37" s="24"/>
      <c r="AR37" s="24"/>
      <c r="AS37" s="24"/>
      <c r="AT37" s="24"/>
      <c r="AU37" s="24"/>
      <c r="AV37" s="24"/>
      <c r="AX37" s="26"/>
      <c r="AY37" s="26"/>
      <c r="AZ37" s="26"/>
      <c r="BB37" s="26"/>
      <c r="BC37" s="26"/>
      <c r="BD37" s="26"/>
      <c r="BF37" s="20"/>
      <c r="BG37" s="20"/>
      <c r="BI37" s="31"/>
      <c r="BJ37" s="31"/>
      <c r="BQ37" s="26"/>
      <c r="BR37" s="26"/>
      <c r="BS37" s="26"/>
      <c r="BT37" s="2"/>
      <c r="BU37" s="2"/>
      <c r="BV37" s="24"/>
      <c r="BW37" s="24"/>
      <c r="BX37" s="24"/>
      <c r="CK37" s="35"/>
      <c r="CN37"/>
      <c r="CO37"/>
    </row>
    <row r="38" spans="40:93">
      <c r="AN38" s="24"/>
      <c r="AO38" s="24"/>
      <c r="AP38" s="24"/>
      <c r="AQ38" s="24"/>
      <c r="AR38" s="24"/>
      <c r="AS38" s="24"/>
      <c r="AT38" s="24"/>
      <c r="AU38" s="24"/>
      <c r="AV38" s="24"/>
      <c r="AX38" s="26"/>
      <c r="AY38" s="26"/>
      <c r="AZ38" s="26"/>
      <c r="BB38" s="26"/>
      <c r="BC38" s="26"/>
      <c r="BD38" s="26"/>
      <c r="BF38" s="20"/>
      <c r="BG38" s="20"/>
      <c r="BI38" s="31"/>
      <c r="BJ38" s="31"/>
      <c r="BQ38" s="26"/>
      <c r="BR38" s="26"/>
      <c r="BS38" s="26"/>
      <c r="BT38" s="2"/>
      <c r="BU38" s="2"/>
      <c r="BV38" s="24"/>
      <c r="BW38" s="24"/>
      <c r="BX38" s="24"/>
      <c r="CK38" s="35"/>
      <c r="CN38"/>
      <c r="CO38"/>
    </row>
    <row r="39" spans="40:93">
      <c r="AN39" s="24"/>
      <c r="AO39" s="24"/>
      <c r="AP39" s="24"/>
      <c r="AQ39" s="24"/>
      <c r="AR39" s="24"/>
      <c r="AS39" s="24"/>
      <c r="AT39" s="24"/>
      <c r="AU39" s="24"/>
      <c r="AV39" s="24"/>
      <c r="AX39" s="26"/>
      <c r="AY39" s="26"/>
      <c r="AZ39" s="26"/>
      <c r="BB39" s="26"/>
      <c r="BC39" s="26"/>
      <c r="BD39" s="26"/>
      <c r="BF39" s="20"/>
      <c r="BG39" s="20"/>
      <c r="BI39" s="31"/>
      <c r="BJ39" s="31"/>
      <c r="BQ39" s="26"/>
      <c r="BR39" s="26"/>
      <c r="BS39" s="26"/>
      <c r="BT39" s="2"/>
      <c r="BU39" s="2"/>
      <c r="BV39" s="24"/>
      <c r="BW39" s="24"/>
      <c r="BX39" s="24"/>
      <c r="CK39" s="35"/>
      <c r="CN39"/>
      <c r="CO39"/>
    </row>
    <row r="40" spans="40:93">
      <c r="AN40" s="24"/>
      <c r="AO40" s="24"/>
      <c r="AP40" s="24"/>
      <c r="AQ40" s="24"/>
      <c r="AR40" s="24"/>
      <c r="AS40" s="24"/>
      <c r="AT40" s="24"/>
      <c r="AU40" s="24"/>
      <c r="AV40" s="24"/>
      <c r="AX40" s="26"/>
      <c r="AY40" s="26"/>
      <c r="AZ40" s="26"/>
      <c r="BB40" s="26"/>
      <c r="BC40" s="26"/>
      <c r="BD40" s="26"/>
      <c r="BF40" s="20"/>
      <c r="BG40" s="20"/>
      <c r="BI40" s="31"/>
      <c r="BJ40" s="31"/>
      <c r="BQ40" s="26"/>
      <c r="BR40" s="26"/>
      <c r="BS40" s="26"/>
      <c r="BT40" s="2"/>
      <c r="BU40" s="2"/>
      <c r="BV40" s="24"/>
      <c r="BW40" s="24"/>
      <c r="BX40" s="24"/>
      <c r="CK40" s="35"/>
      <c r="CN40"/>
      <c r="CO40"/>
    </row>
    <row r="41" spans="40:93">
      <c r="AN41" s="24"/>
      <c r="AO41" s="24"/>
      <c r="AP41" s="24"/>
      <c r="AQ41" s="24"/>
      <c r="AR41" s="24"/>
      <c r="AS41" s="24"/>
      <c r="AT41" s="24"/>
      <c r="AU41" s="24"/>
      <c r="AV41" s="24"/>
      <c r="AX41" s="26"/>
      <c r="AY41" s="26"/>
      <c r="AZ41" s="26"/>
      <c r="BB41" s="26"/>
      <c r="BC41" s="26"/>
      <c r="BD41" s="26"/>
      <c r="BF41" s="20"/>
      <c r="BG41" s="20"/>
      <c r="BI41" s="31"/>
      <c r="BJ41" s="31"/>
      <c r="BQ41" s="26"/>
      <c r="BR41" s="26"/>
      <c r="BS41" s="26"/>
      <c r="BT41" s="2"/>
      <c r="BU41" s="2"/>
      <c r="BV41" s="24"/>
      <c r="BW41" s="24"/>
      <c r="BX41" s="24"/>
      <c r="CK41" s="35"/>
      <c r="CN41"/>
      <c r="CO41"/>
    </row>
    <row r="42" spans="40:93">
      <c r="AN42" s="24"/>
      <c r="AO42" s="24"/>
      <c r="AP42" s="24"/>
      <c r="AQ42" s="24"/>
      <c r="AR42" s="24"/>
      <c r="AS42" s="24"/>
      <c r="AT42" s="24"/>
      <c r="AU42" s="24"/>
      <c r="AV42" s="24"/>
      <c r="AX42" s="26"/>
      <c r="AY42" s="26"/>
      <c r="AZ42" s="26"/>
      <c r="BB42" s="26"/>
      <c r="BC42" s="26"/>
      <c r="BD42" s="26"/>
      <c r="BF42" s="20"/>
      <c r="BG42" s="20"/>
      <c r="BI42" s="31"/>
      <c r="BJ42" s="31"/>
      <c r="BQ42" s="26"/>
      <c r="BR42" s="26"/>
      <c r="BS42" s="26"/>
      <c r="BT42" s="2"/>
      <c r="BU42" s="2"/>
      <c r="BV42" s="24"/>
      <c r="BW42" s="24"/>
      <c r="BX42" s="24"/>
      <c r="CK42" s="35"/>
      <c r="CN42"/>
      <c r="CO42"/>
    </row>
    <row r="43" spans="40:93">
      <c r="AN43" s="24"/>
      <c r="AO43" s="24"/>
      <c r="AP43" s="24"/>
      <c r="AQ43" s="24"/>
      <c r="AR43" s="24"/>
      <c r="AS43" s="24"/>
      <c r="AT43" s="24"/>
      <c r="AU43" s="24"/>
      <c r="AV43" s="24"/>
      <c r="AX43" s="26"/>
      <c r="AY43" s="26"/>
      <c r="AZ43" s="26"/>
      <c r="BB43" s="26"/>
      <c r="BC43" s="26"/>
      <c r="BD43" s="26"/>
      <c r="BF43" s="20"/>
      <c r="BG43" s="20"/>
      <c r="BI43" s="31"/>
      <c r="BJ43" s="31"/>
      <c r="BQ43" s="26"/>
      <c r="BR43" s="26"/>
      <c r="BS43" s="26"/>
      <c r="BT43" s="2"/>
      <c r="BU43" s="2"/>
      <c r="BV43" s="24"/>
      <c r="BW43" s="24"/>
      <c r="BX43" s="24"/>
      <c r="CK43" s="35"/>
      <c r="CN43"/>
      <c r="CO43"/>
    </row>
    <row r="44" spans="40:93">
      <c r="AN44" s="24"/>
      <c r="AO44" s="24"/>
      <c r="AP44" s="24"/>
      <c r="AQ44" s="24"/>
      <c r="AR44" s="24"/>
      <c r="AS44" s="24"/>
      <c r="AT44" s="24"/>
      <c r="AU44" s="24"/>
      <c r="AV44" s="24"/>
      <c r="AX44" s="26"/>
      <c r="AY44" s="26"/>
      <c r="AZ44" s="26"/>
      <c r="BB44" s="26"/>
      <c r="BC44" s="26"/>
      <c r="BD44" s="26"/>
      <c r="BF44" s="20"/>
      <c r="BG44" s="20"/>
      <c r="BI44" s="31"/>
      <c r="BJ44" s="31"/>
      <c r="BQ44" s="26"/>
      <c r="BR44" s="26"/>
      <c r="BS44" s="26"/>
      <c r="BT44" s="2"/>
      <c r="BU44" s="2"/>
      <c r="BV44" s="24"/>
      <c r="BW44" s="24"/>
      <c r="BX44" s="24"/>
      <c r="CK44" s="35"/>
      <c r="CN44"/>
      <c r="CO44"/>
    </row>
    <row r="45" spans="40:93">
      <c r="AN45" s="24"/>
      <c r="AO45" s="24"/>
      <c r="AP45" s="24"/>
      <c r="AQ45" s="24"/>
      <c r="AR45" s="24"/>
      <c r="AS45" s="24"/>
      <c r="AT45" s="24"/>
      <c r="AU45" s="24"/>
      <c r="AV45" s="24"/>
      <c r="AX45" s="26"/>
      <c r="AY45" s="26"/>
      <c r="AZ45" s="26"/>
      <c r="BB45" s="26"/>
      <c r="BC45" s="26"/>
      <c r="BD45" s="26"/>
      <c r="BF45" s="20"/>
      <c r="BG45" s="20"/>
      <c r="BI45" s="31"/>
      <c r="BJ45" s="31"/>
      <c r="BQ45" s="26"/>
      <c r="BR45" s="26"/>
      <c r="BS45" s="26"/>
      <c r="BT45" s="2"/>
      <c r="BU45" s="2"/>
      <c r="BV45" s="24"/>
      <c r="BW45" s="24"/>
      <c r="BX45" s="24"/>
      <c r="CK45" s="35"/>
      <c r="CN45"/>
      <c r="CO45"/>
    </row>
    <row r="46" spans="40:93">
      <c r="AN46" s="24"/>
      <c r="AO46" s="24"/>
      <c r="AP46" s="24"/>
      <c r="AQ46" s="24"/>
      <c r="AR46" s="24"/>
      <c r="AS46" s="24"/>
      <c r="AT46" s="24"/>
      <c r="AU46" s="24"/>
      <c r="AV46" s="24"/>
      <c r="AX46" s="26"/>
      <c r="AY46" s="26"/>
      <c r="AZ46" s="26"/>
      <c r="BB46" s="26"/>
      <c r="BC46" s="26"/>
      <c r="BD46" s="26"/>
      <c r="BF46" s="20"/>
      <c r="BG46" s="20"/>
      <c r="BI46" s="31"/>
      <c r="BJ46" s="31"/>
      <c r="BQ46" s="26"/>
      <c r="BR46" s="26"/>
      <c r="BS46" s="26"/>
      <c r="BT46" s="2"/>
      <c r="BU46" s="2"/>
      <c r="BV46" s="24"/>
      <c r="BW46" s="24"/>
      <c r="BX46" s="24"/>
      <c r="CK46" s="35"/>
      <c r="CN46"/>
      <c r="CO46"/>
    </row>
    <row r="47" spans="40:93">
      <c r="AN47" s="24"/>
      <c r="AO47" s="24"/>
      <c r="AP47" s="24"/>
      <c r="AQ47" s="24"/>
      <c r="AR47" s="24"/>
      <c r="AS47" s="24"/>
      <c r="AT47" s="24"/>
      <c r="AU47" s="24"/>
      <c r="AV47" s="24"/>
      <c r="AX47" s="26"/>
      <c r="AY47" s="26"/>
      <c r="AZ47" s="26"/>
      <c r="BB47" s="26"/>
      <c r="BC47" s="26"/>
      <c r="BD47" s="26"/>
      <c r="BF47" s="20"/>
      <c r="BG47" s="20"/>
      <c r="BI47" s="31"/>
      <c r="BJ47" s="31"/>
      <c r="BQ47" s="26"/>
      <c r="BR47" s="26"/>
      <c r="BS47" s="26"/>
      <c r="BT47" s="2"/>
      <c r="BU47" s="2"/>
      <c r="BV47" s="24"/>
      <c r="BW47" s="24"/>
      <c r="BX47" s="24"/>
      <c r="CK47" s="35"/>
      <c r="CN47"/>
      <c r="CO47"/>
    </row>
    <row r="48" spans="40:93">
      <c r="AN48" s="24"/>
      <c r="AO48" s="24"/>
      <c r="AP48" s="24"/>
      <c r="AQ48" s="24"/>
      <c r="AR48" s="24"/>
      <c r="AS48" s="24"/>
      <c r="AT48" s="24"/>
      <c r="AU48" s="24"/>
      <c r="AV48" s="24"/>
      <c r="AX48" s="26"/>
      <c r="AY48" s="26"/>
      <c r="AZ48" s="26"/>
      <c r="BB48" s="26"/>
      <c r="BC48" s="26"/>
      <c r="BD48" s="26"/>
      <c r="BF48" s="20"/>
      <c r="BG48" s="20"/>
      <c r="BI48" s="31"/>
      <c r="BJ48" s="31"/>
      <c r="BQ48" s="26"/>
      <c r="BR48" s="26"/>
      <c r="BS48" s="26"/>
      <c r="BT48" s="2"/>
      <c r="BU48" s="2"/>
      <c r="BV48" s="24"/>
      <c r="BW48" s="24"/>
      <c r="BX48" s="24"/>
      <c r="CK48" s="35"/>
      <c r="CN48"/>
      <c r="CO48"/>
    </row>
    <row r="49" spans="40:93">
      <c r="AN49" s="24"/>
      <c r="AO49" s="24"/>
      <c r="AP49" s="24"/>
      <c r="AQ49" s="24"/>
      <c r="AR49" s="24"/>
      <c r="AS49" s="24"/>
      <c r="AT49" s="24"/>
      <c r="AU49" s="24"/>
      <c r="AV49" s="24"/>
      <c r="AX49" s="26"/>
      <c r="AY49" s="26"/>
      <c r="AZ49" s="26"/>
      <c r="BB49" s="26"/>
      <c r="BC49" s="26"/>
      <c r="BD49" s="26"/>
      <c r="BF49" s="20"/>
      <c r="BG49" s="20"/>
      <c r="BI49" s="31"/>
      <c r="BJ49" s="31"/>
      <c r="BQ49" s="26"/>
      <c r="BR49" s="26"/>
      <c r="BS49" s="26"/>
      <c r="BT49" s="2"/>
      <c r="BU49" s="2"/>
      <c r="BV49" s="24"/>
      <c r="BW49" s="24"/>
      <c r="BX49" s="24"/>
      <c r="CK49" s="35"/>
      <c r="CN49"/>
      <c r="CO49"/>
    </row>
    <row r="50" spans="40:93">
      <c r="AN50" s="24"/>
      <c r="AO50" s="24"/>
      <c r="AP50" s="24"/>
      <c r="AQ50" s="24"/>
      <c r="AR50" s="24"/>
      <c r="AS50" s="24"/>
      <c r="AT50" s="24"/>
      <c r="AU50" s="24"/>
      <c r="AV50" s="24"/>
      <c r="AX50" s="26"/>
      <c r="AY50" s="26"/>
      <c r="AZ50" s="26"/>
      <c r="BB50" s="26"/>
      <c r="BC50" s="26"/>
      <c r="BD50" s="26"/>
      <c r="BF50" s="20"/>
      <c r="BG50" s="20"/>
      <c r="BI50" s="31"/>
      <c r="BJ50" s="31"/>
      <c r="BQ50" s="26"/>
      <c r="BR50" s="26"/>
      <c r="BS50" s="26"/>
      <c r="BT50" s="2"/>
      <c r="BU50" s="2"/>
      <c r="BV50" s="24"/>
      <c r="BW50" s="24"/>
      <c r="BX50" s="24"/>
      <c r="CK50" s="35"/>
      <c r="CN50"/>
      <c r="CO50"/>
    </row>
    <row r="51" spans="40:93">
      <c r="AN51" s="24"/>
      <c r="AO51" s="24"/>
      <c r="AP51" s="24"/>
      <c r="AQ51" s="24"/>
      <c r="AR51" s="24"/>
      <c r="AS51" s="24"/>
      <c r="AT51" s="24"/>
      <c r="AU51" s="24"/>
      <c r="AV51" s="24"/>
      <c r="AX51" s="26"/>
      <c r="AY51" s="26"/>
      <c r="AZ51" s="26"/>
      <c r="BB51" s="26"/>
      <c r="BC51" s="26"/>
      <c r="BD51" s="26"/>
      <c r="BF51" s="20"/>
      <c r="BG51" s="20"/>
      <c r="BI51" s="31"/>
      <c r="BJ51" s="31"/>
      <c r="BQ51" s="26"/>
      <c r="BR51" s="26"/>
      <c r="BS51" s="26"/>
      <c r="BT51" s="2"/>
      <c r="BU51" s="2"/>
      <c r="BV51" s="24"/>
      <c r="BW51" s="24"/>
      <c r="BX51" s="24"/>
      <c r="CK51" s="35"/>
      <c r="CN51"/>
      <c r="CO51"/>
    </row>
    <row r="52" spans="40:93">
      <c r="AN52" s="24"/>
      <c r="AO52" s="24"/>
      <c r="AP52" s="24"/>
      <c r="AQ52" s="24"/>
      <c r="AR52" s="24"/>
      <c r="AS52" s="24"/>
      <c r="AT52" s="24"/>
      <c r="AU52" s="24"/>
      <c r="AV52" s="24"/>
      <c r="AX52" s="26"/>
      <c r="AY52" s="26"/>
      <c r="AZ52" s="26"/>
      <c r="BB52" s="26"/>
      <c r="BC52" s="26"/>
      <c r="BD52" s="26"/>
      <c r="BF52" s="20"/>
      <c r="BG52" s="20"/>
      <c r="BI52" s="31"/>
      <c r="BJ52" s="31"/>
      <c r="BQ52" s="26"/>
      <c r="BR52" s="26"/>
      <c r="BS52" s="26"/>
      <c r="BT52" s="2"/>
      <c r="BU52" s="2"/>
      <c r="BV52" s="24"/>
      <c r="BW52" s="24"/>
      <c r="BX52" s="24"/>
      <c r="CK52" s="35"/>
      <c r="CN52"/>
      <c r="CO52"/>
    </row>
    <row r="53" spans="40:93">
      <c r="AN53" s="24"/>
      <c r="AO53" s="24"/>
      <c r="AP53" s="24"/>
      <c r="AQ53" s="24"/>
      <c r="AR53" s="24"/>
      <c r="AS53" s="24"/>
      <c r="AT53" s="24"/>
      <c r="AU53" s="24"/>
      <c r="AV53" s="24"/>
      <c r="AX53" s="26"/>
      <c r="AY53" s="26"/>
      <c r="AZ53" s="26"/>
      <c r="BB53" s="26"/>
      <c r="BC53" s="26"/>
      <c r="BD53" s="26"/>
      <c r="BF53" s="20"/>
      <c r="BG53" s="20"/>
      <c r="BI53" s="31"/>
      <c r="BJ53" s="31"/>
      <c r="BQ53" s="26"/>
      <c r="BR53" s="26"/>
      <c r="BS53" s="26"/>
      <c r="BT53" s="2"/>
      <c r="BU53" s="2"/>
      <c r="BV53" s="24"/>
      <c r="BW53" s="24"/>
      <c r="BX53" s="24"/>
      <c r="CK53" s="35"/>
      <c r="CN53"/>
      <c r="CO53"/>
    </row>
    <row r="54" spans="40:93">
      <c r="AN54" s="24"/>
      <c r="AO54" s="24"/>
      <c r="AP54" s="24"/>
      <c r="AQ54" s="24"/>
      <c r="AR54" s="24"/>
      <c r="AS54" s="24"/>
      <c r="AT54" s="24"/>
      <c r="AU54" s="24"/>
      <c r="AV54" s="24"/>
      <c r="AX54" s="26"/>
      <c r="AY54" s="26"/>
      <c r="AZ54" s="26"/>
      <c r="BB54" s="26"/>
      <c r="BC54" s="26"/>
      <c r="BD54" s="26"/>
      <c r="BF54" s="20"/>
      <c r="BG54" s="20"/>
      <c r="BI54" s="31"/>
      <c r="BJ54" s="31"/>
      <c r="BQ54" s="26"/>
      <c r="BR54" s="26"/>
      <c r="BS54" s="26"/>
      <c r="BT54" s="2"/>
      <c r="BU54" s="2"/>
      <c r="BV54" s="24"/>
      <c r="BW54" s="24"/>
      <c r="BX54" s="24"/>
      <c r="CK54" s="35"/>
      <c r="CN54"/>
      <c r="CO54"/>
    </row>
    <row r="55" spans="40:93">
      <c r="AN55" s="24"/>
      <c r="AO55" s="24"/>
      <c r="AP55" s="24"/>
      <c r="AQ55" s="24"/>
      <c r="AR55" s="24"/>
      <c r="AS55" s="24"/>
      <c r="AT55" s="24"/>
      <c r="AU55" s="24"/>
      <c r="AV55" s="24"/>
      <c r="AX55" s="26"/>
      <c r="AY55" s="26"/>
      <c r="AZ55" s="26"/>
      <c r="BB55" s="26"/>
      <c r="BC55" s="26"/>
      <c r="BD55" s="26"/>
      <c r="BF55" s="20"/>
      <c r="BG55" s="20"/>
      <c r="BI55" s="31"/>
      <c r="BJ55" s="31"/>
      <c r="BQ55" s="26"/>
      <c r="BR55" s="26"/>
      <c r="BS55" s="26"/>
      <c r="BT55" s="2"/>
      <c r="BU55" s="2"/>
      <c r="BV55" s="24"/>
      <c r="BW55" s="24"/>
      <c r="BX55" s="24"/>
      <c r="CK55" s="35"/>
      <c r="CN55"/>
      <c r="CO55"/>
    </row>
    <row r="56" spans="40:93">
      <c r="AN56" s="24"/>
      <c r="AO56" s="24"/>
      <c r="AP56" s="24"/>
      <c r="AQ56" s="24"/>
      <c r="AR56" s="24"/>
      <c r="AS56" s="24"/>
      <c r="AT56" s="24"/>
      <c r="AU56" s="24"/>
      <c r="AV56" s="24"/>
      <c r="AX56" s="26"/>
      <c r="AY56" s="26"/>
      <c r="AZ56" s="26"/>
      <c r="BB56" s="26"/>
      <c r="BC56" s="26"/>
      <c r="BD56" s="26"/>
      <c r="BF56" s="20"/>
      <c r="BG56" s="20"/>
      <c r="BI56" s="31"/>
      <c r="BJ56" s="31"/>
      <c r="BQ56" s="26"/>
      <c r="BR56" s="26"/>
      <c r="BS56" s="26"/>
      <c r="BT56" s="2"/>
      <c r="BU56" s="2"/>
      <c r="BV56" s="24"/>
      <c r="BW56" s="24"/>
      <c r="BX56" s="24"/>
      <c r="CK56" s="35"/>
      <c r="CN56"/>
      <c r="CO56"/>
    </row>
    <row r="57" spans="40:93">
      <c r="AN57" s="24"/>
      <c r="AO57" s="24"/>
      <c r="AP57" s="24"/>
      <c r="AQ57" s="24"/>
      <c r="AR57" s="24"/>
      <c r="AS57" s="24"/>
      <c r="AT57" s="24"/>
      <c r="AU57" s="24"/>
      <c r="AV57" s="24"/>
      <c r="AX57" s="26"/>
      <c r="AY57" s="26"/>
      <c r="AZ57" s="26"/>
      <c r="BB57" s="26"/>
      <c r="BC57" s="26"/>
      <c r="BD57" s="26"/>
      <c r="BF57" s="20"/>
      <c r="BG57" s="20"/>
      <c r="BI57" s="31"/>
      <c r="BJ57" s="31"/>
      <c r="BQ57" s="26"/>
      <c r="BR57" s="26"/>
      <c r="BS57" s="26"/>
      <c r="BT57" s="2"/>
      <c r="BU57" s="2"/>
      <c r="BV57" s="24"/>
      <c r="BW57" s="24"/>
      <c r="BX57" s="24"/>
      <c r="CK57" s="35"/>
      <c r="CN57"/>
      <c r="CO57"/>
    </row>
    <row r="58" spans="40:93">
      <c r="AN58" s="24"/>
      <c r="AO58" s="24"/>
      <c r="AP58" s="24"/>
      <c r="AQ58" s="24"/>
      <c r="AR58" s="24"/>
      <c r="AS58" s="24"/>
      <c r="AT58" s="24"/>
      <c r="AU58" s="24"/>
      <c r="AV58" s="24"/>
      <c r="AX58" s="26"/>
      <c r="AY58" s="26"/>
      <c r="AZ58" s="26"/>
      <c r="BB58" s="26"/>
      <c r="BC58" s="26"/>
      <c r="BD58" s="26"/>
      <c r="BF58" s="20"/>
      <c r="BG58" s="20"/>
      <c r="BI58" s="31"/>
      <c r="BJ58" s="31"/>
      <c r="BQ58" s="26"/>
      <c r="BR58" s="26"/>
      <c r="BS58" s="26"/>
      <c r="BT58" s="2"/>
      <c r="BU58" s="2"/>
      <c r="BV58" s="24"/>
      <c r="BW58" s="24"/>
      <c r="BX58" s="24"/>
      <c r="CK58" s="35"/>
      <c r="CN58"/>
      <c r="CO58"/>
    </row>
    <row r="59" spans="40:93">
      <c r="AN59" s="24"/>
      <c r="AO59" s="24"/>
      <c r="AP59" s="24"/>
      <c r="AQ59" s="24"/>
      <c r="AR59" s="24"/>
      <c r="AS59" s="24"/>
      <c r="AT59" s="24"/>
      <c r="AU59" s="24"/>
      <c r="AV59" s="24"/>
      <c r="AX59" s="26"/>
      <c r="AY59" s="26"/>
      <c r="AZ59" s="26"/>
      <c r="BB59" s="26"/>
      <c r="BC59" s="26"/>
      <c r="BD59" s="26"/>
      <c r="BF59" s="20"/>
      <c r="BG59" s="20"/>
      <c r="BI59" s="31"/>
      <c r="BJ59" s="31"/>
      <c r="BQ59" s="26"/>
      <c r="BR59" s="26"/>
      <c r="BS59" s="26"/>
      <c r="BT59" s="2"/>
      <c r="BU59" s="2"/>
      <c r="BV59" s="24"/>
      <c r="BW59" s="24"/>
      <c r="BX59" s="24"/>
      <c r="CK59" s="35"/>
      <c r="CN59"/>
      <c r="CO59"/>
    </row>
    <row r="60" spans="40:93">
      <c r="AN60" s="24"/>
      <c r="AO60" s="24"/>
      <c r="AP60" s="24"/>
      <c r="AQ60" s="24"/>
      <c r="AR60" s="24"/>
      <c r="AS60" s="24"/>
      <c r="AT60" s="24"/>
      <c r="AU60" s="24"/>
      <c r="AV60" s="24"/>
      <c r="AX60" s="26"/>
      <c r="AY60" s="26"/>
      <c r="AZ60" s="26"/>
      <c r="BB60" s="26"/>
      <c r="BC60" s="26"/>
      <c r="BD60" s="26"/>
      <c r="BF60" s="20"/>
      <c r="BG60" s="20"/>
      <c r="BI60" s="31"/>
      <c r="BJ60" s="31"/>
      <c r="BQ60" s="26"/>
      <c r="BR60" s="26"/>
      <c r="BS60" s="26"/>
      <c r="BT60" s="2"/>
      <c r="BU60" s="2"/>
      <c r="BV60" s="24"/>
      <c r="BW60" s="24"/>
      <c r="BX60" s="24"/>
      <c r="CK60" s="35"/>
      <c r="CN60"/>
      <c r="CO60"/>
    </row>
    <row r="61" spans="40:93">
      <c r="AN61" s="24"/>
      <c r="AO61" s="24"/>
      <c r="AP61" s="24"/>
      <c r="AQ61" s="24"/>
      <c r="AR61" s="24"/>
      <c r="AS61" s="24"/>
      <c r="AT61" s="24"/>
      <c r="AU61" s="24"/>
      <c r="AV61" s="24"/>
      <c r="AX61" s="26"/>
      <c r="AY61" s="26"/>
      <c r="AZ61" s="26"/>
      <c r="BB61" s="26"/>
      <c r="BC61" s="26"/>
      <c r="BD61" s="26"/>
      <c r="BF61" s="20"/>
      <c r="BG61" s="20"/>
      <c r="BI61" s="31"/>
      <c r="BJ61" s="31"/>
      <c r="BQ61" s="26"/>
      <c r="BR61" s="26"/>
      <c r="BS61" s="26"/>
      <c r="BT61" s="2"/>
      <c r="BU61" s="2"/>
      <c r="BV61" s="24"/>
      <c r="BW61" s="24"/>
      <c r="BX61" s="24"/>
      <c r="CK61" s="35"/>
      <c r="CN61"/>
      <c r="CO61"/>
    </row>
    <row r="62" spans="40:93">
      <c r="AN62" s="24"/>
      <c r="AO62" s="24"/>
      <c r="AP62" s="24"/>
      <c r="AQ62" s="24"/>
      <c r="AR62" s="24"/>
      <c r="AS62" s="24"/>
      <c r="AT62" s="24"/>
      <c r="AU62" s="24"/>
      <c r="AV62" s="24"/>
      <c r="AX62" s="26"/>
      <c r="AY62" s="26"/>
      <c r="AZ62" s="26"/>
      <c r="BB62" s="26"/>
      <c r="BC62" s="26"/>
      <c r="BD62" s="26"/>
      <c r="BF62" s="20"/>
      <c r="BG62" s="20"/>
      <c r="BI62" s="31"/>
      <c r="BJ62" s="31"/>
      <c r="BQ62" s="26"/>
      <c r="BR62" s="26"/>
      <c r="BS62" s="26"/>
      <c r="BT62" s="2"/>
      <c r="BU62" s="2"/>
      <c r="BV62" s="24"/>
      <c r="BW62" s="24"/>
      <c r="BX62" s="24"/>
      <c r="CK62" s="35"/>
      <c r="CN62"/>
      <c r="CO62"/>
    </row>
    <row r="63" spans="40:93">
      <c r="AN63" s="24"/>
      <c r="AO63" s="24"/>
      <c r="AP63" s="24"/>
      <c r="AQ63" s="24"/>
      <c r="AR63" s="24"/>
      <c r="AS63" s="24"/>
      <c r="AT63" s="24"/>
      <c r="AU63" s="24"/>
      <c r="AV63" s="24"/>
      <c r="AX63" s="26"/>
      <c r="AY63" s="26"/>
      <c r="AZ63" s="26"/>
      <c r="BB63" s="26"/>
      <c r="BC63" s="26"/>
      <c r="BD63" s="26"/>
      <c r="BF63" s="20"/>
      <c r="BG63" s="20"/>
      <c r="BI63" s="31"/>
      <c r="BJ63" s="31"/>
      <c r="BQ63" s="26"/>
      <c r="BR63" s="26"/>
      <c r="BS63" s="26"/>
      <c r="BT63" s="2"/>
      <c r="BU63" s="2"/>
      <c r="BV63" s="24"/>
      <c r="BW63" s="24"/>
      <c r="BX63" s="24"/>
      <c r="CK63" s="35"/>
      <c r="CN63"/>
      <c r="CO63"/>
    </row>
    <row r="64" spans="40:93">
      <c r="AN64" s="24"/>
      <c r="AO64" s="24"/>
      <c r="AP64" s="24"/>
      <c r="AQ64" s="24"/>
      <c r="AR64" s="24"/>
      <c r="AS64" s="24"/>
      <c r="AT64" s="24"/>
      <c r="AU64" s="24"/>
      <c r="AV64" s="24"/>
      <c r="AX64" s="26"/>
      <c r="AY64" s="26"/>
      <c r="AZ64" s="26"/>
      <c r="BB64" s="26"/>
      <c r="BC64" s="26"/>
      <c r="BD64" s="26"/>
      <c r="BF64" s="20"/>
      <c r="BG64" s="20"/>
      <c r="BI64" s="31"/>
      <c r="BJ64" s="31"/>
      <c r="BQ64" s="26"/>
      <c r="BR64" s="26"/>
      <c r="BS64" s="26"/>
      <c r="BT64" s="2"/>
      <c r="BU64" s="2"/>
      <c r="BV64" s="24"/>
      <c r="BW64" s="24"/>
      <c r="BX64" s="24"/>
      <c r="CK64" s="35"/>
      <c r="CN64"/>
      <c r="CO64"/>
    </row>
    <row r="65" spans="40:93">
      <c r="AN65" s="24"/>
      <c r="AO65" s="24"/>
      <c r="AP65" s="24"/>
      <c r="AQ65" s="24"/>
      <c r="AR65" s="24"/>
      <c r="AS65" s="24"/>
      <c r="AT65" s="24"/>
      <c r="AU65" s="24"/>
      <c r="AV65" s="24"/>
      <c r="AX65" s="26"/>
      <c r="AY65" s="26"/>
      <c r="AZ65" s="26"/>
      <c r="BB65" s="26"/>
      <c r="BC65" s="26"/>
      <c r="BD65" s="26"/>
      <c r="BF65" s="20"/>
      <c r="BG65" s="20"/>
      <c r="BI65" s="31"/>
      <c r="BJ65" s="31"/>
      <c r="BQ65" s="26"/>
      <c r="BR65" s="26"/>
      <c r="BS65" s="26"/>
      <c r="BT65" s="2"/>
      <c r="BU65" s="2"/>
      <c r="BV65" s="24"/>
      <c r="BW65" s="24"/>
      <c r="BX65" s="24"/>
      <c r="CK65" s="35"/>
      <c r="CN65"/>
      <c r="CO65"/>
    </row>
    <row r="66" spans="40:93">
      <c r="AN66" s="24"/>
      <c r="AO66" s="24"/>
      <c r="AP66" s="24"/>
      <c r="AQ66" s="24"/>
      <c r="AR66" s="24"/>
      <c r="AS66" s="24"/>
      <c r="AT66" s="24"/>
      <c r="AU66" s="24"/>
      <c r="AV66" s="24"/>
      <c r="AX66" s="26"/>
      <c r="AY66" s="26"/>
      <c r="AZ66" s="26"/>
      <c r="BB66" s="26"/>
      <c r="BC66" s="26"/>
      <c r="BD66" s="26"/>
      <c r="BF66" s="20"/>
      <c r="BG66" s="20"/>
      <c r="BI66" s="31"/>
      <c r="BJ66" s="31"/>
      <c r="BQ66" s="26"/>
      <c r="BR66" s="26"/>
      <c r="BS66" s="26"/>
      <c r="BT66" s="2"/>
      <c r="BU66" s="2"/>
      <c r="BV66" s="24"/>
      <c r="BW66" s="24"/>
      <c r="BX66" s="24"/>
      <c r="CK66" s="35"/>
      <c r="CN66"/>
      <c r="CO66"/>
    </row>
    <row r="67" spans="40:93">
      <c r="AN67" s="24"/>
      <c r="AO67" s="24"/>
      <c r="AP67" s="24"/>
      <c r="AQ67" s="24"/>
      <c r="AR67" s="24"/>
      <c r="AS67" s="24"/>
      <c r="AT67" s="24"/>
      <c r="AU67" s="24"/>
      <c r="AV67" s="24"/>
      <c r="AX67" s="26"/>
      <c r="AY67" s="26"/>
      <c r="AZ67" s="26"/>
      <c r="BB67" s="26"/>
      <c r="BC67" s="26"/>
      <c r="BD67" s="26"/>
      <c r="BF67" s="20"/>
      <c r="BG67" s="20"/>
      <c r="BI67" s="31"/>
      <c r="BJ67" s="31"/>
      <c r="BQ67" s="26"/>
      <c r="BR67" s="26"/>
      <c r="BS67" s="26"/>
      <c r="BT67" s="2"/>
      <c r="BU67" s="2"/>
      <c r="BV67" s="24"/>
      <c r="BW67" s="24"/>
      <c r="BX67" s="24"/>
      <c r="CK67" s="35"/>
      <c r="CN67"/>
      <c r="CO67"/>
    </row>
    <row r="68" spans="40:93">
      <c r="AN68" s="24"/>
      <c r="AO68" s="24"/>
      <c r="AP68" s="24"/>
      <c r="AQ68" s="24"/>
      <c r="AR68" s="24"/>
      <c r="AS68" s="24"/>
      <c r="AT68" s="24"/>
      <c r="AU68" s="24"/>
      <c r="AV68" s="24"/>
      <c r="AX68" s="26"/>
      <c r="AY68" s="26"/>
      <c r="AZ68" s="26"/>
      <c r="BB68" s="26"/>
      <c r="BC68" s="26"/>
      <c r="BD68" s="26"/>
      <c r="BF68" s="20"/>
      <c r="BG68" s="20"/>
      <c r="BI68" s="31"/>
      <c r="BJ68" s="31"/>
      <c r="BQ68" s="26"/>
      <c r="BR68" s="26"/>
      <c r="BS68" s="26"/>
      <c r="BT68" s="2"/>
      <c r="BU68" s="2"/>
      <c r="BV68" s="24"/>
      <c r="BW68" s="24"/>
      <c r="BX68" s="24"/>
      <c r="CK68" s="35"/>
      <c r="CN68"/>
      <c r="CO68"/>
    </row>
    <row r="69" spans="40:93">
      <c r="AN69" s="24"/>
      <c r="AO69" s="24"/>
      <c r="AP69" s="24"/>
      <c r="AQ69" s="24"/>
      <c r="AR69" s="24"/>
      <c r="AS69" s="24"/>
      <c r="AT69" s="24"/>
      <c r="AU69" s="24"/>
      <c r="AV69" s="24"/>
      <c r="AX69" s="26"/>
      <c r="AY69" s="26"/>
      <c r="AZ69" s="26"/>
      <c r="BB69" s="26"/>
      <c r="BC69" s="26"/>
      <c r="BD69" s="26"/>
      <c r="BF69" s="20"/>
      <c r="BG69" s="20"/>
      <c r="BI69" s="31"/>
      <c r="BJ69" s="31"/>
      <c r="BQ69" s="26"/>
      <c r="BR69" s="26"/>
      <c r="BS69" s="26"/>
      <c r="BT69" s="2"/>
      <c r="BU69" s="2"/>
      <c r="BV69" s="24"/>
      <c r="BW69" s="24"/>
      <c r="BX69" s="24"/>
      <c r="CK69" s="35"/>
      <c r="CN69"/>
      <c r="CO69"/>
    </row>
    <row r="70" spans="40:93">
      <c r="AN70" s="24"/>
      <c r="AO70" s="24"/>
      <c r="AP70" s="24"/>
      <c r="AQ70" s="24"/>
      <c r="AR70" s="24"/>
      <c r="AS70" s="24"/>
      <c r="AT70" s="24"/>
      <c r="AU70" s="24"/>
      <c r="AV70" s="24"/>
      <c r="AX70" s="26"/>
      <c r="AY70" s="26"/>
      <c r="AZ70" s="26"/>
      <c r="BB70" s="26"/>
      <c r="BC70" s="26"/>
      <c r="BD70" s="26"/>
      <c r="BF70" s="20"/>
      <c r="BG70" s="20"/>
      <c r="BI70" s="31"/>
      <c r="BJ70" s="31"/>
      <c r="BQ70" s="26"/>
      <c r="BR70" s="26"/>
      <c r="BS70" s="26"/>
      <c r="BT70" s="2"/>
      <c r="BU70" s="2"/>
      <c r="BV70" s="24"/>
      <c r="BW70" s="24"/>
      <c r="BX70" s="24"/>
      <c r="CK70" s="35"/>
      <c r="CN70"/>
      <c r="CO70"/>
    </row>
    <row r="71" spans="40:93">
      <c r="AN71" s="24"/>
      <c r="AO71" s="24"/>
      <c r="AP71" s="24"/>
      <c r="AQ71" s="24"/>
      <c r="AR71" s="24"/>
      <c r="AS71" s="24"/>
      <c r="AT71" s="24"/>
      <c r="AU71" s="24"/>
      <c r="AV71" s="24"/>
      <c r="AX71" s="26"/>
      <c r="AY71" s="26"/>
      <c r="AZ71" s="26"/>
      <c r="BB71" s="26"/>
      <c r="BC71" s="26"/>
      <c r="BD71" s="26"/>
      <c r="BF71" s="20"/>
      <c r="BG71" s="20"/>
      <c r="BI71" s="31"/>
      <c r="BJ71" s="31"/>
      <c r="BQ71" s="26"/>
      <c r="BR71" s="26"/>
      <c r="BS71" s="26"/>
      <c r="BT71" s="2"/>
      <c r="BU71" s="2"/>
      <c r="BV71" s="24"/>
      <c r="BW71" s="24"/>
      <c r="BX71" s="24"/>
      <c r="CK71" s="35"/>
      <c r="CN71"/>
      <c r="CO71"/>
    </row>
    <row r="72" spans="40:93">
      <c r="AN72" s="24"/>
      <c r="AO72" s="24"/>
      <c r="AP72" s="24"/>
      <c r="AQ72" s="24"/>
      <c r="AR72" s="24"/>
      <c r="AS72" s="24"/>
      <c r="AT72" s="24"/>
      <c r="AU72" s="24"/>
      <c r="AV72" s="24"/>
      <c r="AX72" s="26"/>
      <c r="AY72" s="26"/>
      <c r="AZ72" s="26"/>
      <c r="BB72" s="26"/>
      <c r="BC72" s="26"/>
      <c r="BD72" s="26"/>
      <c r="BF72" s="20"/>
      <c r="BG72" s="20"/>
      <c r="BI72" s="31"/>
      <c r="BJ72" s="31"/>
      <c r="BQ72" s="26"/>
      <c r="BR72" s="26"/>
      <c r="BS72" s="26"/>
      <c r="BT72" s="2"/>
      <c r="BU72" s="2"/>
      <c r="BV72" s="24"/>
      <c r="BW72" s="24"/>
      <c r="BX72" s="24"/>
      <c r="CK72" s="35"/>
      <c r="CN72"/>
      <c r="CO72"/>
    </row>
    <row r="73" spans="40:93">
      <c r="AN73" s="24"/>
      <c r="AO73" s="24"/>
      <c r="AP73" s="24"/>
      <c r="AQ73" s="24"/>
      <c r="AR73" s="24"/>
      <c r="AS73" s="24"/>
      <c r="AT73" s="24"/>
      <c r="AU73" s="24"/>
      <c r="AV73" s="24"/>
      <c r="AX73" s="26"/>
      <c r="AY73" s="26"/>
      <c r="AZ73" s="26"/>
      <c r="BB73" s="26"/>
      <c r="BC73" s="26"/>
      <c r="BD73" s="26"/>
      <c r="BF73" s="20"/>
      <c r="BG73" s="20"/>
      <c r="BI73" s="31"/>
      <c r="BJ73" s="31"/>
      <c r="BQ73" s="26"/>
      <c r="BR73" s="26"/>
      <c r="BS73" s="26"/>
      <c r="BT73" s="2"/>
      <c r="BU73" s="2"/>
      <c r="BV73" s="24"/>
      <c r="BW73" s="24"/>
      <c r="BX73" s="24"/>
      <c r="CK73" s="35"/>
      <c r="CN73"/>
      <c r="CO73"/>
    </row>
    <row r="74" spans="40:93">
      <c r="AN74" s="24"/>
      <c r="AO74" s="24"/>
      <c r="AP74" s="24"/>
      <c r="AQ74" s="24"/>
      <c r="AR74" s="24"/>
      <c r="AS74" s="24"/>
      <c r="AT74" s="24"/>
      <c r="AU74" s="24"/>
      <c r="AV74" s="24"/>
      <c r="AX74" s="26"/>
      <c r="AY74" s="26"/>
      <c r="AZ74" s="26"/>
      <c r="BB74" s="26"/>
      <c r="BC74" s="26"/>
      <c r="BD74" s="26"/>
      <c r="BF74" s="20"/>
      <c r="BG74" s="20"/>
      <c r="BI74" s="31"/>
      <c r="BJ74" s="31"/>
      <c r="BQ74" s="26"/>
      <c r="BR74" s="26"/>
      <c r="BS74" s="26"/>
      <c r="BT74" s="2"/>
      <c r="BU74" s="2"/>
      <c r="BV74" s="24"/>
      <c r="BW74" s="24"/>
      <c r="BX74" s="24"/>
      <c r="CK74" s="35"/>
      <c r="CN74"/>
      <c r="CO74"/>
    </row>
    <row r="75" spans="40:93">
      <c r="AN75" s="24"/>
      <c r="AO75" s="24"/>
      <c r="AP75" s="24"/>
      <c r="AQ75" s="24"/>
      <c r="AR75" s="24"/>
      <c r="AS75" s="24"/>
      <c r="AT75" s="24"/>
      <c r="AU75" s="24"/>
      <c r="AV75" s="24"/>
      <c r="AX75" s="26"/>
      <c r="AY75" s="26"/>
      <c r="AZ75" s="26"/>
      <c r="BB75" s="26"/>
      <c r="BC75" s="26"/>
      <c r="BD75" s="26"/>
      <c r="BF75" s="20"/>
      <c r="BG75" s="20"/>
      <c r="BI75" s="31"/>
      <c r="BJ75" s="31"/>
      <c r="BQ75" s="26"/>
      <c r="BR75" s="26"/>
      <c r="BS75" s="26"/>
      <c r="BT75" s="2"/>
      <c r="BU75" s="2"/>
      <c r="BV75" s="24"/>
      <c r="BW75" s="24"/>
      <c r="BX75" s="24"/>
      <c r="CK75" s="35"/>
      <c r="CN75"/>
      <c r="CO75"/>
    </row>
    <row r="76" spans="40:93">
      <c r="AN76" s="24"/>
      <c r="AO76" s="24"/>
      <c r="AP76" s="24"/>
      <c r="AQ76" s="24"/>
      <c r="AR76" s="24"/>
      <c r="AS76" s="24"/>
      <c r="AT76" s="24"/>
      <c r="AU76" s="24"/>
      <c r="AV76" s="24"/>
      <c r="AX76" s="26"/>
      <c r="AY76" s="26"/>
      <c r="AZ76" s="26"/>
      <c r="BB76" s="26"/>
      <c r="BC76" s="26"/>
      <c r="BD76" s="26"/>
      <c r="BF76" s="20"/>
      <c r="BG76" s="20"/>
      <c r="BI76" s="31"/>
      <c r="BJ76" s="31"/>
      <c r="BQ76" s="26"/>
      <c r="BR76" s="26"/>
      <c r="BS76" s="26"/>
      <c r="BT76" s="2"/>
      <c r="BU76" s="2"/>
      <c r="BV76" s="24"/>
      <c r="BW76" s="24"/>
      <c r="BX76" s="24"/>
      <c r="CK76" s="35"/>
      <c r="CN76"/>
      <c r="CO76"/>
    </row>
    <row r="77" spans="40:93">
      <c r="AN77" s="24"/>
      <c r="AO77" s="24"/>
      <c r="AP77" s="24"/>
      <c r="AQ77" s="24"/>
      <c r="AR77" s="24"/>
      <c r="AS77" s="24"/>
      <c r="AT77" s="24"/>
      <c r="AU77" s="24"/>
      <c r="AV77" s="24"/>
      <c r="AX77" s="26"/>
      <c r="AY77" s="26"/>
      <c r="AZ77" s="26"/>
      <c r="BB77" s="26"/>
      <c r="BC77" s="26"/>
      <c r="BD77" s="26"/>
      <c r="BF77" s="20"/>
      <c r="BG77" s="20"/>
      <c r="BI77" s="31"/>
      <c r="BJ77" s="31"/>
      <c r="BQ77" s="26"/>
      <c r="BR77" s="26"/>
      <c r="BS77" s="26"/>
      <c r="BT77" s="2"/>
      <c r="BU77" s="2"/>
      <c r="BV77" s="24"/>
      <c r="BW77" s="24"/>
      <c r="BX77" s="24"/>
      <c r="CK77" s="35"/>
      <c r="CN77"/>
      <c r="CO77"/>
    </row>
    <row r="78" spans="40:93">
      <c r="AN78" s="24"/>
      <c r="AO78" s="24"/>
      <c r="AP78" s="24"/>
      <c r="AQ78" s="24"/>
      <c r="AR78" s="24"/>
      <c r="AS78" s="24"/>
      <c r="AT78" s="24"/>
      <c r="AU78" s="24"/>
      <c r="AV78" s="24"/>
      <c r="AX78" s="26"/>
      <c r="AY78" s="26"/>
      <c r="AZ78" s="26"/>
      <c r="BB78" s="26"/>
      <c r="BC78" s="26"/>
      <c r="BD78" s="26"/>
      <c r="BF78" s="20"/>
      <c r="BG78" s="20"/>
      <c r="BI78" s="31"/>
      <c r="BJ78" s="31"/>
      <c r="BQ78" s="26"/>
      <c r="BR78" s="26"/>
      <c r="BS78" s="26"/>
      <c r="BT78" s="2"/>
      <c r="BU78" s="2"/>
      <c r="BV78" s="24"/>
      <c r="BW78" s="24"/>
      <c r="BX78" s="24"/>
      <c r="CK78" s="35"/>
      <c r="CN78"/>
      <c r="CO78"/>
    </row>
    <row r="79" spans="40:93">
      <c r="AN79" s="24"/>
      <c r="AO79" s="24"/>
      <c r="AP79" s="24"/>
      <c r="AQ79" s="24"/>
      <c r="AR79" s="24"/>
      <c r="AS79" s="24"/>
      <c r="AT79" s="24"/>
      <c r="AU79" s="24"/>
      <c r="AV79" s="24"/>
      <c r="AX79" s="26"/>
      <c r="AY79" s="26"/>
      <c r="AZ79" s="26"/>
      <c r="BB79" s="26"/>
      <c r="BC79" s="26"/>
      <c r="BD79" s="26"/>
      <c r="BF79" s="20"/>
      <c r="BG79" s="20"/>
      <c r="BI79" s="31"/>
      <c r="BJ79" s="31"/>
      <c r="BQ79" s="26"/>
      <c r="BR79" s="26"/>
      <c r="BS79" s="26"/>
      <c r="BT79" s="2"/>
      <c r="BU79" s="2"/>
      <c r="BV79" s="24"/>
      <c r="BW79" s="24"/>
      <c r="BX79" s="24"/>
      <c r="CK79" s="35"/>
      <c r="CN79"/>
      <c r="CO79"/>
    </row>
    <row r="80" spans="40:93">
      <c r="AN80" s="24"/>
      <c r="AO80" s="24"/>
      <c r="AP80" s="24"/>
      <c r="AQ80" s="24"/>
      <c r="AR80" s="24"/>
      <c r="AS80" s="24"/>
      <c r="AT80" s="24"/>
      <c r="AU80" s="24"/>
      <c r="AV80" s="24"/>
      <c r="AX80" s="26"/>
      <c r="AY80" s="26"/>
      <c r="AZ80" s="26"/>
      <c r="BB80" s="26"/>
      <c r="BC80" s="26"/>
      <c r="BD80" s="26"/>
      <c r="BF80" s="20"/>
      <c r="BG80" s="20"/>
      <c r="BI80" s="31"/>
      <c r="BJ80" s="31"/>
      <c r="BQ80" s="26"/>
      <c r="BR80" s="26"/>
      <c r="BS80" s="26"/>
      <c r="BT80" s="2"/>
      <c r="BU80" s="2"/>
      <c r="BV80" s="24"/>
      <c r="BW80" s="24"/>
      <c r="BX80" s="24"/>
      <c r="CK80" s="35"/>
      <c r="CN80"/>
      <c r="CO80"/>
    </row>
    <row r="81" spans="40:93">
      <c r="AN81" s="24"/>
      <c r="AO81" s="24"/>
      <c r="AP81" s="24"/>
      <c r="AQ81" s="24"/>
      <c r="AR81" s="24"/>
      <c r="AS81" s="24"/>
      <c r="AT81" s="24"/>
      <c r="AU81" s="24"/>
      <c r="AV81" s="24"/>
      <c r="AX81" s="26"/>
      <c r="AY81" s="26"/>
      <c r="AZ81" s="26"/>
      <c r="BB81" s="26"/>
      <c r="BC81" s="26"/>
      <c r="BD81" s="26"/>
      <c r="BF81" s="20"/>
      <c r="BG81" s="20"/>
      <c r="BI81" s="31"/>
      <c r="BJ81" s="31"/>
      <c r="BQ81" s="26"/>
      <c r="BR81" s="26"/>
      <c r="BS81" s="26"/>
      <c r="BT81" s="2"/>
      <c r="BU81" s="2"/>
      <c r="BV81" s="24"/>
      <c r="BW81" s="24"/>
      <c r="BX81" s="24"/>
      <c r="CK81" s="35"/>
      <c r="CN81"/>
      <c r="CO81"/>
    </row>
    <row r="82" spans="40:93">
      <c r="AN82" s="24"/>
      <c r="AO82" s="24"/>
      <c r="AP82" s="24"/>
      <c r="AQ82" s="24"/>
      <c r="AR82" s="24"/>
      <c r="AS82" s="24"/>
      <c r="AT82" s="24"/>
      <c r="AU82" s="24"/>
      <c r="AV82" s="24"/>
      <c r="AX82" s="26"/>
      <c r="AY82" s="26"/>
      <c r="AZ82" s="26"/>
      <c r="BB82" s="26"/>
      <c r="BC82" s="26"/>
      <c r="BD82" s="26"/>
      <c r="BF82" s="20"/>
      <c r="BG82" s="20"/>
      <c r="BI82" s="31"/>
      <c r="BJ82" s="31"/>
      <c r="BQ82" s="26"/>
      <c r="BR82" s="26"/>
      <c r="BS82" s="26"/>
      <c r="BT82" s="2"/>
      <c r="BU82" s="2"/>
      <c r="BV82" s="24"/>
      <c r="BW82" s="24"/>
      <c r="BX82" s="24"/>
      <c r="CK82" s="35"/>
      <c r="CN82"/>
      <c r="CO82"/>
    </row>
    <row r="83" spans="40:93">
      <c r="AN83" s="24"/>
      <c r="AO83" s="24"/>
      <c r="AP83" s="24"/>
      <c r="AQ83" s="24"/>
      <c r="AR83" s="24"/>
      <c r="AS83" s="24"/>
      <c r="AT83" s="24"/>
      <c r="AU83" s="24"/>
      <c r="AV83" s="24"/>
      <c r="AX83" s="26"/>
      <c r="AY83" s="26"/>
      <c r="AZ83" s="26"/>
      <c r="BB83" s="26"/>
      <c r="BC83" s="26"/>
      <c r="BD83" s="26"/>
      <c r="BF83" s="20"/>
      <c r="BG83" s="20"/>
      <c r="BI83" s="31"/>
      <c r="BJ83" s="31"/>
      <c r="BQ83" s="26"/>
      <c r="BR83" s="26"/>
      <c r="BS83" s="26"/>
      <c r="BT83" s="2"/>
      <c r="BU83" s="2"/>
      <c r="BV83" s="24"/>
      <c r="BW83" s="24"/>
      <c r="BX83" s="24"/>
      <c r="CK83" s="35"/>
      <c r="CN83"/>
      <c r="CO83"/>
    </row>
    <row r="84" spans="40:93">
      <c r="AN84" s="24"/>
      <c r="AO84" s="24"/>
      <c r="AP84" s="24"/>
      <c r="AQ84" s="24"/>
      <c r="AR84" s="24"/>
      <c r="AS84" s="24"/>
      <c r="AT84" s="24"/>
      <c r="AU84" s="24"/>
      <c r="AV84" s="24"/>
      <c r="AX84" s="26"/>
      <c r="AY84" s="26"/>
      <c r="AZ84" s="26"/>
      <c r="BB84" s="26"/>
      <c r="BC84" s="26"/>
      <c r="BD84" s="26"/>
      <c r="BF84" s="20"/>
      <c r="BG84" s="20"/>
      <c r="BI84" s="31"/>
      <c r="BJ84" s="31"/>
      <c r="BQ84" s="26"/>
      <c r="BR84" s="26"/>
      <c r="BS84" s="26"/>
      <c r="BT84" s="2"/>
      <c r="BU84" s="2"/>
      <c r="BV84" s="24"/>
      <c r="BW84" s="24"/>
      <c r="BX84" s="24"/>
      <c r="CK84" s="35"/>
      <c r="CN84"/>
      <c r="CO84"/>
    </row>
    <row r="85" spans="40:93">
      <c r="AN85" s="24"/>
      <c r="AO85" s="24"/>
      <c r="AP85" s="24"/>
      <c r="AQ85" s="24"/>
      <c r="AR85" s="24"/>
      <c r="AS85" s="24"/>
      <c r="AT85" s="24"/>
      <c r="AU85" s="24"/>
      <c r="AV85" s="24"/>
      <c r="AX85" s="26"/>
      <c r="AY85" s="26"/>
      <c r="AZ85" s="26"/>
      <c r="BB85" s="26"/>
      <c r="BC85" s="26"/>
      <c r="BD85" s="26"/>
      <c r="BF85" s="20"/>
      <c r="BG85" s="20"/>
      <c r="BI85" s="31"/>
      <c r="BJ85" s="31"/>
      <c r="BQ85" s="26"/>
      <c r="BR85" s="26"/>
      <c r="BS85" s="26"/>
      <c r="BT85" s="2"/>
      <c r="BU85" s="2"/>
      <c r="BV85" s="24"/>
      <c r="BW85" s="24"/>
      <c r="BX85" s="24"/>
      <c r="CK85" s="35"/>
      <c r="CN85"/>
      <c r="CO85"/>
    </row>
    <row r="86" spans="40:93">
      <c r="AN86" s="24"/>
      <c r="AO86" s="24"/>
      <c r="AP86" s="24"/>
      <c r="AQ86" s="24"/>
      <c r="AR86" s="24"/>
      <c r="AS86" s="24"/>
      <c r="AT86" s="24"/>
      <c r="AU86" s="24"/>
      <c r="AV86" s="24"/>
      <c r="AX86" s="26"/>
      <c r="AY86" s="26"/>
      <c r="AZ86" s="26"/>
      <c r="BB86" s="26"/>
      <c r="BC86" s="26"/>
      <c r="BD86" s="26"/>
      <c r="BF86" s="20"/>
      <c r="BG86" s="20"/>
      <c r="BI86" s="31"/>
      <c r="BJ86" s="31"/>
      <c r="BQ86" s="26"/>
      <c r="BR86" s="26"/>
      <c r="BS86" s="26"/>
      <c r="BT86" s="2"/>
      <c r="BU86" s="2"/>
      <c r="BV86" s="24"/>
      <c r="BW86" s="24"/>
      <c r="BX86" s="24"/>
      <c r="CK86" s="35"/>
      <c r="CN86"/>
      <c r="CO86"/>
    </row>
    <row r="87" spans="40:93">
      <c r="AN87" s="24"/>
      <c r="AO87" s="24"/>
      <c r="AP87" s="24"/>
      <c r="AQ87" s="24"/>
      <c r="AR87" s="24"/>
      <c r="AS87" s="24"/>
      <c r="AT87" s="24"/>
      <c r="AU87" s="24"/>
      <c r="AV87" s="24"/>
      <c r="AX87" s="26"/>
      <c r="AY87" s="26"/>
      <c r="AZ87" s="26"/>
      <c r="BB87" s="26"/>
      <c r="BC87" s="26"/>
      <c r="BD87" s="26"/>
      <c r="BF87" s="20"/>
      <c r="BG87" s="20"/>
      <c r="BI87" s="31"/>
      <c r="BJ87" s="31"/>
      <c r="BQ87" s="26"/>
      <c r="BR87" s="26"/>
      <c r="BS87" s="26"/>
      <c r="BT87" s="2"/>
      <c r="BU87" s="2"/>
      <c r="BV87" s="24"/>
      <c r="BW87" s="24"/>
      <c r="BX87" s="24"/>
      <c r="CK87" s="35"/>
      <c r="CN87"/>
      <c r="CO87"/>
    </row>
    <row r="88" spans="40:93">
      <c r="AN88" s="24"/>
      <c r="AO88" s="24"/>
      <c r="AP88" s="24"/>
      <c r="AQ88" s="24"/>
      <c r="AR88" s="24"/>
      <c r="AS88" s="24"/>
      <c r="AT88" s="24"/>
      <c r="AU88" s="24"/>
      <c r="AV88" s="24"/>
      <c r="AX88" s="26"/>
      <c r="AY88" s="26"/>
      <c r="AZ88" s="26"/>
      <c r="BB88" s="26"/>
      <c r="BC88" s="26"/>
      <c r="BD88" s="26"/>
      <c r="BF88" s="20"/>
      <c r="BG88" s="20"/>
      <c r="BI88" s="31"/>
      <c r="BJ88" s="31"/>
      <c r="BQ88" s="26"/>
      <c r="BR88" s="26"/>
      <c r="BS88" s="26"/>
      <c r="BT88" s="2"/>
      <c r="BU88" s="2"/>
      <c r="BV88" s="24"/>
      <c r="BW88" s="24"/>
      <c r="BX88" s="24"/>
      <c r="CK88" s="35"/>
      <c r="CN88"/>
      <c r="CO88"/>
    </row>
    <row r="89" spans="40:93">
      <c r="AN89" s="24"/>
      <c r="AO89" s="24"/>
      <c r="AP89" s="24"/>
      <c r="AQ89" s="24"/>
      <c r="AR89" s="24"/>
      <c r="AS89" s="24"/>
      <c r="AT89" s="24"/>
      <c r="AU89" s="24"/>
      <c r="AV89" s="24"/>
      <c r="AX89" s="26"/>
      <c r="AY89" s="26"/>
      <c r="AZ89" s="26"/>
      <c r="BB89" s="26"/>
      <c r="BC89" s="26"/>
      <c r="BD89" s="26"/>
      <c r="BF89" s="20"/>
      <c r="BG89" s="20"/>
      <c r="BI89" s="31"/>
      <c r="BJ89" s="31"/>
      <c r="BQ89" s="26"/>
      <c r="BR89" s="26"/>
      <c r="BS89" s="26"/>
      <c r="BT89" s="2"/>
      <c r="BU89" s="2"/>
      <c r="BV89" s="24"/>
      <c r="BW89" s="24"/>
      <c r="BX89" s="24"/>
      <c r="CK89" s="35"/>
      <c r="CN89"/>
      <c r="CO89"/>
    </row>
    <row r="90" spans="40:93">
      <c r="AN90" s="24"/>
      <c r="AO90" s="24"/>
      <c r="AP90" s="24"/>
      <c r="AQ90" s="24"/>
      <c r="AR90" s="24"/>
      <c r="AS90" s="24"/>
      <c r="AT90" s="24"/>
      <c r="AU90" s="24"/>
      <c r="AV90" s="24"/>
      <c r="AX90" s="26"/>
      <c r="AY90" s="26"/>
      <c r="AZ90" s="26"/>
      <c r="BB90" s="26"/>
      <c r="BC90" s="26"/>
      <c r="BD90" s="26"/>
      <c r="BF90" s="20"/>
      <c r="BG90" s="20"/>
      <c r="BI90" s="31"/>
      <c r="BJ90" s="31"/>
      <c r="BQ90" s="26"/>
      <c r="BR90" s="26"/>
      <c r="BS90" s="26"/>
      <c r="BT90" s="2"/>
      <c r="BU90" s="2"/>
      <c r="BV90" s="24"/>
      <c r="BW90" s="24"/>
      <c r="BX90" s="24"/>
      <c r="CK90" s="35"/>
      <c r="CN90"/>
      <c r="CO90"/>
    </row>
    <row r="91" spans="40:93">
      <c r="AN91" s="24"/>
      <c r="AO91" s="24"/>
      <c r="AP91" s="24"/>
      <c r="AQ91" s="24"/>
      <c r="AR91" s="24"/>
      <c r="AS91" s="24"/>
      <c r="AT91" s="24"/>
      <c r="AU91" s="24"/>
      <c r="AV91" s="24"/>
      <c r="AX91" s="26"/>
      <c r="AY91" s="26"/>
      <c r="AZ91" s="26"/>
      <c r="BB91" s="26"/>
      <c r="BC91" s="26"/>
      <c r="BD91" s="26"/>
      <c r="BF91" s="20"/>
      <c r="BG91" s="20"/>
      <c r="BI91" s="31"/>
      <c r="BJ91" s="31"/>
      <c r="BQ91" s="26"/>
      <c r="BR91" s="26"/>
      <c r="BS91" s="26"/>
      <c r="BT91" s="2"/>
      <c r="BU91" s="2"/>
      <c r="BV91" s="24"/>
      <c r="BW91" s="24"/>
      <c r="BX91" s="24"/>
      <c r="CK91" s="35"/>
      <c r="CN91"/>
      <c r="CO91"/>
    </row>
    <row r="92" spans="40:93">
      <c r="AN92" s="24"/>
      <c r="AO92" s="24"/>
      <c r="AP92" s="24"/>
      <c r="AQ92" s="24"/>
      <c r="AR92" s="24"/>
      <c r="AS92" s="24"/>
      <c r="AT92" s="24"/>
      <c r="AU92" s="24"/>
      <c r="AV92" s="24"/>
      <c r="AX92" s="26"/>
      <c r="AY92" s="26"/>
      <c r="AZ92" s="26"/>
      <c r="BB92" s="26"/>
      <c r="BC92" s="26"/>
      <c r="BD92" s="26"/>
      <c r="BF92" s="20"/>
      <c r="BG92" s="20"/>
      <c r="BI92" s="31"/>
      <c r="BJ92" s="31"/>
      <c r="BQ92" s="26"/>
      <c r="BR92" s="26"/>
      <c r="BS92" s="26"/>
      <c r="BT92" s="2"/>
      <c r="BU92" s="2"/>
      <c r="BV92" s="24"/>
      <c r="BW92" s="24"/>
      <c r="BX92" s="24"/>
      <c r="CK92" s="35"/>
      <c r="CN92"/>
      <c r="CO92"/>
    </row>
    <row r="93" spans="40:93">
      <c r="AN93" s="24"/>
      <c r="AO93" s="24"/>
      <c r="AP93" s="24"/>
      <c r="AQ93" s="24"/>
      <c r="AR93" s="24"/>
      <c r="AS93" s="24"/>
      <c r="AT93" s="24"/>
      <c r="AU93" s="24"/>
      <c r="AV93" s="24"/>
      <c r="AX93" s="26"/>
      <c r="AY93" s="26"/>
      <c r="AZ93" s="26"/>
      <c r="BB93" s="26"/>
      <c r="BC93" s="26"/>
      <c r="BD93" s="26"/>
      <c r="BF93" s="20"/>
      <c r="BG93" s="20"/>
      <c r="BI93" s="31"/>
      <c r="BJ93" s="31"/>
      <c r="BQ93" s="26"/>
      <c r="BR93" s="26"/>
      <c r="BS93" s="26"/>
      <c r="BT93" s="2"/>
      <c r="BU93" s="2"/>
      <c r="BV93" s="24"/>
      <c r="BW93" s="24"/>
      <c r="BX93" s="24"/>
      <c r="CK93" s="35"/>
      <c r="CN93"/>
      <c r="CO93"/>
    </row>
    <row r="94" spans="40:93">
      <c r="AN94" s="24"/>
      <c r="AO94" s="24"/>
      <c r="AP94" s="24"/>
      <c r="AQ94" s="24"/>
      <c r="AR94" s="24"/>
      <c r="AS94" s="24"/>
      <c r="AT94" s="24"/>
      <c r="AU94" s="24"/>
      <c r="AV94" s="24"/>
      <c r="AX94" s="26"/>
      <c r="AY94" s="26"/>
      <c r="AZ94" s="26"/>
      <c r="BB94" s="26"/>
      <c r="BC94" s="26"/>
      <c r="BD94" s="26"/>
      <c r="BF94" s="20"/>
      <c r="BG94" s="20"/>
      <c r="BI94" s="31"/>
      <c r="BJ94" s="31"/>
      <c r="BQ94" s="26"/>
      <c r="BR94" s="26"/>
      <c r="BS94" s="26"/>
      <c r="BT94" s="2"/>
      <c r="BU94" s="2"/>
      <c r="BV94" s="24"/>
      <c r="BW94" s="24"/>
      <c r="BX94" s="24"/>
      <c r="CK94" s="35"/>
      <c r="CN94"/>
      <c r="CO94"/>
    </row>
    <row r="95" spans="40:93">
      <c r="AN95" s="24"/>
      <c r="AO95" s="24"/>
      <c r="AP95" s="24"/>
      <c r="AQ95" s="24"/>
      <c r="AR95" s="24"/>
      <c r="AS95" s="24"/>
      <c r="AT95" s="24"/>
      <c r="AU95" s="24"/>
      <c r="AV95" s="24"/>
      <c r="AX95" s="26"/>
      <c r="AY95" s="26"/>
      <c r="AZ95" s="26"/>
      <c r="BB95" s="26"/>
      <c r="BC95" s="26"/>
      <c r="BD95" s="26"/>
      <c r="BF95" s="20"/>
      <c r="BG95" s="20"/>
      <c r="BI95" s="31"/>
      <c r="BJ95" s="31"/>
      <c r="BQ95" s="26"/>
      <c r="BR95" s="26"/>
      <c r="BS95" s="26"/>
      <c r="BT95" s="2"/>
      <c r="BU95" s="2"/>
      <c r="BV95" s="24"/>
      <c r="BW95" s="24"/>
      <c r="BX95" s="24"/>
      <c r="CK95" s="35"/>
      <c r="CN95"/>
      <c r="CO95"/>
    </row>
    <row r="96" spans="40:93">
      <c r="AN96" s="24"/>
      <c r="AO96" s="24"/>
      <c r="AP96" s="24"/>
      <c r="AQ96" s="24"/>
      <c r="AR96" s="24"/>
      <c r="AS96" s="24"/>
      <c r="AT96" s="24"/>
      <c r="AU96" s="24"/>
      <c r="AV96" s="24"/>
      <c r="AX96" s="26"/>
      <c r="AY96" s="26"/>
      <c r="AZ96" s="26"/>
      <c r="BB96" s="26"/>
      <c r="BC96" s="26"/>
      <c r="BD96" s="26"/>
      <c r="BF96" s="20"/>
      <c r="BG96" s="20"/>
      <c r="BI96" s="31"/>
      <c r="BJ96" s="31"/>
      <c r="BQ96" s="26"/>
      <c r="BR96" s="26"/>
      <c r="BS96" s="26"/>
      <c r="BT96" s="2"/>
      <c r="BU96" s="2"/>
      <c r="BV96" s="24"/>
      <c r="BW96" s="24"/>
      <c r="BX96" s="24"/>
      <c r="CK96" s="35"/>
      <c r="CN96"/>
      <c r="CO96"/>
    </row>
    <row r="97" spans="40:93">
      <c r="AN97" s="24"/>
      <c r="AO97" s="24"/>
      <c r="AP97" s="24"/>
      <c r="AQ97" s="24"/>
      <c r="AR97" s="24"/>
      <c r="AS97" s="24"/>
      <c r="AT97" s="24"/>
      <c r="AU97" s="24"/>
      <c r="AV97" s="24"/>
      <c r="AX97" s="26"/>
      <c r="AY97" s="26"/>
      <c r="AZ97" s="26"/>
      <c r="BB97" s="26"/>
      <c r="BC97" s="26"/>
      <c r="BD97" s="26"/>
      <c r="BF97" s="20"/>
      <c r="BG97" s="20"/>
      <c r="BI97" s="31"/>
      <c r="BJ97" s="31"/>
      <c r="BQ97" s="26"/>
      <c r="BR97" s="26"/>
      <c r="BS97" s="26"/>
      <c r="BT97" s="2"/>
      <c r="BU97" s="2"/>
      <c r="BV97" s="24"/>
      <c r="BW97" s="24"/>
      <c r="BX97" s="24"/>
      <c r="CK97" s="35"/>
      <c r="CN97"/>
      <c r="CO97"/>
    </row>
    <row r="98" spans="40:93">
      <c r="AN98" s="24"/>
      <c r="AO98" s="24"/>
      <c r="AP98" s="24"/>
      <c r="AQ98" s="24"/>
      <c r="AR98" s="24"/>
      <c r="AS98" s="24"/>
      <c r="AT98" s="24"/>
      <c r="AU98" s="24"/>
      <c r="AV98" s="24"/>
      <c r="AX98" s="26"/>
      <c r="AY98" s="26"/>
      <c r="AZ98" s="26"/>
      <c r="BB98" s="26"/>
      <c r="BC98" s="26"/>
      <c r="BD98" s="26"/>
      <c r="BF98" s="20"/>
      <c r="BG98" s="20"/>
      <c r="BI98" s="31"/>
      <c r="BJ98" s="31"/>
      <c r="BQ98" s="26"/>
      <c r="BR98" s="26"/>
      <c r="BS98" s="26"/>
      <c r="BT98" s="2"/>
      <c r="BU98" s="2"/>
      <c r="BV98" s="24"/>
      <c r="BW98" s="24"/>
      <c r="BX98" s="24"/>
      <c r="CK98" s="35"/>
      <c r="CN98"/>
      <c r="CO98"/>
    </row>
    <row r="99" spans="40:93">
      <c r="AN99" s="24"/>
      <c r="AO99" s="24"/>
      <c r="AP99" s="24"/>
      <c r="AQ99" s="24"/>
      <c r="AR99" s="24"/>
      <c r="AS99" s="24"/>
      <c r="AT99" s="24"/>
      <c r="AU99" s="24"/>
      <c r="AV99" s="24"/>
      <c r="AX99" s="26"/>
      <c r="AY99" s="26"/>
      <c r="AZ99" s="26"/>
      <c r="BB99" s="26"/>
      <c r="BC99" s="26"/>
      <c r="BD99" s="26"/>
      <c r="BF99" s="20"/>
      <c r="BG99" s="20"/>
      <c r="BI99" s="31"/>
      <c r="BJ99" s="31"/>
      <c r="BQ99" s="26"/>
      <c r="BR99" s="26"/>
      <c r="BS99" s="26"/>
      <c r="BT99" s="2"/>
      <c r="BU99" s="2"/>
      <c r="BV99" s="24"/>
      <c r="BW99" s="24"/>
      <c r="BX99" s="24"/>
      <c r="CK99" s="35"/>
      <c r="CN99"/>
      <c r="CO99"/>
    </row>
    <row r="100" spans="40:93">
      <c r="AN100" s="24"/>
      <c r="AO100" s="24"/>
      <c r="AP100" s="24"/>
      <c r="AQ100" s="24"/>
      <c r="AR100" s="24"/>
      <c r="AS100" s="24"/>
      <c r="AT100" s="24"/>
      <c r="AU100" s="24"/>
      <c r="AV100" s="24"/>
      <c r="AX100" s="26"/>
      <c r="AY100" s="26"/>
      <c r="AZ100" s="26"/>
      <c r="BB100" s="26"/>
      <c r="BC100" s="26"/>
      <c r="BD100" s="26"/>
      <c r="BF100" s="20"/>
      <c r="BG100" s="20"/>
      <c r="BI100" s="31"/>
      <c r="BJ100" s="31"/>
      <c r="BQ100" s="26"/>
      <c r="BR100" s="26"/>
      <c r="BS100" s="26"/>
      <c r="BT100" s="2"/>
      <c r="BU100" s="2"/>
      <c r="BV100" s="24"/>
      <c r="BW100" s="24"/>
      <c r="BX100" s="24"/>
      <c r="CI100" s="50"/>
      <c r="CJ100" s="51"/>
      <c r="CK100" s="52"/>
      <c r="CL100" s="50"/>
      <c r="CN100"/>
      <c r="CO100"/>
    </row>
    <row r="101" spans="40:93">
      <c r="AN101" s="24"/>
      <c r="AO101" s="24"/>
      <c r="AP101" s="24"/>
      <c r="AQ101" s="24"/>
      <c r="AR101" s="24"/>
      <c r="AS101" s="24"/>
      <c r="AT101" s="24"/>
      <c r="AU101" s="24"/>
      <c r="AV101" s="24"/>
      <c r="AX101" s="26"/>
      <c r="AY101" s="26"/>
      <c r="AZ101" s="26"/>
      <c r="BB101" s="26"/>
      <c r="BC101" s="26"/>
      <c r="BD101" s="26"/>
      <c r="BF101" s="20"/>
      <c r="BG101" s="20"/>
      <c r="BI101" s="31"/>
      <c r="BJ101" s="31"/>
      <c r="BQ101" s="26"/>
      <c r="BR101" s="26"/>
      <c r="BS101" s="26"/>
      <c r="BT101" s="2"/>
      <c r="BU101" s="2"/>
      <c r="BV101" s="24"/>
      <c r="BW101" s="24"/>
      <c r="BX101" s="24"/>
      <c r="CK101" s="35"/>
      <c r="CN101"/>
      <c r="CO101"/>
    </row>
    <row r="102" spans="40:93">
      <c r="AN102" s="24"/>
      <c r="AO102" s="24"/>
      <c r="AP102" s="24"/>
      <c r="AQ102" s="24"/>
      <c r="AR102" s="24"/>
      <c r="AS102" s="24"/>
      <c r="AT102" s="24"/>
      <c r="AU102" s="24"/>
      <c r="AV102" s="24"/>
      <c r="AX102" s="26"/>
      <c r="AY102" s="26"/>
      <c r="AZ102" s="26"/>
      <c r="BB102" s="26"/>
      <c r="BC102" s="26"/>
      <c r="BD102" s="26"/>
      <c r="BF102" s="20"/>
      <c r="BG102" s="20"/>
      <c r="BI102" s="31"/>
      <c r="BJ102" s="31"/>
      <c r="BQ102" s="26"/>
      <c r="BR102" s="26"/>
      <c r="BS102" s="26"/>
      <c r="BT102" s="2"/>
      <c r="BU102" s="2"/>
      <c r="BV102" s="24"/>
      <c r="BW102" s="24"/>
      <c r="BX102" s="24"/>
      <c r="CK102" s="35"/>
      <c r="CN102"/>
      <c r="CO102"/>
    </row>
    <row r="103" spans="40:93">
      <c r="AN103" s="24"/>
      <c r="AO103" s="24"/>
      <c r="AP103" s="24"/>
      <c r="AQ103" s="24"/>
      <c r="AR103" s="24"/>
      <c r="AS103" s="24"/>
      <c r="AT103" s="24"/>
      <c r="AU103" s="24"/>
      <c r="AV103" s="24"/>
      <c r="AX103" s="26"/>
      <c r="AY103" s="26"/>
      <c r="AZ103" s="26"/>
      <c r="BB103" s="26"/>
      <c r="BC103" s="26"/>
      <c r="BD103" s="26"/>
      <c r="BF103" s="20"/>
      <c r="BG103" s="20"/>
      <c r="BI103" s="31"/>
      <c r="BJ103" s="31"/>
      <c r="BQ103" s="26"/>
      <c r="BR103" s="26"/>
      <c r="BS103" s="26"/>
      <c r="BT103" s="2"/>
      <c r="BU103" s="2"/>
      <c r="BV103" s="24"/>
      <c r="BW103" s="24"/>
      <c r="BX103" s="24"/>
      <c r="CK103" s="35"/>
      <c r="CN103"/>
      <c r="CO103"/>
    </row>
    <row r="104" spans="40:93">
      <c r="AN104" s="24"/>
      <c r="AO104" s="24"/>
      <c r="AP104" s="24"/>
      <c r="AQ104" s="24"/>
      <c r="AR104" s="24"/>
      <c r="AS104" s="24"/>
      <c r="AT104" s="24"/>
      <c r="AU104" s="24"/>
      <c r="AV104" s="24"/>
      <c r="AX104" s="26"/>
      <c r="AY104" s="26"/>
      <c r="AZ104" s="26"/>
      <c r="BB104" s="26"/>
      <c r="BC104" s="26"/>
      <c r="BD104" s="26"/>
      <c r="BF104" s="20"/>
      <c r="BG104" s="20"/>
      <c r="BI104" s="31"/>
      <c r="BJ104" s="31"/>
      <c r="BQ104" s="26"/>
      <c r="BR104" s="26"/>
      <c r="BS104" s="26"/>
      <c r="BT104" s="2"/>
      <c r="BU104" s="2"/>
      <c r="BV104" s="24"/>
      <c r="BW104" s="24"/>
      <c r="BX104" s="24"/>
      <c r="CK104" s="35"/>
      <c r="CN104"/>
      <c r="CO104"/>
    </row>
    <row r="105" spans="40:93">
      <c r="AN105" s="24"/>
      <c r="AO105" s="24"/>
      <c r="AP105" s="24"/>
      <c r="AQ105" s="24"/>
      <c r="AR105" s="24"/>
      <c r="AS105" s="24"/>
      <c r="AT105" s="24"/>
      <c r="AU105" s="24"/>
      <c r="AV105" s="24"/>
      <c r="AX105" s="26"/>
      <c r="AY105" s="26"/>
      <c r="AZ105" s="26"/>
      <c r="BB105" s="26"/>
      <c r="BC105" s="26"/>
      <c r="BD105" s="26"/>
      <c r="BF105" s="20"/>
      <c r="BG105" s="20"/>
      <c r="BI105" s="31"/>
      <c r="BJ105" s="31"/>
      <c r="BQ105" s="26"/>
      <c r="BR105" s="26"/>
      <c r="BS105" s="26"/>
      <c r="BT105" s="2"/>
      <c r="BU105" s="2"/>
      <c r="BV105" s="24"/>
      <c r="BW105" s="24"/>
      <c r="BX105" s="24"/>
      <c r="CK105" s="35"/>
      <c r="CN105"/>
      <c r="CO105"/>
    </row>
    <row r="106" spans="40:93">
      <c r="AN106" s="24"/>
      <c r="AO106" s="24"/>
      <c r="AP106" s="24"/>
      <c r="AQ106" s="24"/>
      <c r="AR106" s="24"/>
      <c r="AS106" s="24"/>
      <c r="AT106" s="24"/>
      <c r="AU106" s="24"/>
      <c r="AV106" s="24"/>
      <c r="AX106" s="26"/>
      <c r="AY106" s="26"/>
      <c r="AZ106" s="26"/>
      <c r="BB106" s="26"/>
      <c r="BC106" s="26"/>
      <c r="BD106" s="26"/>
      <c r="BF106" s="20"/>
      <c r="BG106" s="20"/>
      <c r="BI106" s="31"/>
      <c r="BJ106" s="31"/>
      <c r="BQ106" s="26"/>
      <c r="BR106" s="26"/>
      <c r="BS106" s="26"/>
      <c r="BT106" s="2"/>
      <c r="BU106" s="2"/>
      <c r="BV106" s="24"/>
      <c r="BW106" s="24"/>
      <c r="BX106" s="24"/>
      <c r="CK106" s="35"/>
      <c r="CN106"/>
      <c r="CO106"/>
    </row>
    <row r="107" spans="40:93">
      <c r="AN107" s="24"/>
      <c r="AO107" s="24"/>
      <c r="AP107" s="24"/>
      <c r="AQ107" s="24"/>
      <c r="AR107" s="24"/>
      <c r="AS107" s="24"/>
      <c r="AT107" s="24"/>
      <c r="AU107" s="24"/>
      <c r="AV107" s="24"/>
      <c r="AX107" s="26"/>
      <c r="AY107" s="26"/>
      <c r="AZ107" s="26"/>
      <c r="BB107" s="26"/>
      <c r="BC107" s="26"/>
      <c r="BD107" s="26"/>
      <c r="BF107" s="20"/>
      <c r="BG107" s="20"/>
      <c r="BI107" s="31"/>
      <c r="BJ107" s="31"/>
      <c r="BQ107" s="26"/>
      <c r="BR107" s="26"/>
      <c r="BS107" s="26"/>
      <c r="BT107" s="2"/>
      <c r="BU107" s="2"/>
      <c r="BV107" s="24"/>
      <c r="BW107" s="24"/>
      <c r="BX107" s="24"/>
      <c r="CK107" s="35"/>
      <c r="CN107"/>
      <c r="CO107"/>
    </row>
    <row r="108" spans="40:93">
      <c r="AN108" s="24"/>
      <c r="AO108" s="24"/>
      <c r="AP108" s="24"/>
      <c r="AQ108" s="24"/>
      <c r="AR108" s="24"/>
      <c r="AS108" s="24"/>
      <c r="AT108" s="24"/>
      <c r="AU108" s="24"/>
      <c r="AV108" s="24"/>
      <c r="AX108" s="26"/>
      <c r="AY108" s="26"/>
      <c r="AZ108" s="26"/>
      <c r="BB108" s="26"/>
      <c r="BC108" s="26"/>
      <c r="BD108" s="26"/>
      <c r="BF108" s="20"/>
      <c r="BG108" s="20"/>
      <c r="BI108" s="31"/>
      <c r="BJ108" s="31"/>
      <c r="BQ108" s="26"/>
      <c r="BR108" s="26"/>
      <c r="BS108" s="26"/>
      <c r="BT108" s="2"/>
      <c r="BU108" s="2"/>
      <c r="BV108" s="24"/>
      <c r="BW108" s="24"/>
      <c r="BX108" s="24"/>
      <c r="CK108" s="35"/>
      <c r="CN108"/>
      <c r="CO108"/>
    </row>
    <row r="109" spans="40:93">
      <c r="AN109" s="24"/>
      <c r="AO109" s="24"/>
      <c r="AP109" s="24"/>
      <c r="AQ109" s="24"/>
      <c r="AR109" s="24"/>
      <c r="AS109" s="24"/>
      <c r="AT109" s="24"/>
      <c r="AU109" s="24"/>
      <c r="AV109" s="24"/>
      <c r="AX109" s="26"/>
      <c r="AY109" s="26"/>
      <c r="AZ109" s="26"/>
      <c r="BB109" s="26"/>
      <c r="BC109" s="26"/>
      <c r="BD109" s="26"/>
      <c r="BF109" s="20"/>
      <c r="BG109" s="20"/>
      <c r="BI109" s="31"/>
      <c r="BJ109" s="31"/>
      <c r="BQ109" s="26"/>
      <c r="BR109" s="26"/>
      <c r="BS109" s="26"/>
      <c r="BT109" s="2"/>
      <c r="BU109" s="2"/>
      <c r="BV109" s="24"/>
      <c r="BW109" s="24"/>
      <c r="BX109" s="24"/>
      <c r="CK109" s="35"/>
      <c r="CN109"/>
      <c r="CO109"/>
    </row>
    <row r="110" spans="40:93">
      <c r="AN110" s="24"/>
      <c r="AO110" s="24"/>
      <c r="AP110" s="24"/>
      <c r="AQ110" s="24"/>
      <c r="AR110" s="24"/>
      <c r="AS110" s="24"/>
      <c r="AT110" s="24"/>
      <c r="AU110" s="24"/>
      <c r="AV110" s="24"/>
      <c r="AX110" s="26"/>
      <c r="AY110" s="26"/>
      <c r="AZ110" s="26"/>
      <c r="BB110" s="26"/>
      <c r="BC110" s="26"/>
      <c r="BD110" s="26"/>
      <c r="BF110" s="20"/>
      <c r="BG110" s="20"/>
      <c r="BI110" s="31"/>
      <c r="BJ110" s="31"/>
      <c r="BQ110" s="26"/>
      <c r="BR110" s="26"/>
      <c r="BS110" s="26"/>
      <c r="BT110" s="2"/>
      <c r="BU110" s="2"/>
      <c r="BV110" s="24"/>
      <c r="BW110" s="24"/>
      <c r="BX110" s="24"/>
      <c r="CK110" s="35"/>
      <c r="CN110"/>
      <c r="CO110"/>
    </row>
    <row r="111" spans="40:93">
      <c r="AN111" s="24"/>
      <c r="AO111" s="24"/>
      <c r="AP111" s="24"/>
      <c r="AQ111" s="24"/>
      <c r="AR111" s="24"/>
      <c r="AS111" s="24"/>
      <c r="AT111" s="24"/>
      <c r="AU111" s="24"/>
      <c r="AV111" s="24"/>
      <c r="AX111" s="26"/>
      <c r="AY111" s="26"/>
      <c r="AZ111" s="26"/>
      <c r="BB111" s="26"/>
      <c r="BC111" s="26"/>
      <c r="BD111" s="26"/>
      <c r="BF111" s="20"/>
      <c r="BG111" s="20"/>
      <c r="BI111" s="31"/>
      <c r="BJ111" s="31"/>
      <c r="BQ111" s="26"/>
      <c r="BR111" s="26"/>
      <c r="BS111" s="26"/>
      <c r="BT111" s="2"/>
      <c r="BU111" s="2"/>
      <c r="BV111" s="24"/>
      <c r="BW111" s="24"/>
      <c r="BX111" s="24"/>
      <c r="CK111" s="35"/>
      <c r="CN111"/>
      <c r="CO111"/>
    </row>
    <row r="112" spans="40:93">
      <c r="AN112" s="24"/>
      <c r="AO112" s="24"/>
      <c r="AP112" s="24"/>
      <c r="AQ112" s="24"/>
      <c r="AR112" s="24"/>
      <c r="AS112" s="24"/>
      <c r="AT112" s="24"/>
      <c r="AU112" s="24"/>
      <c r="AV112" s="24"/>
      <c r="AX112" s="26"/>
      <c r="AY112" s="26"/>
      <c r="AZ112" s="26"/>
      <c r="BB112" s="26"/>
      <c r="BC112" s="26"/>
      <c r="BD112" s="26"/>
      <c r="BF112" s="20"/>
      <c r="BG112" s="20"/>
      <c r="BI112" s="31"/>
      <c r="BJ112" s="31"/>
      <c r="BQ112" s="26"/>
      <c r="BR112" s="26"/>
      <c r="BS112" s="26"/>
      <c r="BT112" s="2"/>
      <c r="BU112" s="2"/>
      <c r="BV112" s="24"/>
      <c r="BW112" s="24"/>
      <c r="BX112" s="24"/>
      <c r="CK112" s="35"/>
      <c r="CN112"/>
      <c r="CO112"/>
    </row>
    <row r="113" spans="40:93">
      <c r="AN113" s="24"/>
      <c r="AO113" s="24"/>
      <c r="AP113" s="24"/>
      <c r="AQ113" s="24"/>
      <c r="AR113" s="24"/>
      <c r="AS113" s="24"/>
      <c r="AT113" s="24"/>
      <c r="AU113" s="24"/>
      <c r="AV113" s="24"/>
      <c r="AX113" s="26"/>
      <c r="AY113" s="26"/>
      <c r="AZ113" s="26"/>
      <c r="BB113" s="26"/>
      <c r="BC113" s="26"/>
      <c r="BD113" s="26"/>
      <c r="BF113" s="20"/>
      <c r="BG113" s="20"/>
      <c r="BI113" s="31"/>
      <c r="BJ113" s="31"/>
      <c r="BQ113" s="26"/>
      <c r="BR113" s="26"/>
      <c r="BS113" s="26"/>
      <c r="BT113" s="2"/>
      <c r="BU113" s="2"/>
      <c r="BV113" s="24"/>
      <c r="BW113" s="24"/>
      <c r="BX113" s="24"/>
      <c r="CK113" s="35"/>
      <c r="CN113"/>
      <c r="CO113"/>
    </row>
    <row r="114" spans="40:93">
      <c r="AN114" s="24"/>
      <c r="AO114" s="24"/>
      <c r="AP114" s="24"/>
      <c r="AQ114" s="24"/>
      <c r="AR114" s="24"/>
      <c r="AS114" s="24"/>
      <c r="AT114" s="24"/>
      <c r="AU114" s="24"/>
      <c r="AV114" s="24"/>
      <c r="AX114" s="26"/>
      <c r="AY114" s="26"/>
      <c r="AZ114" s="26"/>
      <c r="BB114" s="26"/>
      <c r="BC114" s="26"/>
      <c r="BD114" s="26"/>
      <c r="BF114" s="20"/>
      <c r="BG114" s="20"/>
      <c r="BI114" s="31"/>
      <c r="BJ114" s="31"/>
      <c r="BQ114" s="26"/>
      <c r="BR114" s="26"/>
      <c r="BS114" s="26"/>
      <c r="BT114" s="2"/>
      <c r="BU114" s="2"/>
      <c r="BV114" s="24"/>
      <c r="BW114" s="24"/>
      <c r="BX114" s="24"/>
      <c r="CK114" s="35"/>
      <c r="CN114"/>
      <c r="CO114"/>
    </row>
    <row r="115" spans="40:93">
      <c r="AN115" s="24"/>
      <c r="AO115" s="24"/>
      <c r="AP115" s="24"/>
      <c r="AQ115" s="24"/>
      <c r="AR115" s="24"/>
      <c r="AS115" s="24"/>
      <c r="AT115" s="24"/>
      <c r="AU115" s="24"/>
      <c r="AV115" s="24"/>
      <c r="AX115" s="26"/>
      <c r="AY115" s="26"/>
      <c r="AZ115" s="26"/>
      <c r="BB115" s="26"/>
      <c r="BC115" s="26"/>
      <c r="BD115" s="26"/>
      <c r="BF115" s="20"/>
      <c r="BG115" s="20"/>
      <c r="BI115" s="31"/>
      <c r="BJ115" s="31"/>
      <c r="BQ115" s="26"/>
      <c r="BR115" s="26"/>
      <c r="BS115" s="26"/>
      <c r="BT115" s="2"/>
      <c r="BU115" s="2"/>
      <c r="BV115" s="24"/>
      <c r="BW115" s="24"/>
      <c r="BX115" s="24"/>
      <c r="CK115" s="35"/>
      <c r="CN115"/>
      <c r="CO115"/>
    </row>
    <row r="116" spans="40:93">
      <c r="AN116" s="24"/>
      <c r="AO116" s="24"/>
      <c r="AP116" s="24"/>
      <c r="AQ116" s="24"/>
      <c r="AR116" s="24"/>
      <c r="AS116" s="24"/>
      <c r="AT116" s="24"/>
      <c r="AU116" s="24"/>
      <c r="AV116" s="24"/>
      <c r="AX116" s="26"/>
      <c r="AY116" s="26"/>
      <c r="AZ116" s="26"/>
      <c r="BB116" s="26"/>
      <c r="BC116" s="26"/>
      <c r="BD116" s="26"/>
      <c r="BF116" s="20"/>
      <c r="BG116" s="20"/>
      <c r="BI116" s="31"/>
      <c r="BJ116" s="31"/>
      <c r="BQ116" s="26"/>
      <c r="BR116" s="26"/>
      <c r="BS116" s="26"/>
      <c r="BT116" s="2"/>
      <c r="BU116" s="2"/>
      <c r="BV116" s="24"/>
      <c r="BW116" s="24"/>
      <c r="BX116" s="24"/>
      <c r="CK116" s="35"/>
      <c r="CN116"/>
      <c r="CO116"/>
    </row>
    <row r="117" spans="40:93">
      <c r="AN117" s="24"/>
      <c r="AO117" s="24"/>
      <c r="AP117" s="24"/>
      <c r="AQ117" s="24"/>
      <c r="AR117" s="24"/>
      <c r="AS117" s="24"/>
      <c r="AT117" s="24"/>
      <c r="AU117" s="24"/>
      <c r="AV117" s="24"/>
      <c r="AX117" s="26"/>
      <c r="AY117" s="26"/>
      <c r="AZ117" s="26"/>
      <c r="BB117" s="26"/>
      <c r="BC117" s="26"/>
      <c r="BD117" s="26"/>
      <c r="BF117" s="20"/>
      <c r="BG117" s="20"/>
      <c r="BI117" s="31"/>
      <c r="BJ117" s="31"/>
      <c r="BQ117" s="26"/>
      <c r="BR117" s="26"/>
      <c r="BS117" s="26"/>
      <c r="BT117" s="2"/>
      <c r="BU117" s="2"/>
      <c r="BV117" s="24"/>
      <c r="BW117" s="24"/>
      <c r="BX117" s="24"/>
      <c r="CK117" s="35"/>
      <c r="CN117"/>
      <c r="CO117"/>
    </row>
    <row r="118" spans="40:93">
      <c r="AN118" s="24"/>
      <c r="AO118" s="24"/>
      <c r="AP118" s="24"/>
      <c r="AQ118" s="24"/>
      <c r="AR118" s="24"/>
      <c r="AS118" s="24"/>
      <c r="AT118" s="24"/>
      <c r="AU118" s="24"/>
      <c r="AV118" s="24"/>
      <c r="AX118" s="26"/>
      <c r="AY118" s="26"/>
      <c r="AZ118" s="26"/>
      <c r="BB118" s="26"/>
      <c r="BC118" s="26"/>
      <c r="BD118" s="26"/>
      <c r="BF118" s="20"/>
      <c r="BG118" s="20"/>
      <c r="BI118" s="31"/>
      <c r="BJ118" s="31"/>
      <c r="BQ118" s="26"/>
      <c r="BR118" s="26"/>
      <c r="BS118" s="26"/>
      <c r="BT118" s="2"/>
      <c r="BU118" s="2"/>
      <c r="BV118" s="24"/>
      <c r="BW118" s="24"/>
      <c r="BX118" s="24"/>
      <c r="CK118" s="35"/>
      <c r="CN118"/>
      <c r="CO118"/>
    </row>
    <row r="119" spans="40:93">
      <c r="AN119" s="24"/>
      <c r="AO119" s="24"/>
      <c r="AP119" s="24"/>
      <c r="AQ119" s="24"/>
      <c r="AR119" s="24"/>
      <c r="AS119" s="24"/>
      <c r="AT119" s="24"/>
      <c r="AU119" s="24"/>
      <c r="AV119" s="24"/>
      <c r="AX119" s="26"/>
      <c r="AY119" s="26"/>
      <c r="AZ119" s="26"/>
      <c r="BB119" s="26"/>
      <c r="BC119" s="26"/>
      <c r="BD119" s="26"/>
      <c r="BF119" s="20"/>
      <c r="BG119" s="20"/>
      <c r="BI119" s="31"/>
      <c r="BJ119" s="31"/>
      <c r="BQ119" s="26"/>
      <c r="BR119" s="26"/>
      <c r="BS119" s="26"/>
      <c r="BT119" s="2"/>
      <c r="BU119" s="2"/>
      <c r="BV119" s="24"/>
      <c r="BW119" s="24"/>
      <c r="BX119" s="24"/>
      <c r="CK119" s="35"/>
      <c r="CN119"/>
      <c r="CO119"/>
    </row>
    <row r="120" spans="40:93">
      <c r="AN120" s="24"/>
      <c r="AO120" s="24"/>
      <c r="AP120" s="24"/>
      <c r="AQ120" s="24"/>
      <c r="AR120" s="24"/>
      <c r="AS120" s="24"/>
      <c r="AT120" s="24"/>
      <c r="AU120" s="24"/>
      <c r="AV120" s="24"/>
      <c r="AX120" s="26"/>
      <c r="AY120" s="26"/>
      <c r="AZ120" s="26"/>
      <c r="BB120" s="26"/>
      <c r="BC120" s="26"/>
      <c r="BD120" s="26"/>
      <c r="BF120" s="20"/>
      <c r="BG120" s="20"/>
      <c r="BI120" s="31"/>
      <c r="BJ120" s="31"/>
      <c r="BQ120" s="26"/>
      <c r="BR120" s="26"/>
      <c r="BS120" s="26"/>
      <c r="BT120" s="2"/>
      <c r="BU120" s="2"/>
      <c r="BV120" s="24"/>
      <c r="BW120" s="24"/>
      <c r="BX120" s="24"/>
      <c r="CK120" s="35"/>
      <c r="CN120"/>
      <c r="CO120"/>
    </row>
    <row r="121" spans="40:93">
      <c r="AN121" s="24"/>
      <c r="AO121" s="24"/>
      <c r="AP121" s="24"/>
      <c r="AQ121" s="24"/>
      <c r="AR121" s="24"/>
      <c r="AS121" s="24"/>
      <c r="AT121" s="24"/>
      <c r="AU121" s="24"/>
      <c r="AV121" s="24"/>
      <c r="AX121" s="26"/>
      <c r="AY121" s="26"/>
      <c r="AZ121" s="26"/>
      <c r="BB121" s="26"/>
      <c r="BC121" s="26"/>
      <c r="BD121" s="26"/>
      <c r="BF121" s="20"/>
      <c r="BG121" s="20"/>
      <c r="BI121" s="31"/>
      <c r="BJ121" s="31"/>
      <c r="BQ121" s="26"/>
      <c r="BR121" s="26"/>
      <c r="BS121" s="26"/>
      <c r="BT121" s="2"/>
      <c r="BU121" s="2"/>
      <c r="BV121" s="24"/>
      <c r="BW121" s="24"/>
      <c r="BX121" s="24"/>
      <c r="CK121" s="35"/>
      <c r="CN121"/>
      <c r="CO121"/>
    </row>
    <row r="122" spans="40:93">
      <c r="AN122" s="24"/>
      <c r="AO122" s="24"/>
      <c r="AP122" s="24"/>
      <c r="AQ122" s="24"/>
      <c r="AR122" s="24"/>
      <c r="AS122" s="24"/>
      <c r="AT122" s="24"/>
      <c r="AU122" s="24"/>
      <c r="AV122" s="24"/>
      <c r="AX122" s="26"/>
      <c r="AY122" s="26"/>
      <c r="AZ122" s="26"/>
      <c r="BB122" s="26"/>
      <c r="BC122" s="26"/>
      <c r="BD122" s="26"/>
      <c r="BF122" s="20"/>
      <c r="BG122" s="20"/>
      <c r="BI122" s="31"/>
      <c r="BJ122" s="31"/>
      <c r="BQ122" s="26"/>
      <c r="BR122" s="26"/>
      <c r="BS122" s="26"/>
      <c r="BT122" s="2"/>
      <c r="BU122" s="2"/>
      <c r="BV122" s="24"/>
      <c r="BW122" s="24"/>
      <c r="BX122" s="24"/>
      <c r="CK122" s="35"/>
      <c r="CN122"/>
      <c r="CO122"/>
    </row>
    <row r="123" spans="40:93">
      <c r="AN123" s="24"/>
      <c r="AO123" s="24"/>
      <c r="AP123" s="24"/>
      <c r="AQ123" s="24"/>
      <c r="AR123" s="24"/>
      <c r="AS123" s="24"/>
      <c r="AT123" s="24"/>
      <c r="AU123" s="24"/>
      <c r="AV123" s="24"/>
      <c r="AX123" s="26"/>
      <c r="AY123" s="26"/>
      <c r="AZ123" s="26"/>
      <c r="BB123" s="26"/>
      <c r="BC123" s="26"/>
      <c r="BD123" s="26"/>
      <c r="BF123" s="20"/>
      <c r="BG123" s="20"/>
      <c r="BI123" s="31"/>
      <c r="BJ123" s="31"/>
      <c r="BQ123" s="26"/>
      <c r="BR123" s="26"/>
      <c r="BS123" s="26"/>
      <c r="BT123" s="2"/>
      <c r="BU123" s="2"/>
      <c r="BV123" s="24"/>
      <c r="BW123" s="24"/>
      <c r="BX123" s="24"/>
      <c r="CK123" s="35"/>
      <c r="CN123"/>
      <c r="CO123"/>
    </row>
    <row r="124" spans="40:93">
      <c r="AN124" s="24"/>
      <c r="AO124" s="24"/>
      <c r="AP124" s="24"/>
      <c r="AQ124" s="24"/>
      <c r="AR124" s="24"/>
      <c r="AS124" s="24"/>
      <c r="AT124" s="24"/>
      <c r="AU124" s="24"/>
      <c r="AV124" s="24"/>
      <c r="AX124" s="26"/>
      <c r="AY124" s="26"/>
      <c r="AZ124" s="26"/>
      <c r="BB124" s="26"/>
      <c r="BC124" s="26"/>
      <c r="BD124" s="26"/>
      <c r="BF124" s="20"/>
      <c r="BG124" s="20"/>
      <c r="BI124" s="31"/>
      <c r="BJ124" s="31"/>
      <c r="BQ124" s="26"/>
      <c r="BR124" s="26"/>
      <c r="BS124" s="26"/>
      <c r="BT124" s="2"/>
      <c r="BU124" s="2"/>
      <c r="BV124" s="24"/>
      <c r="BW124" s="24"/>
      <c r="BX124" s="24"/>
      <c r="CK124" s="35"/>
      <c r="CN124"/>
      <c r="CO124"/>
    </row>
    <row r="125" spans="40:93">
      <c r="AN125" s="24"/>
      <c r="AO125" s="24"/>
      <c r="AP125" s="24"/>
      <c r="AQ125" s="24"/>
      <c r="AR125" s="24"/>
      <c r="AS125" s="24"/>
      <c r="AT125" s="24"/>
      <c r="AU125" s="24"/>
      <c r="AV125" s="24"/>
      <c r="AX125" s="26"/>
      <c r="AY125" s="26"/>
      <c r="AZ125" s="26"/>
      <c r="BB125" s="26"/>
      <c r="BC125" s="26"/>
      <c r="BD125" s="26"/>
      <c r="BF125" s="20"/>
      <c r="BG125" s="20"/>
      <c r="BI125" s="31"/>
      <c r="BJ125" s="31"/>
      <c r="BQ125" s="26"/>
      <c r="BR125" s="26"/>
      <c r="BS125" s="26"/>
      <c r="BT125" s="2"/>
      <c r="BU125" s="2"/>
      <c r="BV125" s="24"/>
      <c r="BW125" s="24"/>
      <c r="BX125" s="24"/>
      <c r="CK125" s="35"/>
      <c r="CN125"/>
      <c r="CO125"/>
    </row>
    <row r="126" spans="40:93">
      <c r="AN126" s="24"/>
      <c r="AO126" s="24"/>
      <c r="AP126" s="24"/>
      <c r="AQ126" s="24"/>
      <c r="AR126" s="24"/>
      <c r="AS126" s="24"/>
      <c r="AT126" s="24"/>
      <c r="AU126" s="24"/>
      <c r="AV126" s="24"/>
      <c r="AX126" s="26"/>
      <c r="AY126" s="26"/>
      <c r="AZ126" s="26"/>
      <c r="BB126" s="26"/>
      <c r="BC126" s="26"/>
      <c r="BD126" s="26"/>
      <c r="BF126" s="20"/>
      <c r="BG126" s="20"/>
      <c r="BI126" s="31"/>
      <c r="BJ126" s="31"/>
      <c r="BQ126" s="26"/>
      <c r="BR126" s="26"/>
      <c r="BS126" s="26"/>
      <c r="BT126" s="2"/>
      <c r="BU126" s="2"/>
      <c r="BV126" s="24"/>
      <c r="BW126" s="24"/>
      <c r="BX126" s="24"/>
      <c r="CK126" s="35"/>
      <c r="CN126"/>
      <c r="CO126"/>
    </row>
    <row r="127" spans="40:93">
      <c r="AN127" s="24"/>
      <c r="AO127" s="24"/>
      <c r="AP127" s="24"/>
      <c r="AQ127" s="24"/>
      <c r="AR127" s="24"/>
      <c r="AS127" s="24"/>
      <c r="AT127" s="24"/>
      <c r="AU127" s="24"/>
      <c r="AV127" s="24"/>
      <c r="AX127" s="26"/>
      <c r="AY127" s="26"/>
      <c r="AZ127" s="26"/>
      <c r="BB127" s="26"/>
      <c r="BC127" s="26"/>
      <c r="BD127" s="26"/>
      <c r="BF127" s="20"/>
      <c r="BG127" s="20"/>
      <c r="BI127" s="31"/>
      <c r="BJ127" s="31"/>
      <c r="BQ127" s="26"/>
      <c r="BR127" s="26"/>
      <c r="BS127" s="26"/>
      <c r="BT127" s="2"/>
      <c r="BU127" s="2"/>
      <c r="BV127" s="24"/>
      <c r="BW127" s="24"/>
      <c r="BX127" s="24"/>
      <c r="CK127" s="35"/>
      <c r="CN127"/>
      <c r="CO127"/>
    </row>
    <row r="128" spans="40:93">
      <c r="AN128" s="24"/>
      <c r="AO128" s="24"/>
      <c r="AP128" s="24"/>
      <c r="AQ128" s="24"/>
      <c r="AR128" s="24"/>
      <c r="AS128" s="24"/>
      <c r="AT128" s="24"/>
      <c r="AU128" s="24"/>
      <c r="AV128" s="24"/>
      <c r="AX128" s="26"/>
      <c r="AY128" s="26"/>
      <c r="AZ128" s="26"/>
      <c r="BB128" s="26"/>
      <c r="BC128" s="26"/>
      <c r="BD128" s="26"/>
      <c r="BF128" s="20"/>
      <c r="BG128" s="20"/>
      <c r="BI128" s="31"/>
      <c r="BJ128" s="31"/>
      <c r="BQ128" s="26"/>
      <c r="BR128" s="26"/>
      <c r="BS128" s="26"/>
      <c r="BT128" s="2"/>
      <c r="BU128" s="2"/>
      <c r="BV128" s="24"/>
      <c r="BW128" s="24"/>
      <c r="BX128" s="24"/>
      <c r="CK128" s="35"/>
      <c r="CN128"/>
      <c r="CO128"/>
    </row>
    <row r="129" spans="40:93">
      <c r="AN129" s="24"/>
      <c r="AO129" s="24"/>
      <c r="AP129" s="24"/>
      <c r="AQ129" s="24"/>
      <c r="AR129" s="24"/>
      <c r="AS129" s="24"/>
      <c r="AT129" s="24"/>
      <c r="AU129" s="24"/>
      <c r="AV129" s="24"/>
      <c r="AX129" s="26"/>
      <c r="AY129" s="26"/>
      <c r="AZ129" s="26"/>
      <c r="BB129" s="26"/>
      <c r="BC129" s="26"/>
      <c r="BD129" s="26"/>
      <c r="BF129" s="20"/>
      <c r="BG129" s="20"/>
      <c r="BI129" s="31"/>
      <c r="BJ129" s="31"/>
      <c r="BQ129" s="26"/>
      <c r="BR129" s="26"/>
      <c r="BS129" s="26"/>
      <c r="BT129" s="2"/>
      <c r="BU129" s="2"/>
      <c r="BV129" s="24"/>
      <c r="BW129" s="24"/>
      <c r="BX129" s="24"/>
      <c r="CK129" s="35"/>
      <c r="CN129"/>
      <c r="CO129"/>
    </row>
    <row r="130" spans="40:93">
      <c r="AN130" s="24"/>
      <c r="AO130" s="24"/>
      <c r="AP130" s="24"/>
      <c r="AQ130" s="24"/>
      <c r="AR130" s="24"/>
      <c r="AS130" s="24"/>
      <c r="AT130" s="24"/>
      <c r="AU130" s="24"/>
      <c r="AV130" s="24"/>
      <c r="AX130" s="26"/>
      <c r="AY130" s="26"/>
      <c r="AZ130" s="26"/>
      <c r="BB130" s="26"/>
      <c r="BC130" s="26"/>
      <c r="BD130" s="26"/>
      <c r="BF130" s="20"/>
      <c r="BG130" s="20"/>
      <c r="BI130" s="31"/>
      <c r="BJ130" s="31"/>
      <c r="BQ130" s="26"/>
      <c r="BR130" s="26"/>
      <c r="BS130" s="26"/>
      <c r="BT130" s="2"/>
      <c r="BU130" s="2"/>
      <c r="BV130" s="24"/>
      <c r="BW130" s="24"/>
      <c r="BX130" s="24"/>
      <c r="CK130" s="35"/>
      <c r="CN130"/>
      <c r="CO130"/>
    </row>
    <row r="131" spans="40:93">
      <c r="AN131" s="24"/>
      <c r="AO131" s="24"/>
      <c r="AP131" s="24"/>
      <c r="AQ131" s="24"/>
      <c r="AR131" s="24"/>
      <c r="AS131" s="24"/>
      <c r="AT131" s="24"/>
      <c r="AU131" s="24"/>
      <c r="AV131" s="24"/>
      <c r="AX131" s="26"/>
      <c r="AY131" s="26"/>
      <c r="AZ131" s="26"/>
      <c r="BB131" s="26"/>
      <c r="BC131" s="26"/>
      <c r="BD131" s="26"/>
      <c r="BF131" s="20"/>
      <c r="BG131" s="20"/>
      <c r="BI131" s="31"/>
      <c r="BJ131" s="31"/>
      <c r="BQ131" s="26"/>
      <c r="BR131" s="26"/>
      <c r="BS131" s="26"/>
      <c r="BT131" s="2"/>
      <c r="BU131" s="2"/>
      <c r="BV131" s="24"/>
      <c r="BW131" s="24"/>
      <c r="BX131" s="24"/>
      <c r="CK131" s="35"/>
      <c r="CN131"/>
      <c r="CO131"/>
    </row>
    <row r="132" spans="40:93">
      <c r="AN132" s="24"/>
      <c r="AO132" s="24"/>
      <c r="AP132" s="24"/>
      <c r="AQ132" s="24"/>
      <c r="AR132" s="24"/>
      <c r="AS132" s="24"/>
      <c r="AT132" s="24"/>
      <c r="AU132" s="24"/>
      <c r="AV132" s="24"/>
      <c r="AX132" s="26"/>
      <c r="AY132" s="26"/>
      <c r="AZ132" s="26"/>
      <c r="BB132" s="26"/>
      <c r="BC132" s="26"/>
      <c r="BD132" s="26"/>
      <c r="BF132" s="20"/>
      <c r="BG132" s="20"/>
      <c r="BI132" s="31"/>
      <c r="BJ132" s="31"/>
      <c r="BQ132" s="26"/>
      <c r="BR132" s="26"/>
      <c r="BS132" s="26"/>
      <c r="BT132" s="2"/>
      <c r="BU132" s="2"/>
      <c r="BV132" s="24"/>
      <c r="BW132" s="24"/>
      <c r="BX132" s="24"/>
      <c r="CK132" s="35"/>
      <c r="CN132"/>
      <c r="CO132"/>
    </row>
    <row r="133" spans="40:93">
      <c r="AN133" s="24"/>
      <c r="AO133" s="24"/>
      <c r="AP133" s="24"/>
      <c r="AQ133" s="24"/>
      <c r="AR133" s="24"/>
      <c r="AS133" s="24"/>
      <c r="AT133" s="24"/>
      <c r="AU133" s="24"/>
      <c r="AV133" s="24"/>
      <c r="AX133" s="26"/>
      <c r="AY133" s="26"/>
      <c r="AZ133" s="26"/>
      <c r="BB133" s="26"/>
      <c r="BC133" s="26"/>
      <c r="BD133" s="26"/>
      <c r="BF133" s="20"/>
      <c r="BG133" s="20"/>
      <c r="BI133" s="31"/>
      <c r="BJ133" s="31"/>
      <c r="BQ133" s="26"/>
      <c r="BR133" s="26"/>
      <c r="BS133" s="26"/>
      <c r="BT133" s="2"/>
      <c r="BU133" s="2"/>
      <c r="BV133" s="24"/>
      <c r="BW133" s="24"/>
      <c r="BX133" s="24"/>
      <c r="CK133" s="35"/>
      <c r="CN133"/>
      <c r="CO133"/>
    </row>
    <row r="134" spans="40:93">
      <c r="AN134" s="24"/>
      <c r="AO134" s="24"/>
      <c r="AP134" s="24"/>
      <c r="AQ134" s="24"/>
      <c r="AR134" s="24"/>
      <c r="AS134" s="24"/>
      <c r="AT134" s="24"/>
      <c r="AU134" s="24"/>
      <c r="AV134" s="24"/>
      <c r="AX134" s="26"/>
      <c r="AY134" s="26"/>
      <c r="AZ134" s="26"/>
      <c r="BB134" s="26"/>
      <c r="BC134" s="26"/>
      <c r="BD134" s="26"/>
      <c r="BF134" s="20"/>
      <c r="BG134" s="20"/>
      <c r="BI134" s="31"/>
      <c r="BJ134" s="31"/>
      <c r="BQ134" s="26"/>
      <c r="BR134" s="26"/>
      <c r="BS134" s="26"/>
      <c r="BT134" s="2"/>
      <c r="BU134" s="2"/>
      <c r="BV134" s="24"/>
      <c r="BW134" s="24"/>
      <c r="BX134" s="24"/>
      <c r="CK134" s="35"/>
      <c r="CN134"/>
      <c r="CO134"/>
    </row>
    <row r="135" spans="40:93">
      <c r="AN135" s="24"/>
      <c r="AO135" s="24"/>
      <c r="AP135" s="24"/>
      <c r="AQ135" s="24"/>
      <c r="AR135" s="24"/>
      <c r="AS135" s="24"/>
      <c r="AT135" s="24"/>
      <c r="AU135" s="24"/>
      <c r="AV135" s="24"/>
      <c r="AX135" s="26"/>
      <c r="AY135" s="26"/>
      <c r="AZ135" s="26"/>
      <c r="BB135" s="26"/>
      <c r="BC135" s="26"/>
      <c r="BD135" s="26"/>
      <c r="BF135" s="20"/>
      <c r="BG135" s="20"/>
      <c r="BI135" s="31"/>
      <c r="BJ135" s="31"/>
      <c r="BQ135" s="26"/>
      <c r="BR135" s="26"/>
      <c r="BS135" s="26"/>
      <c r="BT135" s="2"/>
      <c r="BU135" s="2"/>
      <c r="BV135" s="24"/>
      <c r="BW135" s="24"/>
      <c r="BX135" s="24"/>
      <c r="CK135" s="35"/>
      <c r="CN135"/>
      <c r="CO135"/>
    </row>
    <row r="136" spans="40:93">
      <c r="AN136" s="24"/>
      <c r="AO136" s="24"/>
      <c r="AP136" s="24"/>
      <c r="AQ136" s="24"/>
      <c r="AR136" s="24"/>
      <c r="AS136" s="24"/>
      <c r="AT136" s="24"/>
      <c r="AU136" s="24"/>
      <c r="AV136" s="24"/>
      <c r="AX136" s="26"/>
      <c r="AY136" s="26"/>
      <c r="AZ136" s="26"/>
      <c r="BB136" s="26"/>
      <c r="BC136" s="26"/>
      <c r="BD136" s="26"/>
      <c r="BF136" s="20"/>
      <c r="BG136" s="20"/>
      <c r="BI136" s="31"/>
      <c r="BJ136" s="31"/>
      <c r="BQ136" s="26"/>
      <c r="BR136" s="26"/>
      <c r="BS136" s="26"/>
      <c r="BT136" s="2"/>
      <c r="BU136" s="2"/>
      <c r="BV136" s="24"/>
      <c r="BW136" s="24"/>
      <c r="BX136" s="24"/>
      <c r="CK136" s="35"/>
      <c r="CN136"/>
      <c r="CO136"/>
    </row>
    <row r="137" spans="40:93">
      <c r="AN137" s="24"/>
      <c r="AO137" s="24"/>
      <c r="AP137" s="24"/>
      <c r="AQ137" s="24"/>
      <c r="AR137" s="24"/>
      <c r="AS137" s="24"/>
      <c r="AT137" s="24"/>
      <c r="AU137" s="24"/>
      <c r="AV137" s="24"/>
      <c r="AX137" s="26"/>
      <c r="AY137" s="26"/>
      <c r="AZ137" s="26"/>
      <c r="BB137" s="26"/>
      <c r="BC137" s="26"/>
      <c r="BD137" s="26"/>
      <c r="BF137" s="20"/>
      <c r="BG137" s="20"/>
      <c r="BI137" s="31"/>
      <c r="BJ137" s="31"/>
      <c r="BQ137" s="26"/>
      <c r="BR137" s="26"/>
      <c r="BS137" s="26"/>
      <c r="BT137" s="2"/>
      <c r="BU137" s="2"/>
      <c r="BV137" s="24"/>
      <c r="BW137" s="24"/>
      <c r="BX137" s="24"/>
      <c r="CK137" s="35"/>
      <c r="CN137"/>
      <c r="CO137"/>
    </row>
    <row r="138" spans="40:93">
      <c r="AN138" s="24"/>
      <c r="AO138" s="24"/>
      <c r="AP138" s="24"/>
      <c r="AQ138" s="24"/>
      <c r="AR138" s="24"/>
      <c r="AS138" s="24"/>
      <c r="AT138" s="24"/>
      <c r="AU138" s="24"/>
      <c r="AV138" s="24"/>
      <c r="AX138" s="26"/>
      <c r="AY138" s="26"/>
      <c r="AZ138" s="26"/>
      <c r="BB138" s="26"/>
      <c r="BC138" s="26"/>
      <c r="BD138" s="26"/>
      <c r="BF138" s="20"/>
      <c r="BG138" s="20"/>
      <c r="BI138" s="31"/>
      <c r="BJ138" s="31"/>
      <c r="BQ138" s="26"/>
      <c r="BR138" s="26"/>
      <c r="BS138" s="26"/>
      <c r="BT138" s="2"/>
      <c r="BU138" s="2"/>
      <c r="BV138" s="24"/>
      <c r="BW138" s="24"/>
      <c r="BX138" s="24"/>
      <c r="CK138" s="35"/>
      <c r="CN138"/>
      <c r="CO13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Crosstab Analysis</vt:lpstr>
      <vt:lpstr>Crosstab Sample Calc</vt:lpstr>
      <vt:lpstr>Conjoint Analysis</vt:lpstr>
      <vt:lpstr>Conjoint Sample Calc</vt:lpstr>
      <vt:lpstr>Cluster Analysis-5 cluster</vt:lpstr>
      <vt:lpstr>Cluster Analysis-4 cluster</vt:lpstr>
      <vt:lpstr>Cluster Sample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Chen</dc:creator>
  <cp:lastModifiedBy>Alex Liu</cp:lastModifiedBy>
  <dcterms:created xsi:type="dcterms:W3CDTF">2021-11-16T06:11:00Z</dcterms:created>
  <dcterms:modified xsi:type="dcterms:W3CDTF">2026-02-12T18:52:43Z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8602556D948A48B48433738E2E632D3A</vt:lpwstr>
  </property>
  <property fmtid="{D5CDD505-2E9C-101B-9397-08002B2CF9AE}" pid="3" name="KSOProductBuildVer">
    <vt:lpwstr>2052-11.1.0.12980</vt:lpwstr>
  </property>
</Properties>
</file>